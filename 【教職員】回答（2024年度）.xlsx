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DEV\ふれあいホリデー\"/>
    </mc:Choice>
  </mc:AlternateContent>
  <xr:revisionPtr revIDLastSave="0" documentId="13_ncr:1_{E6444F1E-F9AB-4BC6-ABC2-E9C174386CDB}" xr6:coauthVersionLast="47" xr6:coauthVersionMax="47" xr10:uidLastSave="{00000000-0000-0000-0000-000000000000}"/>
  <bookViews>
    <workbookView xWindow="-120" yWindow="-120" windowWidth="20730" windowHeight="11760" xr2:uid="{00000000-000D-0000-FFFF-FFFF00000000}"/>
  </bookViews>
  <sheets>
    <sheet name="フォームの回答" sheetId="1" r:id="rId1"/>
    <sheet name="Sheet1" sheetId="2" r:id="rId2"/>
    <sheet name="pv" sheetId="4" r:id="rId3"/>
    <sheet name="見せ方を変えたの" sheetId="3" r:id="rId4"/>
  </sheets>
  <definedNames>
    <definedName name="_xlnm.Print_Area" localSheetId="3">見せ方を変えたの!$C$3:$L$31,見せ方を変えたの!$C$35:$L$62,見せ方を変えたの!$C$66:$L$93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 l="1"/>
  <c r="G13" i="3" s="1"/>
  <c r="F9" i="3"/>
  <c r="G7" i="3" s="1"/>
  <c r="G8" i="3" l="1"/>
  <c r="G16" i="3"/>
  <c r="G15" i="3"/>
  <c r="G14" i="3"/>
  <c r="G17" i="3"/>
</calcChain>
</file>

<file path=xl/sharedStrings.xml><?xml version="1.0" encoding="utf-8"?>
<sst xmlns="http://schemas.openxmlformats.org/spreadsheetml/2006/main" count="933" uniqueCount="213">
  <si>
    <t>タイムスタンプ</t>
  </si>
  <si>
    <t>問１　あなたの職名は次の選択肢の中では何になりますか</t>
  </si>
  <si>
    <t>問２　休暇を取得されましたか</t>
  </si>
  <si>
    <t>問３－Ａ　どのように過ごされましたか</t>
  </si>
  <si>
    <t>問３－Ｂ　</t>
  </si>
  <si>
    <t>問４　今後に向けてお気づきの点などのご意見をお書きください</t>
  </si>
  <si>
    <t>教諭・養護教諭・養護助教諭・事務主幹・事務副主幹・事務主事</t>
  </si>
  <si>
    <t>取得した</t>
  </si>
  <si>
    <t>心身の休養やリフレッシュ</t>
  </si>
  <si>
    <t>今後も続けてほしい</t>
  </si>
  <si>
    <t>家庭でできる仕事（教材研究など）を行った</t>
  </si>
  <si>
    <t>年に何回かする方向なのか</t>
  </si>
  <si>
    <t>校長・教頭・主幹教諭</t>
  </si>
  <si>
    <t>取得していない</t>
  </si>
  <si>
    <t>勤務した</t>
  </si>
  <si>
    <t>特にない</t>
  </si>
  <si>
    <t>非常勤講師</t>
  </si>
  <si>
    <t>閉庁日にしてしまってはどうでしょうか</t>
  </si>
  <si>
    <t>県内で「鳥取県民の休日」とかを作ってしまえばいい</t>
  </si>
  <si>
    <t>子どもと一緒に過ごした</t>
  </si>
  <si>
    <t>常勤講師</t>
  </si>
  <si>
    <t>家庭の畑の世話</t>
  </si>
  <si>
    <t>閉庁日にしてしまったらいいのではないでしょうか</t>
  </si>
  <si>
    <t>この取組は賛成。実現は難しいが、中部で一斉になれば個人的には嬉しい。自分の子どもと過ごせるので。
期日はカレンダーを勘案して毎年変わっても良いと思う。</t>
  </si>
  <si>
    <t>趣旨は理解していますが、家庭によって状況も違い、児童クラブを利用せざるを得ないご家庭もありました。つまり、児童クラブも開ける必要があるということです。職場が同じ保護者は誰かが出勤するので一斉に休もことが困難であるとの声もありました。可能であれば鳥取県民の日を全市町村一斉に休みになれば調整があまり必要ないのかもしれないとの声もありました。
子どもたちはお休みなので純粋に喜んでいたり、朝からどこに行くとかの話をしている様子もあったので、今後もづづける場合は、全体の設計を再度検討いただき、職員の勤務についても閉庁にするなどの対応もアリかと思います。</t>
  </si>
  <si>
    <t>出張だったため。</t>
  </si>
  <si>
    <t>三連休がない、６月にあるといいなと思いました。</t>
  </si>
  <si>
    <t>テスト期間中だったので、生徒はあまり休むことができなかったかもしれない。</t>
  </si>
  <si>
    <t>１日出張</t>
  </si>
  <si>
    <t>家庭でできる自己研鑽（教材研究など）を行った</t>
  </si>
  <si>
    <t>テスト３日前だと、生徒も先生もゆっくりできません。飛び石連休の中日などに実施していただけたら嬉しいです。</t>
  </si>
  <si>
    <t>自分にとってはとても有意義な時間でした。月によって３連休がない月があります。その月に実施されると有効だと思います。</t>
  </si>
  <si>
    <t>ありません。</t>
  </si>
  <si>
    <t>たくさん休みがほしい。</t>
  </si>
  <si>
    <t>今回は期末テスト前で部活がない状態の休みだったので教員にとってはとてもよかったと思います。生徒にとってはテスト前なので家族とふれあう時間になったかは疑問です。
部活がない休日がもっと増えてほしいと思いました。</t>
  </si>
  <si>
    <t>期末テストの作成</t>
  </si>
  <si>
    <t>日々の業務が多忙すぎて、リフレッシュや触れ合いには使うことが出来なかった。でもこの1日がなかったらテストも作成できず業務が回らなかったので、助かった。本来の趣旨からは離れるが、休業日を設定していただいて教職員としてはありがたかった。</t>
  </si>
  <si>
    <t>研修の出張が入っていたので、休みをとりませんでした。</t>
  </si>
  <si>
    <t>保護者や世の中が休みではないのにある地区だけやってもただの休みで何と触れ合ったのか地域とのふれあいだったのか？全員がふれあえたのかわからなかった。保護者とふれあえたのか？全く持ってよくわからない休みだった。</t>
  </si>
  <si>
    <t>銀行で通帳作り、通院</t>
  </si>
  <si>
    <t>出張</t>
  </si>
  <si>
    <t>新しいとりくみとして、有意義だったと感じます。ただ、家族で過ごす時間をもつことができる家庭がどのくらいあったのか調査して、時期やこのとりくみの浸透具合などについて慎重な話し合いが必要ではないかと感じました。</t>
  </si>
  <si>
    <t>研修が入っていたので、欠席届を出して年休を取得しました。なるべくその日に研修が入らないように全県に周知していただけたらありがたいと思いました。</t>
  </si>
  <si>
    <t>年休取得のきっかけとなるため継続してほしい</t>
  </si>
  <si>
    <t>上記以外の倉吉市職員</t>
  </si>
  <si>
    <t>現場で働く立場からすると今後もぜひ続けていただきたいです。</t>
  </si>
  <si>
    <t>時期としては今回の時期でいいと思うが、出張が重ならないようにならないものなのかと思った。</t>
  </si>
  <si>
    <t>引き続き実施していただきたいと思います。</t>
  </si>
  <si>
    <t>時期をずらして行えると良いと思いました。本校は学校公開3日間(うち、水曜マラソン大会、木曜人権教育参観日)からのふれあいホリデーで、保護者さんの立場から考えると何日も連続でお休みを取るのが大変なのではという話がありました。
自分としてはこのような休みがあるのはとてもありがたかったので、これからも続けていただきたいと思いました。</t>
  </si>
  <si>
    <t>大きな行事も終わっているこの時期の設定がよかったです。平日の休暇が取りにくいので、平日でなければできない家庭の用事もこの日に合わせて行うことができ、ありがたかったです。</t>
  </si>
  <si>
    <t>我が家は子どもがまだ幼く、妻も休業中なのでゆっくり過ごせました。
今後もあるとありがたいです。
ただ、もし妻が仕事をしていた場合、休暇が取れたかどうかで過ごし方も変わったと思うので、学校以外の各企業への周知が今後必要だとも感じました。</t>
  </si>
  <si>
    <t>教員としては良かった</t>
  </si>
  <si>
    <t>家族と過ごし、とても充実した時間を過ごすことが出来ました。
来年以降もふれあいホリデーを続けていただけると嬉しく思います。</t>
  </si>
  <si>
    <t>役場や銀行、病院に行った</t>
  </si>
  <si>
    <t>半日は出張、半日は心身のリフレッシュ</t>
  </si>
  <si>
    <t>休める家庭とそうでない家庭があり、私も出張があったため半日は勤務だった。子どもだけで過ごさなければならない時間もあり、対応が難しい家庭も多かったのではないかと想像した。</t>
  </si>
  <si>
    <t>半日出勤　テスト作り</t>
  </si>
  <si>
    <t>テスト前はテスト勉強をしているので、ふれあえないと思います。</t>
  </si>
  <si>
    <t>仕事（テスト作問）</t>
  </si>
  <si>
    <t>実施する時期を考えてほしい。６月ごろの祝祭日がない月に設定はできないか。</t>
  </si>
  <si>
    <t>特になし</t>
  </si>
  <si>
    <t>教員という職は、年休取得率が低いので大変良い取り組みです。
毎年実施を強く願います。</t>
  </si>
  <si>
    <t>来年度も引き続き実施してほしい。</t>
  </si>
  <si>
    <t>ふれあいホリデーは良い取り組みであるが、家庭で休みを取れない保護者もいたし、市内全員が休みなので、年休が取りにくい人もあった。鳥取市のように、ゴールデンウイークを利用しまとまった休日にする必要があると思った。</t>
  </si>
  <si>
    <t>中学生はこの時期の「ふれあいホリデー」にしてもテスト勉強に費されると感じました。</t>
  </si>
  <si>
    <t>保護者は仕事の方が多く、わざわざの休みが取りにくいと言う声を聞きました。一方、子どもの日記では、遠出の旅行をしたと言う日記もいくつかありました。</t>
  </si>
  <si>
    <t>・時期の検討が必要だと感じます。
・学校が勤務日だと、学校の番をする者が一名必要になります。閉庁にしていただけるとありがたいです。</t>
  </si>
  <si>
    <t>家庭でゆっくり過ごしリフレッシュできた。</t>
  </si>
  <si>
    <t>子どもが小さい家庭は必ず休まないといけなくなりますが、結局子どもを一人で見たりする事態がありました。それなら、統一してすべてを休みにしてもらわないとしんどいです。</t>
  </si>
  <si>
    <t>これからも続けばいいなと思います。</t>
  </si>
  <si>
    <t>久しぶりに子どもとゆっくり休日を過ごせました。ありがとうございました。</t>
  </si>
  <si>
    <t>一部教員は出張が入っていたことが残念だった。
また、閉庁とすることができないため、職員が必ず出勤しなければならず、そこを解消する良い方法があると良い</t>
  </si>
  <si>
    <t>時期がもう少し早い方がよい。学期末もせまり、学習に成績処理等にも影響がでた。</t>
  </si>
  <si>
    <t>ホリデーがあったおかげで、リフレッシュすることができました。</t>
  </si>
  <si>
    <t>生徒の中には家にいても保護者もいないし部活をしたいという生徒もいたのですべての家庭で家族との時間を作れるわけではないと思う。
倉吉市だけでなく全県でやらないと生徒によっては不公平感を抱いている。</t>
  </si>
  <si>
    <t>６月は祝日がないので、６月にあると嬉しいと感じました。</t>
  </si>
  <si>
    <t>参観日と連続になったこともあって、保護者は休みが取りづらく、大変そうだった。
企業への啓発を県や市が行ってほしい。</t>
  </si>
  <si>
    <t>管理職は勤務ではなく、閉庁にはなりませんか？ご検討ください。</t>
  </si>
  <si>
    <t>県外出張</t>
  </si>
  <si>
    <t>特にありません。</t>
  </si>
  <si>
    <t>ふれあいホリデーに合わせて市内でイベントが開催されていたのがよかった。
市内や近隣町村の企業等へのさらなる周知をお願いします。</t>
  </si>
  <si>
    <t>今後も継続してほしい</t>
  </si>
  <si>
    <t>保護者さんも、これに合わせてお休みを取っておられる方が多い気がしました。市内のいろいろなイベントと連動されており、良い取り組みだと思います。もう少し、宣伝があるといいですね。新たな試み、ありがとうございます。</t>
  </si>
  <si>
    <t>県外に住む子どもに会いに行くことができ、充実した休みになりました。来年度以降も、続けてほしいと思います。</t>
  </si>
  <si>
    <t>子どもと一緒に平日休みを有意義に過ごしました。またあれば、有効に使います</t>
  </si>
  <si>
    <t>親が休む環境整備が必要</t>
  </si>
  <si>
    <t>保護者の方も休める環境であれば良いと思う。</t>
  </si>
  <si>
    <t>時期を考慮していただきたい。
１１月である必要はどうなのだろうか？</t>
  </si>
  <si>
    <t>平日なので保護者が休みやすい環境づくりが必要だと思った。</t>
  </si>
  <si>
    <t>校長と入れ替わりで２時間ほど年休をいただき、少しだけ体を休めました。</t>
  </si>
  <si>
    <t>休みの意義や意図を周知すること、大人の側の体制を整備することが必要だと思います。</t>
  </si>
  <si>
    <t>休養しつつ、普段、できない手続きなどを行なった。</t>
  </si>
  <si>
    <t>年2〜3回あるとよい。6月など、祝日や長期休暇がない月に実施するのはどうだろうか。</t>
  </si>
  <si>
    <t>学校として、保護者さんにももっと周知をする。子どもにとって、「ただの休み」になってしまっている。保護者さんは仕事なのに子どもは休み、という意識のずれが大きい気がする。
地域には、何かイベントをしていただくなど、受け皿のある体制づくりはできていたでしょうか。</t>
  </si>
  <si>
    <t>家の掃除と学校の仕事</t>
  </si>
  <si>
    <t>僕らは休みでも、親は休みでない。ウチの子は休みでない。仮称が正しいかどうかわからない。でも、休みがあるのは良い</t>
  </si>
  <si>
    <t>来年度も勤務できる状況は、残してほしい。</t>
  </si>
  <si>
    <t>全職員が休暇取得する形にしてほしい。[学校休業日]</t>
  </si>
  <si>
    <t>保護者も休暇が取りやすいよう、ゴールデンウィークなど長期休日の穴を埋めるような休日にしてほしいです。</t>
  </si>
  <si>
    <t>他の日の超過勤務分に振り替えた</t>
  </si>
  <si>
    <t>日程をもう少し考えた方がいいのではと思います。ゴールデンウィーク中とかに設定した方が保護者がお休みの人が多かったのでは・・
「親は仕事」と言ってある生徒が多かったです。</t>
  </si>
  <si>
    <t>管理職が、誰もいない校舎に残る意味があまり感じられなかった。
教頭に学校にのこってもらったが、一人で仕事をすることになり、学校閉庁でもよいのではないかと感じた。</t>
  </si>
  <si>
    <t>他市町村や幼〜高の連携をしっかり調整しなければ、休暇をとっても家族が揃うことにならない場合もある。</t>
  </si>
  <si>
    <t>午前中は休暇を取り、午後は研修会があったため仕事として参加した。</t>
  </si>
  <si>
    <t>目的を達成するためには、保護者の意向の確認と、教職員の研修なども入れないような措置が必要だと思う。</t>
  </si>
  <si>
    <t>平日ならではの過ごし方を考えて、週末を含めて有効に活用することができたので、今後も続けていただけたらありがたいです。</t>
  </si>
  <si>
    <t>ずっと継続してほしい。</t>
  </si>
  <si>
    <t>午後から出張だったので、時間調整</t>
  </si>
  <si>
    <t>部活をしない原則は続けてほしい。時期的には、期末テスト前なので、中学生のいる家庭はテストの学習に当てることも多いのでは？実施時期については考慮してもいいと思う。</t>
  </si>
  <si>
    <t>時期がとてもよかったです。
仕事にゆとりが生まれました。</t>
  </si>
  <si>
    <t>教員は有休消化でしたが、授業がないのであれば「勤務に該当しない日」ではないでしょうか。</t>
  </si>
  <si>
    <t>我が子の参観日に行きました。</t>
  </si>
  <si>
    <t>日程は、別日にすることができないのか。
家庭に早めに伝えることが大切。</t>
  </si>
  <si>
    <t>全体への周知が浸透し、出張が入らないようにしていただきたい。</t>
  </si>
  <si>
    <t>民間は休暇が取れないことも多い。この取り組みが拡大されるといいと思う。</t>
  </si>
  <si>
    <t>閉庁にしてほしい</t>
  </si>
  <si>
    <t>農作業</t>
  </si>
  <si>
    <t>なし</t>
  </si>
  <si>
    <t>とても良かった。</t>
  </si>
  <si>
    <t>単発の三連休で一般の保護者から休みにくい、子どもの保育園でも多くの子どもが預けられていたと聞いた。GWなどの長期休みで大型連休にした方が休みたい保護者は多いのではないか</t>
  </si>
  <si>
    <t>全県一斉で同日に行えると良いかなと思いました。</t>
  </si>
  <si>
    <t>中学生はいいと思うが、小学校の低学年は大変なのではないかと思う。結局、学童の負担が大きくなるのではないか。社会教育科でたくさんイベントを開いたり、コミュニティセンターで体験活動などあるとよいと思う。</t>
  </si>
  <si>
    <t>午後から出張だったため、午前のみ年休を取得し、午後は勤務した。</t>
  </si>
  <si>
    <t>出張等が被らないようにしていただくと、1日リフレッシュできる機会になると思います。</t>
  </si>
  <si>
    <t>今後もあったら良いと思います。1日と言わず、連休でも</t>
  </si>
  <si>
    <t>事務職員</t>
  </si>
  <si>
    <t>　本来の目的達成のために、より多くの保護者が休暇を取得しやすいよう各職場等への広報を徹底してほしい。</t>
  </si>
  <si>
    <t>公共施設を使う場合　料金を安くするなどの工夫があればいいとおもう</t>
  </si>
  <si>
    <t>この日に合わせてボランティア活動も計画したらいいと思います。児童クラブを利用している小学生を中学生が見るとかは効率がいいかなと思いました。我が子は倉吉市の学校じゃないため、自分だけが休んでも意味がなかったです。</t>
  </si>
  <si>
    <t>公休になった</t>
  </si>
  <si>
    <t>とてもいい取り組みだと思います。今後も実施されるとうれしいです。</t>
  </si>
  <si>
    <t>運転免許更新をした。</t>
  </si>
  <si>
    <t>家族で1人休暇だった。平日に休みがあると金融機関や公共機関の用事ができてよかった。今後もあってよいと思います。</t>
  </si>
  <si>
    <t>学期ごとに一回欲しいです。</t>
  </si>
  <si>
    <t>保護者さんも仕事によっては休めない職もあるかなとおもいました。休みが取りやすい環境になればとてもいい取り組みだと感じました。</t>
  </si>
  <si>
    <t>文化的な物の鑑賞をさせたい。</t>
  </si>
  <si>
    <t>親も子も、互いに休みじゃないと意味がないと思う。倉吉市と琴浦町だけの実施じゃ意味がない。県内一斉に行うべき。</t>
  </si>
  <si>
    <t>仕事を休みづらい職種の人にとってはどうだったのかなと感じました。</t>
  </si>
  <si>
    <t>日頃できない通院、溜まっている業務などをした。</t>
  </si>
  <si>
    <t>出張が入っていいたため、時間給をとりました</t>
  </si>
  <si>
    <t>学校は休みでも、出張等が入ると休みづらいため、全体で推し進めて行く必要があると思う。</t>
  </si>
  <si>
    <t>音楽会も平日だったため、振替休みなど、今年は平日休みがあまりなかったので、貴重なリフレッシュ、片付けの時間がとれました。</t>
  </si>
  <si>
    <t>地域界隈では準備期間が、とか官民連携でとか言われていますが、良い考えだと思いました。今後の企画やあり方についての発展を期待しております。</t>
  </si>
  <si>
    <t>家庭によって本当に様々な過ごし方をされているという印象をもっている。今後、試行の意図がどのくらい伝わっているのか把握した上で取り組んでいければ・・・と思う。</t>
  </si>
  <si>
    <t>具体的にいつとは言えないが、大人も休めて、子どもとふれあえるふれあいホリデーになるとよい。</t>
  </si>
  <si>
    <t>勤務日ではない</t>
  </si>
  <si>
    <t>保護者にとっては、なかなか休みが取りづらく、家族でのふれあいの日になったかどうか疑問</t>
  </si>
  <si>
    <t>引き続き、休める日を増やしたり継続したりしてほしい。</t>
  </si>
  <si>
    <t>時間を自由に使えるよう年休は取得したが、溜まっている仕事をした。</t>
  </si>
  <si>
    <t>生徒は休みであったが、保護者が果たして休みだったのか疑問である。何のためのふれあいホリデーなのか。学校だけで行うものではないと思った。</t>
  </si>
  <si>
    <t>忙しい時期に貴重な休暇をいただき、たまっていた仕事を減らすことができました。</t>
  </si>
  <si>
    <t>テスト作成</t>
  </si>
  <si>
    <t>休暇を強いられたため、テスト作成があったのに自宅でやることになりました。私は年休がかなり使ってしまっている状況で、ふれあいホリデーで１日年休を使って家で仕事したので、その分冬休みに１日休暇が取れなくなりました。教員の実態に合わせて休暇を取らせて欲しいです。</t>
  </si>
  <si>
    <t>特にありません</t>
  </si>
  <si>
    <t>学校で仕事をした</t>
  </si>
  <si>
    <t>勤務を要さない日にしてはどうか。</t>
  </si>
  <si>
    <t>出張でした。</t>
  </si>
  <si>
    <t>これからも活用して欲しい</t>
  </si>
  <si>
    <t>病院で精密検査</t>
  </si>
  <si>
    <t>平日の休日はとてもありがたいです。ぜひ来年度も継続方向でお願いしたいとおもいます。</t>
  </si>
  <si>
    <t>せめて、中部地区で日にちがそろえてあると教職員も休みを取りやすいのでは、と思いました。</t>
  </si>
  <si>
    <t>休暇をとりやすい日なのでとてもありがたいです。3連休が続くよりも、3連休がない月の方が授業や予定が組みやすい気がします。</t>
  </si>
  <si>
    <t>実施時期が、とてもありがたかったです。仕事を進めたり、休んでリフレッシュしたりすることができました。</t>
  </si>
  <si>
    <t>買い物に出かけた。</t>
  </si>
  <si>
    <t>11月は、行事が重なり慌ただしい時期だったので、休暇が取れるのは本当にありがたかったです。ぜひ、来年も設定していただきたいです。</t>
  </si>
  <si>
    <t>県養護教諭研修会と重なって出張でした。</t>
  </si>
  <si>
    <t>ボランティアに参加した</t>
  </si>
  <si>
    <t>子どもは休みでも、両親は働かなければならない家庭が多かったので
親が休暇が取りやすい仕組みがあるといいなと思った。</t>
  </si>
  <si>
    <t>生徒が休みだったので、事務作業がはかどりました</t>
  </si>
  <si>
    <t>子どもがいない勤務日で、普段の平日にできない業務が進んだのでそれはよかった。
教科の研修がある方がいらっしゃったので、休みを推奨するならば、なし合わせてもらった方がが良いと思います。</t>
  </si>
  <si>
    <t>3連休になるので家族とゆっくり過ごすことができて良かった。</t>
  </si>
  <si>
    <t>午後から出張の準備</t>
  </si>
  <si>
    <t>出来れば出張がない時がありがたいです。
平日なのでどれくらいの保護者の方が子供たちと触れ合うことができたのか知りたいです。例えば，大型連休の時にI日加える方が，ネーミングには合っているように思います。</t>
  </si>
  <si>
    <t>私は東部在住のため、小学生の娘は当日学校でした。反対に娘の学校が体験的学習活動等休業日のときには、私が休めなかったので、活用できなかったです。全県で日にちを合わせていただきたいです。</t>
  </si>
  <si>
    <t>勤務の振り替えがない</t>
  </si>
  <si>
    <t>家族旅行ができて良かった</t>
  </si>
  <si>
    <t>市町村によって実施状況が違ったようです。統一していただけたらと思いました。</t>
  </si>
  <si>
    <t>管理職から休暇を強要されるのはおかしいと思う。</t>
  </si>
  <si>
    <t>来年度も実施を望みます</t>
  </si>
  <si>
    <t>仕事をしている人が多く、家族で過ごす日となるのか、疑問です。この日を休みにする理由を、保護者に理解が得られるよう説明が必要ではないがと、感じました。</t>
  </si>
  <si>
    <t>5月の連休でも良いのでは</t>
  </si>
  <si>
    <t>小学校教員として、休暇を取って一日体を休めることができて、ありがたかった。しかし、小中学校の児童が家族の人とのふれあいを深めるための一日と考えると、「子どもは休み、しかし、大人は仕事が休めない」という家庭が多くいるように感じた。（子どもだけで過ごす一日になったことを何人かの児童から聞いた）</t>
  </si>
  <si>
    <t>勤務を要する日ではないため</t>
  </si>
  <si>
    <t>教員はいいが、休みを取れない保護者からは不評だった。</t>
  </si>
  <si>
    <t>子ども達は休みですが、保護者は休みではないので家族みんなで何かを取り組む事が難しい。</t>
  </si>
  <si>
    <t>定期通院診察</t>
  </si>
  <si>
    <t>学校関係以外にも浸透するように希望する。</t>
  </si>
  <si>
    <t>教職員は休みじゃないので、年休を取得しないといけなかったのでそれはちょっとおかしいかな？と思った。
周りの保護者さん達も親が休みじゃないのにこんな休みはいらないと言っておられる方がかなり多かった。</t>
  </si>
  <si>
    <t>公休扱いです</t>
  </si>
  <si>
    <t>午前中は休暇をとり、午後は全県の会があったため勤務した。</t>
  </si>
  <si>
    <t>11月の終盤にあることで、学期末に向けての力を蓄えることができました。子どもたちも、いろいろなところにお出かけにいって満足そうでした。</t>
  </si>
  <si>
    <t>家族が仕事で1人で過ごしていた子もいたようだった。</t>
  </si>
  <si>
    <t>またふれあいホリデーがあったら自分の家庭の事ができるので嬉しいです。</t>
  </si>
  <si>
    <t>全県で同日にすると良いかなと思います。</t>
  </si>
  <si>
    <t>病院に行った。家の片付けなどをして過ごした。</t>
  </si>
  <si>
    <t>お休みになるならゴールデンウィークあたりにまとめて頂いた方が良かったなと思いました。</t>
  </si>
  <si>
    <t>倉吉市内の学校は休みでしたが、自分の子どもは休みではなく、家庭内では私一人の休暇でした。それはそれで良かったのですが、逆に、「子どもだけ休みで親は仕事」という家庭もあったのでは…と思い、一部地域や学校だけでなく、社会全体に浸透していくことを願います。</t>
  </si>
  <si>
    <t>よい取り組みだと思うので来年度も実施してほしい</t>
  </si>
  <si>
    <t>何か必ず体験をさせないといけないように感じている保護者もあったようです。お休みが取得できない保護者もあるので、この休日の趣旨を理解していただくためのチラシを工夫した方が良いかと感じました。</t>
  </si>
  <si>
    <t>鳥取市のようにゴールデンウィークの連休の間を休みにしてもいいのではないかと思います。</t>
  </si>
  <si>
    <t>ゴールデンウィークの中日が休みになると嬉しいです。</t>
  </si>
  <si>
    <t>№</t>
    <phoneticPr fontId="2"/>
  </si>
  <si>
    <t>選択肢</t>
    <rPh sb="0" eb="3">
      <t>センタクシ</t>
    </rPh>
    <phoneticPr fontId="2"/>
  </si>
  <si>
    <t>実数</t>
    <rPh sb="0" eb="2">
      <t>ジッスウ</t>
    </rPh>
    <phoneticPr fontId="2"/>
  </si>
  <si>
    <t>率</t>
    <rPh sb="0" eb="1">
      <t>リツ</t>
    </rPh>
    <phoneticPr fontId="2"/>
  </si>
  <si>
    <t>その他</t>
    <rPh sb="2" eb="3">
      <t>タ</t>
    </rPh>
    <phoneticPr fontId="2"/>
  </si>
  <si>
    <t>合計</t>
    <rPh sb="0" eb="2">
      <t>ゴウケイ</t>
    </rPh>
    <phoneticPr fontId="2"/>
  </si>
  <si>
    <t>休暇を取得されましたか</t>
    <phoneticPr fontId="2"/>
  </si>
  <si>
    <t>総計</t>
  </si>
  <si>
    <t>データの個数 / タイムスタンプ</t>
  </si>
  <si>
    <t>集計</t>
  </si>
  <si>
    <t>（休暇を取得した人の回答）どのように過ごされましたか</t>
    <rPh sb="1" eb="3">
      <t>キュウカ</t>
    </rPh>
    <rPh sb="4" eb="6">
      <t>シュトク</t>
    </rPh>
    <rPh sb="8" eb="9">
      <t>ヒト</t>
    </rPh>
    <rPh sb="10" eb="12">
      <t>カイトウ</t>
    </rPh>
    <phoneticPr fontId="2"/>
  </si>
  <si>
    <t>【教職員】</t>
    <rPh sb="1" eb="4">
      <t>キョウショクイン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</si>
</sst>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m/d/yyyy\ h:mm:ss"/>
    <numFmt numFmtId="177" formatCode="0_ ;[Red]\-0\ "/>
    <numFmt numFmtId="178" formatCode="0.0%"/>
  </numFmts>
  <fonts count="6" x14ac:knownFonts="1">
    <font>
      <sz val="10"/>
      <color rgb="FF000000"/>
      <name val="Arial"/>
      <scheme val="minor"/>
    </font>
    <font>
      <sz val="10"/>
      <color theme="1"/>
      <name val="Arial"/>
      <family val="2"/>
      <scheme val="minor"/>
    </font>
    <font>
      <sz val="6"/>
      <name val="Arial"/>
      <family val="3"/>
      <charset val="128"/>
      <scheme val="minor"/>
    </font>
    <font>
      <sz val="10"/>
      <color rgb="FF000000"/>
      <name val="Arial"/>
      <scheme val="minor"/>
    </font>
    <font>
      <sz val="10"/>
      <color rgb="FF000000"/>
      <name val="Arial"/>
      <family val="2"/>
      <scheme val="minor"/>
    </font>
    <font>
      <sz val="12"/>
      <color rgb="FF000000"/>
      <name val="UD デジタル 教科書体 N-R"/>
      <family val="1"/>
      <charset val="128"/>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3FFFF"/>
        <bgColor indexed="64"/>
      </patternFill>
    </fill>
  </fills>
  <borders count="40">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auto="1"/>
      </right>
      <top style="thin">
        <color indexed="64"/>
      </top>
      <bottom style="hair">
        <color auto="1"/>
      </bottom>
      <diagonal/>
    </border>
    <border>
      <left style="thin">
        <color indexed="64"/>
      </left>
      <right style="thin">
        <color indexed="64"/>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thin">
        <color indexed="64"/>
      </left>
      <right style="thin">
        <color indexed="64"/>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right style="thin">
        <color indexed="64"/>
      </right>
      <top style="thin">
        <color indexed="64"/>
      </top>
      <bottom style="hair">
        <color auto="1"/>
      </bottom>
      <diagonal/>
    </border>
    <border>
      <left/>
      <right style="thin">
        <color indexed="64"/>
      </right>
      <top style="hair">
        <color auto="1"/>
      </top>
      <bottom style="hair">
        <color auto="1"/>
      </bottom>
      <diagonal/>
    </border>
  </borders>
  <cellStyleXfs count="5">
    <xf numFmtId="0" fontId="0" fillId="0" borderId="0"/>
    <xf numFmtId="9" fontId="3" fillId="0" borderId="0" applyFont="0" applyFill="0" applyBorder="0" applyAlignment="0" applyProtection="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62">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wrapText="1"/>
    </xf>
    <xf numFmtId="176"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176" fontId="1" fillId="0" borderId="7" xfId="0" applyNumberFormat="1"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176"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76"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76"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5" fillId="2" borderId="0" xfId="2" applyFont="1" applyFill="1" applyAlignment="1">
      <alignment vertical="center"/>
    </xf>
    <xf numFmtId="0" fontId="5" fillId="0" borderId="0" xfId="2" applyFont="1" applyAlignment="1">
      <alignment vertical="center"/>
    </xf>
    <xf numFmtId="0" fontId="5" fillId="3" borderId="13" xfId="2" applyFont="1" applyFill="1" applyBorder="1" applyAlignment="1">
      <alignment vertical="center"/>
    </xf>
    <xf numFmtId="0" fontId="5" fillId="3" borderId="14" xfId="2" applyFont="1" applyFill="1" applyBorder="1" applyAlignment="1">
      <alignment vertical="center"/>
    </xf>
    <xf numFmtId="0" fontId="5" fillId="3" borderId="15" xfId="2" applyFont="1" applyFill="1" applyBorder="1" applyAlignment="1">
      <alignment vertical="center"/>
    </xf>
    <xf numFmtId="0" fontId="5" fillId="3" borderId="16" xfId="2" applyFont="1" applyFill="1" applyBorder="1" applyAlignment="1">
      <alignment vertical="center"/>
    </xf>
    <xf numFmtId="0" fontId="5" fillId="3" borderId="0" xfId="2" applyFont="1" applyFill="1" applyAlignment="1">
      <alignment vertical="center"/>
    </xf>
    <xf numFmtId="0" fontId="5" fillId="3" borderId="17" xfId="2" applyFont="1" applyFill="1" applyBorder="1" applyAlignment="1">
      <alignment vertical="center"/>
    </xf>
    <xf numFmtId="0" fontId="5" fillId="4" borderId="18" xfId="3" applyNumberFormat="1" applyFont="1" applyFill="1" applyBorder="1" applyAlignment="1">
      <alignment horizontal="center" vertical="center"/>
    </xf>
    <xf numFmtId="177" fontId="5" fillId="3" borderId="20" xfId="2" applyNumberFormat="1" applyFont="1" applyFill="1" applyBorder="1" applyAlignment="1">
      <alignment vertical="center"/>
    </xf>
    <xf numFmtId="38" fontId="5" fillId="3" borderId="21" xfId="3" applyFont="1" applyFill="1" applyBorder="1" applyAlignment="1">
      <alignment vertical="center"/>
    </xf>
    <xf numFmtId="177" fontId="5" fillId="5" borderId="23" xfId="2" applyNumberFormat="1" applyFont="1" applyFill="1" applyBorder="1" applyAlignment="1">
      <alignment vertical="center"/>
    </xf>
    <xf numFmtId="38" fontId="5" fillId="5" borderId="24" xfId="3" applyFont="1" applyFill="1" applyBorder="1" applyAlignment="1">
      <alignment vertical="center"/>
    </xf>
    <xf numFmtId="177" fontId="5" fillId="3" borderId="23" xfId="2" applyNumberFormat="1" applyFont="1" applyFill="1" applyBorder="1" applyAlignment="1">
      <alignment vertical="center"/>
    </xf>
    <xf numFmtId="38" fontId="5" fillId="3" borderId="24" xfId="3" applyFont="1" applyFill="1" applyBorder="1" applyAlignment="1">
      <alignment vertical="center"/>
    </xf>
    <xf numFmtId="0" fontId="5" fillId="3" borderId="26" xfId="2" applyFont="1" applyFill="1" applyBorder="1" applyAlignment="1">
      <alignment vertical="center"/>
    </xf>
    <xf numFmtId="0" fontId="5" fillId="3" borderId="27" xfId="2" applyFont="1" applyFill="1" applyBorder="1" applyAlignment="1">
      <alignment vertical="center" wrapText="1"/>
    </xf>
    <xf numFmtId="38" fontId="5" fillId="3" borderId="18" xfId="3" applyFont="1" applyFill="1" applyBorder="1" applyAlignment="1">
      <alignment vertical="center"/>
    </xf>
    <xf numFmtId="0" fontId="5" fillId="3" borderId="28" xfId="2" applyFont="1" applyFill="1" applyBorder="1" applyAlignment="1">
      <alignment vertical="center"/>
    </xf>
    <xf numFmtId="0" fontId="5" fillId="3" borderId="29" xfId="2" applyFont="1" applyFill="1" applyBorder="1" applyAlignment="1">
      <alignment vertical="center"/>
    </xf>
    <xf numFmtId="0" fontId="5" fillId="3" borderId="30" xfId="2" applyFont="1" applyFill="1" applyBorder="1" applyAlignment="1">
      <alignment vertical="center"/>
    </xf>
    <xf numFmtId="0" fontId="4" fillId="3" borderId="0" xfId="2" applyFill="1"/>
    <xf numFmtId="0" fontId="0" fillId="0" borderId="31" xfId="0" applyBorder="1"/>
    <xf numFmtId="0" fontId="0" fillId="0" borderId="31" xfId="0" pivotButton="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5" fillId="4" borderId="26" xfId="2" applyFont="1" applyFill="1" applyBorder="1" applyAlignment="1">
      <alignment horizontal="center" vertical="center"/>
    </xf>
    <xf numFmtId="0" fontId="5" fillId="4" borderId="19" xfId="2" applyFont="1" applyFill="1" applyBorder="1" applyAlignment="1">
      <alignment vertical="center"/>
    </xf>
    <xf numFmtId="0" fontId="5" fillId="3" borderId="22" xfId="2" applyFont="1" applyFill="1" applyBorder="1" applyAlignment="1">
      <alignment vertical="center" shrinkToFit="1"/>
    </xf>
    <xf numFmtId="0" fontId="5" fillId="5" borderId="25" xfId="2" applyFont="1" applyFill="1" applyBorder="1" applyAlignment="1">
      <alignment vertical="center" shrinkToFit="1"/>
    </xf>
    <xf numFmtId="0" fontId="5" fillId="3" borderId="25" xfId="2" applyFont="1" applyFill="1" applyBorder="1" applyAlignment="1">
      <alignment vertical="center" shrinkToFit="1"/>
    </xf>
    <xf numFmtId="0" fontId="5" fillId="4" borderId="37" xfId="3" applyNumberFormat="1" applyFont="1" applyFill="1" applyBorder="1" applyAlignment="1">
      <alignment horizontal="center" vertical="center"/>
    </xf>
    <xf numFmtId="178" fontId="5" fillId="3" borderId="38" xfId="1" applyNumberFormat="1" applyFont="1" applyFill="1" applyBorder="1" applyAlignment="1">
      <alignment vertical="center"/>
    </xf>
    <xf numFmtId="178" fontId="5" fillId="5" borderId="39" xfId="1" applyNumberFormat="1" applyFont="1" applyFill="1" applyBorder="1" applyAlignment="1">
      <alignment vertical="center"/>
    </xf>
    <xf numFmtId="0" fontId="5" fillId="3" borderId="37" xfId="1" applyNumberFormat="1" applyFont="1" applyFill="1" applyBorder="1" applyAlignment="1">
      <alignment vertical="center"/>
    </xf>
    <xf numFmtId="0" fontId="0" fillId="0" borderId="36" xfId="0" pivotButton="1" applyBorder="1"/>
    <xf numFmtId="178" fontId="5" fillId="3" borderId="39" xfId="1" applyNumberFormat="1" applyFont="1" applyFill="1" applyBorder="1" applyAlignment="1">
      <alignment vertical="center"/>
    </xf>
    <xf numFmtId="0" fontId="5" fillId="3" borderId="0" xfId="2" applyFont="1" applyFill="1" applyAlignment="1">
      <alignment horizontal="left" vertical="center"/>
    </xf>
    <xf numFmtId="0" fontId="5" fillId="3" borderId="0" xfId="2" applyFont="1" applyFill="1" applyAlignment="1">
      <alignment horizontal="left" vertical="center"/>
    </xf>
  </cellXfs>
  <cellStyles count="5">
    <cellStyle name="パーセント" xfId="1" builtinId="5"/>
    <cellStyle name="パーセント 2" xfId="4" xr:uid="{00000000-0005-0000-0000-000001000000}"/>
    <cellStyle name="桁区切り 2" xfId="3" xr:uid="{00000000-0005-0000-0000-000002000000}"/>
    <cellStyle name="標準" xfId="0" builtinId="0"/>
    <cellStyle name="標準 2" xfId="2" xr:uid="{00000000-0005-0000-0000-000004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161926</xdr:colOff>
      <xdr:row>0</xdr:row>
      <xdr:rowOff>114298</xdr:rowOff>
    </xdr:from>
    <xdr:to>
      <xdr:col>9</xdr:col>
      <xdr:colOff>295275</xdr:colOff>
      <xdr:row>47</xdr:row>
      <xdr:rowOff>31749</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161926" y="114298"/>
          <a:ext cx="5619749" cy="752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学校関係者（教職員）からの意見を分析すると、以下のような傾向が見られます：</a:t>
          </a:r>
        </a:p>
        <a:p>
          <a:endParaRPr kumimoji="1" lang="ja-JP" altLang="en-US" sz="1100" kern="1200"/>
        </a:p>
        <a:p>
          <a:r>
            <a:rPr kumimoji="1" lang="ja-JP" altLang="en-US" sz="1100" kern="1200"/>
            <a:t>肯定的な意見：</a:t>
          </a:r>
        </a:p>
        <a:p>
          <a:r>
            <a:rPr kumimoji="1" lang="en-US" altLang="ja-JP" sz="1100" kern="1200"/>
            <a:t>- </a:t>
          </a:r>
          <a:r>
            <a:rPr kumimoji="1" lang="ja-JP" altLang="en-US" sz="1100" kern="1200"/>
            <a:t>教職員の年休取得促進につながり有意義</a:t>
          </a:r>
        </a:p>
        <a:p>
          <a:r>
            <a:rPr kumimoji="1" lang="en-US" altLang="ja-JP" sz="1100" kern="1200"/>
            <a:t>- </a:t>
          </a:r>
          <a:r>
            <a:rPr kumimoji="1" lang="ja-JP" altLang="en-US" sz="1100" kern="1200"/>
            <a:t>業務整理や教材準備の時間が確保できた</a:t>
          </a:r>
        </a:p>
        <a:p>
          <a:r>
            <a:rPr kumimoji="1" lang="en-US" altLang="ja-JP" sz="1100" kern="1200"/>
            <a:t>- </a:t>
          </a:r>
          <a:r>
            <a:rPr kumimoji="1" lang="ja-JP" altLang="en-US" sz="1100" kern="1200"/>
            <a:t>リフレッシュの機会として歓迎</a:t>
          </a:r>
        </a:p>
        <a:p>
          <a:r>
            <a:rPr kumimoji="1" lang="en-US" altLang="ja-JP" sz="1100" kern="1200"/>
            <a:t>- </a:t>
          </a:r>
          <a:r>
            <a:rPr kumimoji="1" lang="ja-JP" altLang="en-US" sz="1100" kern="1200"/>
            <a:t>家族との時間を持てて良かった</a:t>
          </a:r>
        </a:p>
        <a:p>
          <a:endParaRPr kumimoji="1" lang="ja-JP" altLang="en-US" sz="1100" kern="1200"/>
        </a:p>
        <a:p>
          <a:r>
            <a:rPr kumimoji="1" lang="ja-JP" altLang="en-US" sz="1100" kern="1200"/>
            <a:t>課題と改善点：</a:t>
          </a:r>
        </a:p>
        <a:p>
          <a:r>
            <a:rPr kumimoji="1" lang="en-US" altLang="ja-JP" sz="1100" kern="1200"/>
            <a:t>1. </a:t>
          </a:r>
          <a:r>
            <a:rPr kumimoji="1" lang="ja-JP" altLang="en-US" sz="1100" kern="1200"/>
            <a:t>実施時期について：</a:t>
          </a:r>
        </a:p>
        <a:p>
          <a:r>
            <a:rPr kumimoji="1" lang="en-US" altLang="ja-JP" sz="1100" kern="1200"/>
            <a:t>- </a:t>
          </a:r>
          <a:r>
            <a:rPr kumimoji="1" lang="ja-JP" altLang="en-US" sz="1100" kern="1200"/>
            <a:t>テスト期間と重なり生徐がテスト勉強で過ごすことになった</a:t>
          </a:r>
        </a:p>
        <a:p>
          <a:r>
            <a:rPr kumimoji="1" lang="en-US" altLang="ja-JP" sz="1100" kern="1200"/>
            <a:t>- 6</a:t>
          </a:r>
          <a:r>
            <a:rPr kumimoji="1" lang="ja-JP" altLang="en-US" sz="1100" kern="1200"/>
            <a:t>月など祝日のない月での実施を提案</a:t>
          </a:r>
        </a:p>
        <a:p>
          <a:r>
            <a:rPr kumimoji="1" lang="en-US" altLang="ja-JP" sz="1100" kern="1200"/>
            <a:t>- </a:t>
          </a:r>
          <a:r>
            <a:rPr kumimoji="1" lang="ja-JP" altLang="en-US" sz="1100" kern="1200"/>
            <a:t>ゴールデンウィークなど大型連休と組み合わせる案</a:t>
          </a:r>
        </a:p>
        <a:p>
          <a:endParaRPr kumimoji="1" lang="ja-JP" altLang="en-US" sz="1100" kern="1200"/>
        </a:p>
        <a:p>
          <a:r>
            <a:rPr kumimoji="1" lang="en-US" altLang="ja-JP" sz="1100" kern="1200"/>
            <a:t>2. </a:t>
          </a:r>
          <a:r>
            <a:rPr kumimoji="1" lang="ja-JP" altLang="en-US" sz="1100" kern="1200"/>
            <a:t>運営面での課題：</a:t>
          </a:r>
        </a:p>
        <a:p>
          <a:r>
            <a:rPr kumimoji="1" lang="en-US" altLang="ja-JP" sz="1100" kern="1200"/>
            <a:t>- </a:t>
          </a:r>
          <a:r>
            <a:rPr kumimoji="1" lang="ja-JP" altLang="en-US" sz="1100" kern="1200"/>
            <a:t>研修や出張と重なり休めない教職員がいた</a:t>
          </a:r>
        </a:p>
        <a:p>
          <a:r>
            <a:rPr kumimoji="1" lang="en-US" altLang="ja-JP" sz="1100" kern="1200"/>
            <a:t>- </a:t>
          </a:r>
          <a:r>
            <a:rPr kumimoji="1" lang="ja-JP" altLang="en-US" sz="1100" kern="1200"/>
            <a:t>学校に残る職員が必要で完全休業にならない</a:t>
          </a:r>
        </a:p>
        <a:p>
          <a:r>
            <a:rPr kumimoji="1" lang="en-US" altLang="ja-JP" sz="1100" kern="1200"/>
            <a:t>- </a:t>
          </a:r>
          <a:r>
            <a:rPr kumimoji="1" lang="ja-JP" altLang="en-US" sz="1100" kern="1200"/>
            <a:t>閉庁日とすることを提案する声が多い</a:t>
          </a:r>
        </a:p>
        <a:p>
          <a:endParaRPr kumimoji="1" lang="ja-JP" altLang="en-US" sz="1100" kern="1200"/>
        </a:p>
        <a:p>
          <a:r>
            <a:rPr kumimoji="1" lang="en-US" altLang="ja-JP" sz="1100" kern="1200"/>
            <a:t>3. </a:t>
          </a:r>
          <a:r>
            <a:rPr kumimoji="1" lang="ja-JP" altLang="en-US" sz="1100" kern="1200"/>
            <a:t>地域連携の必要性：</a:t>
          </a:r>
        </a:p>
        <a:p>
          <a:r>
            <a:rPr kumimoji="1" lang="en-US" altLang="ja-JP" sz="1100" kern="1200"/>
            <a:t>- </a:t>
          </a:r>
          <a:r>
            <a:rPr kumimoji="1" lang="ja-JP" altLang="en-US" sz="1100" kern="1200"/>
            <a:t>市単独でなく県全体での実施を望む声</a:t>
          </a:r>
        </a:p>
        <a:p>
          <a:r>
            <a:rPr kumimoji="1" lang="en-US" altLang="ja-JP" sz="1100" kern="1200"/>
            <a:t>- </a:t>
          </a:r>
          <a:r>
            <a:rPr kumimoji="1" lang="ja-JP" altLang="en-US" sz="1100" kern="1200"/>
            <a:t>地域間で実施日が異なり不公平感がある</a:t>
          </a:r>
        </a:p>
        <a:p>
          <a:r>
            <a:rPr kumimoji="1" lang="en-US" altLang="ja-JP" sz="1100" kern="1200"/>
            <a:t>- </a:t>
          </a:r>
          <a:r>
            <a:rPr kumimoji="1" lang="ja-JP" altLang="en-US" sz="1100" kern="1200"/>
            <a:t>他の学校行事との重複を避ける調整が必要</a:t>
          </a:r>
        </a:p>
        <a:p>
          <a:endParaRPr kumimoji="1" lang="ja-JP" altLang="en-US" sz="1100" kern="1200"/>
        </a:p>
        <a:p>
          <a:r>
            <a:rPr kumimoji="1" lang="en-US" altLang="ja-JP" sz="1100" kern="1200"/>
            <a:t>4. </a:t>
          </a:r>
          <a:r>
            <a:rPr kumimoji="1" lang="ja-JP" altLang="en-US" sz="1100" kern="1200"/>
            <a:t>保護者への配慮：</a:t>
          </a:r>
        </a:p>
        <a:p>
          <a:r>
            <a:rPr kumimoji="1" lang="en-US" altLang="ja-JP" sz="1100" kern="1200"/>
            <a:t>- </a:t>
          </a:r>
          <a:r>
            <a:rPr kumimoji="1" lang="ja-JP" altLang="en-US" sz="1100" kern="1200"/>
            <a:t>保護者が休めない家庭の子どもへの対応が必要</a:t>
          </a:r>
        </a:p>
        <a:p>
          <a:r>
            <a:rPr kumimoji="1" lang="en-US" altLang="ja-JP" sz="1100" kern="1200"/>
            <a:t>- </a:t>
          </a:r>
          <a:r>
            <a:rPr kumimoji="1" lang="ja-JP" altLang="en-US" sz="1100" kern="1200"/>
            <a:t>学童保育の負担増加への懸念</a:t>
          </a:r>
        </a:p>
        <a:p>
          <a:r>
            <a:rPr kumimoji="1" lang="en-US" altLang="ja-JP" sz="1100" kern="1200"/>
            <a:t>- </a:t>
          </a:r>
          <a:r>
            <a:rPr kumimoji="1" lang="ja-JP" altLang="en-US" sz="1100" kern="1200"/>
            <a:t>企業への周知と協力要請の必要性を指摘</a:t>
          </a:r>
        </a:p>
        <a:p>
          <a:endParaRPr kumimoji="1" lang="ja-JP" altLang="en-US" sz="1100" kern="1200"/>
        </a:p>
        <a:p>
          <a:r>
            <a:rPr kumimoji="1" lang="ja-JP" altLang="en-US" sz="1100" kern="1200"/>
            <a:t>改善提案：</a:t>
          </a:r>
        </a:p>
        <a:p>
          <a:r>
            <a:rPr kumimoji="1" lang="en-US" altLang="ja-JP" sz="1100" kern="1200"/>
            <a:t>- </a:t>
          </a:r>
          <a:r>
            <a:rPr kumimoji="1" lang="ja-JP" altLang="en-US" sz="1100" kern="1200"/>
            <a:t>県民の日などと連携した全県一斉実施</a:t>
          </a:r>
        </a:p>
        <a:p>
          <a:r>
            <a:rPr kumimoji="1" lang="en-US" altLang="ja-JP" sz="1100" kern="1200"/>
            <a:t>- </a:t>
          </a:r>
          <a:r>
            <a:rPr kumimoji="1" lang="ja-JP" altLang="en-US" sz="1100" kern="1200"/>
            <a:t>学校閉庁日としての実施</a:t>
          </a:r>
        </a:p>
        <a:p>
          <a:r>
            <a:rPr kumimoji="1" lang="en-US" altLang="ja-JP" sz="1100" kern="1200"/>
            <a:t>- </a:t>
          </a:r>
          <a:r>
            <a:rPr kumimoji="1" lang="ja-JP" altLang="en-US" sz="1100" kern="1200"/>
            <a:t>より早い段階での日程周知</a:t>
          </a:r>
        </a:p>
        <a:p>
          <a:r>
            <a:rPr kumimoji="1" lang="en-US" altLang="ja-JP" sz="1100" kern="1200"/>
            <a:t>- </a:t>
          </a:r>
          <a:r>
            <a:rPr kumimoji="1" lang="ja-JP" altLang="en-US" sz="1100" kern="1200"/>
            <a:t>研修や出張を入れない配慮</a:t>
          </a:r>
        </a:p>
        <a:p>
          <a:r>
            <a:rPr kumimoji="1" lang="en-US" altLang="ja-JP" sz="1100" kern="1200"/>
            <a:t>- </a:t>
          </a:r>
          <a:r>
            <a:rPr kumimoji="1" lang="ja-JP" altLang="en-US" sz="1100" kern="1200"/>
            <a:t>地域イベントとの連携強化</a:t>
          </a:r>
        </a:p>
        <a:p>
          <a:endParaRPr kumimoji="1" lang="ja-JP" altLang="en-US" sz="1100" kern="1200"/>
        </a:p>
        <a:p>
          <a:r>
            <a:rPr kumimoji="1" lang="ja-JP" altLang="en-US" sz="1100" kern="1200"/>
            <a:t>全体として、取り組みの趣旨には賛同する声が多いものの、実施方法については様々な課題が指摘されており、特に完全実施のための環境整備を求める意見が目立ちます。</a:t>
          </a:r>
        </a:p>
      </xdr:txBody>
    </xdr:sp>
    <xdr:clientData/>
  </xdr:twoCellAnchor>
  <xdr:twoCellAnchor>
    <xdr:from>
      <xdr:col>10</xdr:col>
      <xdr:colOff>457200</xdr:colOff>
      <xdr:row>1</xdr:row>
      <xdr:rowOff>3174</xdr:rowOff>
    </xdr:from>
    <xdr:to>
      <xdr:col>19</xdr:col>
      <xdr:colOff>400049</xdr:colOff>
      <xdr:row>45</xdr:row>
      <xdr:rowOff>57150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6553200" y="165099"/>
          <a:ext cx="5429249" cy="7178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データ分析（全体）</a:t>
          </a:r>
        </a:p>
        <a:p>
          <a:endParaRPr kumimoji="1" lang="ja-JP" altLang="en-US" sz="1100" kern="1200"/>
        </a:p>
        <a:p>
          <a:r>
            <a:rPr kumimoji="1" lang="en-US" altLang="ja-JP" sz="1100" kern="1200"/>
            <a:t>【</a:t>
          </a:r>
          <a:r>
            <a:rPr kumimoji="1" lang="ja-JP" altLang="en-US" sz="1100" kern="1200"/>
            <a:t>肯定的な意見</a:t>
          </a:r>
          <a:r>
            <a:rPr kumimoji="1" lang="en-US" altLang="ja-JP" sz="1100" kern="1200"/>
            <a:t>】</a:t>
          </a:r>
          <a:endParaRPr kumimoji="1" lang="ja-JP" altLang="en-US" sz="1100" kern="1200"/>
        </a:p>
        <a:p>
          <a:r>
            <a:rPr kumimoji="1" lang="ja-JP" altLang="en-US" sz="1100" kern="1200"/>
            <a:t>・年休取得の良い機会となった</a:t>
          </a:r>
        </a:p>
        <a:p>
          <a:r>
            <a:rPr kumimoji="1" lang="ja-JP" altLang="en-US" sz="1100" kern="1200"/>
            <a:t>・業務整理の時間が確保できた</a:t>
          </a:r>
        </a:p>
        <a:p>
          <a:r>
            <a:rPr kumimoji="1" lang="ja-JP" altLang="en-US" sz="1100" kern="1200"/>
            <a:t>・リフレッシュできた</a:t>
          </a:r>
        </a:p>
        <a:p>
          <a:endParaRPr kumimoji="1" lang="ja-JP" altLang="en-US" sz="1100" kern="1200"/>
        </a:p>
        <a:p>
          <a:r>
            <a:rPr kumimoji="1" lang="en-US" altLang="ja-JP" sz="1100" kern="1200"/>
            <a:t>【</a:t>
          </a:r>
          <a:r>
            <a:rPr kumimoji="1" lang="ja-JP" altLang="en-US" sz="1100" kern="1200"/>
            <a:t>主な課題</a:t>
          </a:r>
          <a:r>
            <a:rPr kumimoji="1" lang="en-US" altLang="ja-JP" sz="1100" kern="1200"/>
            <a:t>】</a:t>
          </a:r>
          <a:endParaRPr kumimoji="1" lang="ja-JP" altLang="en-US" sz="1100" kern="1200"/>
        </a:p>
        <a:p>
          <a:r>
            <a:rPr kumimoji="1" lang="ja-JP" altLang="en-US" sz="1100" kern="1200"/>
            <a:t>●</a:t>
          </a:r>
          <a:r>
            <a:rPr kumimoji="1" lang="en-US" altLang="ja-JP" sz="1100" kern="1200"/>
            <a:t> </a:t>
          </a:r>
          <a:r>
            <a:rPr kumimoji="1" lang="ja-JP" altLang="en-US" sz="1100" kern="1200"/>
            <a:t>実施時期について</a:t>
          </a:r>
        </a:p>
        <a:p>
          <a:r>
            <a:rPr kumimoji="1" lang="ja-JP" altLang="en-US" sz="1100" kern="1200"/>
            <a:t>・テスト期間と重なった</a:t>
          </a:r>
        </a:p>
        <a:p>
          <a:r>
            <a:rPr kumimoji="1" lang="ja-JP" altLang="en-US" sz="1100" kern="1200"/>
            <a:t>・他の学校行事と重複</a:t>
          </a:r>
        </a:p>
        <a:p>
          <a:r>
            <a:rPr kumimoji="1" lang="ja-JP" altLang="en-US" sz="1100" kern="1200"/>
            <a:t>・もっと休暇が取りにくい月（</a:t>
          </a:r>
          <a:r>
            <a:rPr kumimoji="1" lang="en-US" altLang="ja-JP" sz="1100" kern="1200"/>
            <a:t>6</a:t>
          </a:r>
          <a:r>
            <a:rPr kumimoji="1" lang="ja-JP" altLang="en-US" sz="1100" kern="1200"/>
            <a:t>月など）での実施を希望</a:t>
          </a:r>
        </a:p>
        <a:p>
          <a:endParaRPr kumimoji="1" lang="ja-JP" altLang="en-US" sz="1100" kern="1200"/>
        </a:p>
        <a:p>
          <a:r>
            <a:rPr kumimoji="1" lang="ja-JP" altLang="en-US" sz="1100" kern="1200"/>
            <a:t>●運営上の課題</a:t>
          </a:r>
        </a:p>
        <a:p>
          <a:r>
            <a:rPr kumimoji="1" lang="ja-JP" altLang="en-US" sz="1100" kern="1200"/>
            <a:t>・研修・出張と重なり休めない教職員がいた</a:t>
          </a:r>
        </a:p>
        <a:p>
          <a:r>
            <a:rPr kumimoji="1" lang="ja-JP" altLang="en-US" sz="1100" kern="1200"/>
            <a:t>・誰かが学校に残らないといけない</a:t>
          </a:r>
        </a:p>
        <a:p>
          <a:r>
            <a:rPr kumimoji="1" lang="ja-JP" altLang="en-US" sz="1100" kern="1200"/>
            <a:t>・地域によって実施日が違うこと</a:t>
          </a:r>
        </a:p>
        <a:p>
          <a:endParaRPr kumimoji="1" lang="ja-JP" altLang="en-US" sz="1100" kern="1200"/>
        </a:p>
        <a:p>
          <a:r>
            <a:rPr kumimoji="1" lang="ja-JP" altLang="en-US" sz="1100" kern="1200"/>
            <a:t>●改善への提案</a:t>
          </a:r>
        </a:p>
        <a:p>
          <a:r>
            <a:rPr kumimoji="1" lang="ja-JP" altLang="en-US" sz="1100" kern="1200"/>
            <a:t>・県全体での一斉実施</a:t>
          </a:r>
        </a:p>
        <a:p>
          <a:r>
            <a:rPr kumimoji="1" lang="ja-JP" altLang="en-US" sz="1100" kern="1200"/>
            <a:t>・完全閉庁日にする</a:t>
          </a:r>
        </a:p>
        <a:p>
          <a:r>
            <a:rPr kumimoji="1" lang="ja-JP" altLang="en-US" sz="1100" kern="1200"/>
            <a:t>・研修や出張を入れない日程調整</a:t>
          </a:r>
        </a:p>
        <a:p>
          <a:r>
            <a:rPr kumimoji="1" lang="ja-JP" altLang="en-US" sz="1100" kern="1200"/>
            <a:t>・より早い段階での周知</a:t>
          </a:r>
        </a:p>
        <a:p>
          <a:endParaRPr kumimoji="1" lang="en-US" altLang="ja-JP" sz="1100" kern="1200"/>
        </a:p>
        <a:p>
          <a:endParaRPr kumimoji="1" lang="ja-JP" altLang="en-US" sz="1100" kern="1200"/>
        </a:p>
        <a:p>
          <a:r>
            <a:rPr kumimoji="1" lang="ja-JP" altLang="en-US" sz="1100" kern="1200"/>
            <a:t>・教職員としては概ね歓迎する声が多いものの、運営方法については改善の余地があるという意見があった。</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34</xdr:row>
      <xdr:rowOff>114301</xdr:rowOff>
    </xdr:from>
    <xdr:to>
      <xdr:col>10</xdr:col>
      <xdr:colOff>923925</xdr:colOff>
      <xdr:row>61</xdr:row>
      <xdr:rowOff>47626</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600075" y="8220076"/>
          <a:ext cx="85725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肯定的な意見：</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教職員の年休取得促進につながり有意義</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業務整理や教材準備の時間が確保できた</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リフレッシュの機会として歓迎</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家族との時間を持てて良かった</a:t>
          </a:r>
          <a:endParaRPr lang="ja-JP" altLang="ja-JP" sz="1200">
            <a:effectLst/>
          </a:endParaRPr>
        </a:p>
        <a:p>
          <a:r>
            <a:rPr kumimoji="1" lang="ja-JP" altLang="ja-JP" sz="1100">
              <a:solidFill>
                <a:schemeClr val="dk1"/>
              </a:solidFill>
              <a:effectLst/>
              <a:latin typeface="+mn-lt"/>
              <a:ea typeface="+mn-ea"/>
              <a:cs typeface="+mn-cs"/>
            </a:rPr>
            <a:t>課題と改善点：</a:t>
          </a:r>
          <a:endParaRPr lang="ja-JP" altLang="ja-JP" sz="1200">
            <a:effectLst/>
          </a:endParaRPr>
        </a:p>
        <a:p>
          <a:r>
            <a:rPr kumimoji="1" lang="en-US" altLang="ja-JP" sz="1100">
              <a:solidFill>
                <a:schemeClr val="dk1"/>
              </a:solidFill>
              <a:effectLst/>
              <a:latin typeface="+mn-lt"/>
              <a:ea typeface="+mn-ea"/>
              <a:cs typeface="+mn-cs"/>
            </a:rPr>
            <a:t>1. </a:t>
          </a:r>
          <a:r>
            <a:rPr kumimoji="1" lang="ja-JP" altLang="ja-JP" sz="1100">
              <a:solidFill>
                <a:schemeClr val="dk1"/>
              </a:solidFill>
              <a:effectLst/>
              <a:latin typeface="+mn-lt"/>
              <a:ea typeface="+mn-ea"/>
              <a:cs typeface="+mn-cs"/>
            </a:rPr>
            <a:t>実施時期について：</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テスト期間と重なり生徐がテスト勉強で過ごすことになった</a:t>
          </a:r>
          <a:endParaRPr lang="ja-JP" altLang="ja-JP" sz="1200">
            <a:effectLst/>
          </a:endParaRPr>
        </a:p>
        <a:p>
          <a:r>
            <a:rPr kumimoji="1" lang="en-US" altLang="ja-JP" sz="1100">
              <a:solidFill>
                <a:schemeClr val="dk1"/>
              </a:solidFill>
              <a:effectLst/>
              <a:latin typeface="+mn-lt"/>
              <a:ea typeface="+mn-ea"/>
              <a:cs typeface="+mn-cs"/>
            </a:rPr>
            <a:t>- 6</a:t>
          </a:r>
          <a:r>
            <a:rPr kumimoji="1" lang="ja-JP" altLang="ja-JP" sz="1100">
              <a:solidFill>
                <a:schemeClr val="dk1"/>
              </a:solidFill>
              <a:effectLst/>
              <a:latin typeface="+mn-lt"/>
              <a:ea typeface="+mn-ea"/>
              <a:cs typeface="+mn-cs"/>
            </a:rPr>
            <a:t>月など祝日のない月での実施を提案</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ゴールデンウィークなど大型連休と組み合わせる案</a:t>
          </a:r>
          <a:endParaRPr lang="ja-JP" altLang="ja-JP" sz="1200">
            <a:effectLst/>
          </a:endParaRPr>
        </a:p>
        <a:p>
          <a:r>
            <a:rPr kumimoji="1" lang="en-US" altLang="ja-JP" sz="1100">
              <a:solidFill>
                <a:schemeClr val="dk1"/>
              </a:solidFill>
              <a:effectLst/>
              <a:latin typeface="+mn-lt"/>
              <a:ea typeface="+mn-ea"/>
              <a:cs typeface="+mn-cs"/>
            </a:rPr>
            <a:t>2. </a:t>
          </a:r>
          <a:r>
            <a:rPr kumimoji="1" lang="ja-JP" altLang="ja-JP" sz="1100">
              <a:solidFill>
                <a:schemeClr val="dk1"/>
              </a:solidFill>
              <a:effectLst/>
              <a:latin typeface="+mn-lt"/>
              <a:ea typeface="+mn-ea"/>
              <a:cs typeface="+mn-cs"/>
            </a:rPr>
            <a:t>運営面での課題：</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研修や出張と重なり休めない教職員がいた</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学校に残る職員が必要で完全休業にならない</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閉庁日とすることを提案する声が多い</a:t>
          </a:r>
          <a:endParaRPr lang="ja-JP" altLang="ja-JP" sz="1200">
            <a:effectLst/>
          </a:endParaRPr>
        </a:p>
        <a:p>
          <a:r>
            <a:rPr kumimoji="1" lang="en-US" altLang="ja-JP" sz="1100">
              <a:solidFill>
                <a:schemeClr val="dk1"/>
              </a:solidFill>
              <a:effectLst/>
              <a:latin typeface="+mn-lt"/>
              <a:ea typeface="+mn-ea"/>
              <a:cs typeface="+mn-cs"/>
            </a:rPr>
            <a:t>3. </a:t>
          </a:r>
          <a:r>
            <a:rPr kumimoji="1" lang="ja-JP" altLang="ja-JP" sz="1100">
              <a:solidFill>
                <a:schemeClr val="dk1"/>
              </a:solidFill>
              <a:effectLst/>
              <a:latin typeface="+mn-lt"/>
              <a:ea typeface="+mn-ea"/>
              <a:cs typeface="+mn-cs"/>
            </a:rPr>
            <a:t>地域連携の必要性：</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市単独でなく県全体での実施を望む声</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地域間で実施日が異なり不公平感がある</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他の学校行事との重複を避ける調整が必要</a:t>
          </a:r>
          <a:endParaRPr lang="ja-JP" altLang="ja-JP" sz="1200">
            <a:effectLst/>
          </a:endParaRPr>
        </a:p>
        <a:p>
          <a:r>
            <a:rPr kumimoji="1" lang="en-US" altLang="ja-JP" sz="1100">
              <a:solidFill>
                <a:schemeClr val="dk1"/>
              </a:solidFill>
              <a:effectLst/>
              <a:latin typeface="+mn-lt"/>
              <a:ea typeface="+mn-ea"/>
              <a:cs typeface="+mn-cs"/>
            </a:rPr>
            <a:t>4. </a:t>
          </a:r>
          <a:r>
            <a:rPr kumimoji="1" lang="ja-JP" altLang="ja-JP" sz="1100">
              <a:solidFill>
                <a:schemeClr val="dk1"/>
              </a:solidFill>
              <a:effectLst/>
              <a:latin typeface="+mn-lt"/>
              <a:ea typeface="+mn-ea"/>
              <a:cs typeface="+mn-cs"/>
            </a:rPr>
            <a:t>保護者への配慮：</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保護者が休めない家庭の子どもへの対応が必要</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学童保育の負担増加への懸念</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企業への周知と協力要請の必要性を指摘</a:t>
          </a:r>
          <a:endParaRPr lang="ja-JP" altLang="ja-JP" sz="1200">
            <a:effectLst/>
          </a:endParaRPr>
        </a:p>
        <a:p>
          <a:r>
            <a:rPr kumimoji="1" lang="ja-JP" altLang="ja-JP" sz="1100">
              <a:solidFill>
                <a:schemeClr val="dk1"/>
              </a:solidFill>
              <a:effectLst/>
              <a:latin typeface="+mn-lt"/>
              <a:ea typeface="+mn-ea"/>
              <a:cs typeface="+mn-cs"/>
            </a:rPr>
            <a:t>改善提案：</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県民の日などと連携した全県一斉実施</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学校閉庁日としての実施</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より早い段階での日程周知</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研修や出張を入れない配慮</a:t>
          </a:r>
          <a:endParaRPr lang="ja-JP" altLang="ja-JP" sz="1200">
            <a:effectLst/>
          </a:endParaRPr>
        </a:p>
        <a:p>
          <a:r>
            <a:rPr kumimoji="1" lang="en-US" altLang="ja-JP"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地域イベントとの連携強化</a:t>
          </a:r>
          <a:endParaRPr lang="ja-JP" altLang="ja-JP" sz="1200">
            <a:effectLst/>
          </a:endParaRPr>
        </a:p>
        <a:p>
          <a:r>
            <a:rPr kumimoji="1" lang="ja-JP" altLang="ja-JP" sz="1100">
              <a:solidFill>
                <a:schemeClr val="dk1"/>
              </a:solidFill>
              <a:effectLst/>
              <a:latin typeface="+mn-lt"/>
              <a:ea typeface="+mn-ea"/>
              <a:cs typeface="+mn-cs"/>
            </a:rPr>
            <a:t>全体として、取り組みの趣旨には賛同する声が多いものの、実施方法については様々な課題が指摘されており、特に完全実施のための環境整備を求める意見が目立ちます。</a:t>
          </a:r>
          <a:endParaRPr lang="ja-JP" altLang="ja-JP" sz="1200">
            <a:effectLst/>
          </a:endParaRPr>
        </a:p>
        <a:p>
          <a:endParaRPr kumimoji="1" lang="en-US" altLang="ja-JP" sz="1200" kern="1200">
            <a:latin typeface="UD デジタル 教科書体 N" panose="02020400000000000000" pitchFamily="17" charset="-128"/>
            <a:ea typeface="UD デジタル 教科書体 N" panose="02020400000000000000" pitchFamily="17" charset="-128"/>
          </a:endParaRPr>
        </a:p>
      </xdr:txBody>
    </xdr:sp>
    <xdr:clientData/>
  </xdr:twoCellAnchor>
  <xdr:twoCellAnchor>
    <xdr:from>
      <xdr:col>3</xdr:col>
      <xdr:colOff>0</xdr:colOff>
      <xdr:row>65</xdr:row>
      <xdr:rowOff>104775</xdr:rowOff>
    </xdr:from>
    <xdr:to>
      <xdr:col>10</xdr:col>
      <xdr:colOff>1066800</xdr:colOff>
      <xdr:row>92</xdr:row>
      <xdr:rowOff>28575</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533400" y="15668625"/>
          <a:ext cx="8782050" cy="5934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データ分析（全体）</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肯定的な意見</a:t>
          </a:r>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p>
        <a:p>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・子どもと過ごすことができ、取組に賛成する。</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・新しい取組として、とても良い取組だと感じた。</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・年休取得の良い機会となった</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・業務整理の時間が確保できた</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lang="ja-JP" altLang="en-US" sz="1200">
              <a:effectLst/>
              <a:latin typeface="UD デジタル 教科書体 NP-R" panose="02020400000000000000" pitchFamily="18" charset="-128"/>
              <a:ea typeface="UD デジタル 教科書体 NP-R" panose="02020400000000000000" pitchFamily="18" charset="-128"/>
            </a:rPr>
            <a:t>・当日に合わせて、市内で様々なイベントが計画されていたのが良かった。</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・リフレッシュできた</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主な課題</a:t>
          </a:r>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 </a:t>
          </a:r>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実施時期について</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・テスト期間と重なった</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lang="ja-JP" altLang="en-US" sz="1200">
              <a:effectLst/>
              <a:latin typeface="UD デジタル 教科書体 NP-R" panose="02020400000000000000" pitchFamily="18" charset="-128"/>
              <a:ea typeface="UD デジタル 教科書体 NP-R" panose="02020400000000000000" pitchFamily="18" charset="-128"/>
            </a:rPr>
            <a:t>・研修と重なりがあった。</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・もっと休暇が取りにくい月（</a:t>
          </a:r>
          <a:r>
            <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6</a:t>
          </a:r>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月など）での実施を希望</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する。</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●運営上の課題</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r>
            <a:rPr lang="ja-JP" altLang="en-US" sz="1200">
              <a:effectLst/>
              <a:latin typeface="UD デジタル 教科書体 NP-R" panose="02020400000000000000" pitchFamily="18" charset="-128"/>
              <a:ea typeface="UD デジタル 教科書体 NP-R" panose="02020400000000000000" pitchFamily="18" charset="-128"/>
            </a:rPr>
            <a:t>・保護者が休暇が取得できないと意味がないのではないか。</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・研修・出張と重なり休めない教職員がいた</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・誰かが学校に残らないといけない</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・地域によって実施日が違うこと</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●改善への提案</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・県全体での一斉実施</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・完全閉庁日にする</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・研修や出張を入れない日程調整</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・より早い段階での周知</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a:t>
          </a:r>
          <a:endParaRPr kumimoji="1" lang="en-US"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endParaRPr>
        </a:p>
        <a:p>
          <a:endParaRPr lang="ja-JP" altLang="ja-JP" sz="1200">
            <a:effectLst/>
            <a:latin typeface="UD デジタル 教科書体 NP-R" panose="02020400000000000000" pitchFamily="18" charset="-128"/>
            <a:ea typeface="UD デジタル 教科書体 NP-R" panose="02020400000000000000" pitchFamily="18" charset="-128"/>
          </a:endParaRPr>
        </a:p>
        <a:p>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・教職員としては概ね歓迎する声が多いものの、</a:t>
          </a:r>
          <a:r>
            <a:rPr kumimoji="1" lang="ja-JP" altLang="en-US"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実施</a:t>
          </a:r>
          <a:r>
            <a:rPr kumimoji="1" lang="ja-JP" altLang="ja-JP" sz="1200">
              <a:solidFill>
                <a:schemeClr val="dk1"/>
              </a:solidFill>
              <a:effectLst/>
              <a:latin typeface="UD デジタル 教科書体 NP-R" panose="02020400000000000000" pitchFamily="18" charset="-128"/>
              <a:ea typeface="UD デジタル 教科書体 NP-R" panose="02020400000000000000" pitchFamily="18" charset="-128"/>
              <a:cs typeface="+mn-cs"/>
            </a:rPr>
            <a:t>方法については改善の余地があるという意見があった。</a:t>
          </a:r>
          <a:endParaRPr lang="ja-JP" altLang="ja-JP" sz="1200">
            <a:effectLst/>
            <a:latin typeface="UD デジタル 教科書体 NP-R" panose="02020400000000000000" pitchFamily="18" charset="-128"/>
            <a:ea typeface="UD デジタル 教科書体 NP-R" panose="02020400000000000000" pitchFamily="18" charset="-128"/>
          </a:endParaRPr>
        </a:p>
        <a:p>
          <a:endParaRPr kumimoji="1" lang="ja-JP" altLang="en-US" sz="1200" kern="1200">
            <a:latin typeface="UD デジタル 教科書体 NP-R" panose="02020400000000000000" pitchFamily="18" charset="-128"/>
            <a:ea typeface="UD デジタル 教科書体 NP-R" panose="02020400000000000000" pitchFamily="18" charset="-128"/>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佐藤 法文" refreshedDate="45677.536873263889" createdVersion="4" refreshedVersion="4" minRefreshableVersion="3" recordCount="247" xr:uid="{00000000-000A-0000-FFFF-FFFF00000000}">
  <cacheSource type="worksheet">
    <worksheetSource name="Form_Responses1"/>
  </cacheSource>
  <cacheFields count="6">
    <cacheField name="タイムスタンプ" numFmtId="176">
      <sharedItems containsSemiMixedTypes="0" containsNonDate="0" containsDate="1" containsString="0" minDate="2024-11-25T11:53:14" maxDate="2024-12-09T20:32:55"/>
    </cacheField>
    <cacheField name="問１　あなたの職名は次の選択肢の中では何になりますか" numFmtId="0">
      <sharedItems count="6">
        <s v="教諭・養護教諭・養護助教諭・事務主幹・事務副主幹・事務主事"/>
        <s v="校長・教頭・主幹教諭"/>
        <s v="非常勤講師"/>
        <s v="常勤講師"/>
        <s v="上記以外の倉吉市職員"/>
        <s v="事務職員"/>
      </sharedItems>
    </cacheField>
    <cacheField name="問２　休暇を取得されましたか" numFmtId="0">
      <sharedItems count="2">
        <s v="取得した"/>
        <s v="取得していない"/>
      </sharedItems>
    </cacheField>
    <cacheField name="問３－Ａ　どのように過ごされましたか" numFmtId="0">
      <sharedItems containsBlank="1" count="32">
        <s v="心身の休養やリフレッシュ"/>
        <s v="家庭でできる仕事（教材研究など）を行った"/>
        <m/>
        <s v="子どもと一緒に過ごした"/>
        <s v="家庭の畑の世話"/>
        <s v="家庭でできる自己研鑽（教材研究など）を行った"/>
        <s v="期末テストの作成"/>
        <s v="銀行で通帳作り、通院"/>
        <s v="役場や銀行、病院に行った"/>
        <s v="半日は出張、半日は心身のリフレッシュ"/>
        <s v="半日出勤　テスト作り"/>
        <s v="仕事（テスト作問）"/>
        <s v="校長と入れ替わりで２時間ほど年休をいただき、少しだけ体を休めました。"/>
        <s v="休養しつつ、普段、できない手続きなどを行なった。"/>
        <s v="家の掃除と学校の仕事"/>
        <s v="午前中は休暇を取り、午後は研修会があったため仕事として参加した。"/>
        <s v="午後から出張だったので、時間調整"/>
        <s v="我が子の参観日に行きました。"/>
        <s v="農作業"/>
        <s v="午後から出張だったため、午前のみ年休を取得し、午後は勤務した。"/>
        <s v="運転免許更新をした。"/>
        <s v="日頃できない通院、溜まっている業務などをした。"/>
        <s v="出張が入っていいたため、時間給をとりました"/>
        <s v="時間を自由に使えるよう年休は取得したが、溜まっている仕事をした。"/>
        <s v="テスト作成"/>
        <s v="学校で仕事をした"/>
        <s v="病院で精密検査"/>
        <s v="買い物に出かけた。"/>
        <s v="ボランティアに参加した"/>
        <s v="午後から出張の準備"/>
        <s v="定期通院診察"/>
        <s v="病院に行った。家の片付けなどをして過ごした。"/>
      </sharedItems>
    </cacheField>
    <cacheField name="問３－Ｂ　" numFmtId="0">
      <sharedItems containsBlank="1" count="14">
        <m/>
        <s v="勤務した"/>
        <s v="出張だったため。"/>
        <s v="１日出張"/>
        <s v="出張"/>
        <s v="県外出張"/>
        <s v="他の日の超過勤務分に振り替えた"/>
        <s v="公休になった"/>
        <s v="勤務日ではない"/>
        <s v="出張でした。"/>
        <s v="勤務の振り替えがない"/>
        <s v="勤務を要する日ではないため"/>
        <s v="公休扱いです"/>
        <s v="午前中は休暇をとり、午後は全県の会があったため勤務した。"/>
      </sharedItems>
    </cacheField>
    <cacheField name="問４　今後に向けてお気づきの点などのご意見をお書きください"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7">
  <r>
    <d v="2024-11-25T11:53:14"/>
    <x v="0"/>
    <x v="0"/>
    <x v="0"/>
    <x v="0"/>
    <s v="今後も続けてほしい"/>
  </r>
  <r>
    <d v="2024-11-25T11:53:15"/>
    <x v="0"/>
    <x v="0"/>
    <x v="1"/>
    <x v="0"/>
    <s v="年に何回かする方向なのか"/>
  </r>
  <r>
    <d v="2024-11-25T11:53:41"/>
    <x v="1"/>
    <x v="1"/>
    <x v="2"/>
    <x v="1"/>
    <m/>
  </r>
  <r>
    <d v="2024-11-25T11:54:42"/>
    <x v="1"/>
    <x v="1"/>
    <x v="2"/>
    <x v="1"/>
    <s v="特にない"/>
  </r>
  <r>
    <d v="2024-11-25T11:57:31"/>
    <x v="2"/>
    <x v="0"/>
    <x v="0"/>
    <x v="0"/>
    <m/>
  </r>
  <r>
    <d v="2024-11-25T11:57:48"/>
    <x v="0"/>
    <x v="0"/>
    <x v="0"/>
    <x v="0"/>
    <m/>
  </r>
  <r>
    <d v="2024-11-25T11:58:46"/>
    <x v="1"/>
    <x v="1"/>
    <x v="2"/>
    <x v="1"/>
    <s v="閉庁日にしてしまってはどうでしょうか"/>
  </r>
  <r>
    <d v="2024-11-25T11:59:36"/>
    <x v="2"/>
    <x v="1"/>
    <x v="2"/>
    <x v="1"/>
    <s v="県内で「鳥取県民の休日」とかを作ってしまえばいい"/>
  </r>
  <r>
    <d v="2024-11-25T12:00:08"/>
    <x v="0"/>
    <x v="0"/>
    <x v="3"/>
    <x v="0"/>
    <m/>
  </r>
  <r>
    <d v="2024-11-25T12:00:26"/>
    <x v="3"/>
    <x v="0"/>
    <x v="3"/>
    <x v="0"/>
    <m/>
  </r>
  <r>
    <d v="2024-11-25T12:00:42"/>
    <x v="0"/>
    <x v="0"/>
    <x v="0"/>
    <x v="0"/>
    <m/>
  </r>
  <r>
    <d v="2024-11-25T12:01:11"/>
    <x v="0"/>
    <x v="0"/>
    <x v="1"/>
    <x v="0"/>
    <m/>
  </r>
  <r>
    <d v="2024-11-25T12:02:20"/>
    <x v="0"/>
    <x v="0"/>
    <x v="4"/>
    <x v="0"/>
    <s v="閉庁日にしてしまったらいいのではないでしょうか"/>
  </r>
  <r>
    <d v="2024-11-27T13:01:03"/>
    <x v="1"/>
    <x v="0"/>
    <x v="0"/>
    <x v="0"/>
    <s v="この取組は賛成。実現は難しいが、中部で一斉になれば個人的には嬉しい。自分の子どもと過ごせるので。_x000a_期日はカレンダーを勘案して毎年変わっても良いと思う。"/>
  </r>
  <r>
    <d v="2024-11-27T15:50:36"/>
    <x v="1"/>
    <x v="1"/>
    <x v="2"/>
    <x v="1"/>
    <s v="趣旨は理解していますが、家庭によって状況も違い、児童クラブを利用せざるを得ないご家庭もありました。つまり、児童クラブも開ける必要があるということです。職場が同じ保護者は誰かが出勤するので一斉に休もことが困難であるとの声もありました。可能であれば鳥取県民の日を全市町村一斉に休みになれば調整があまり必要ないのかもしれないとの声もありました。_x000a_子どもたちはお休みなので純粋に喜んでいたり、朝からどこに行くとかの話をしている様子もあったので、今後もづづける場合は、全体の設計を再度検討いただき、職員の勤務についても閉庁にするなどの対応もアリかと思います。"/>
  </r>
  <r>
    <d v="2024-11-27T18:28:00"/>
    <x v="1"/>
    <x v="1"/>
    <x v="2"/>
    <x v="2"/>
    <s v="三連休がない、６月にあるといいなと思いました。"/>
  </r>
  <r>
    <d v="2024-11-27T19:42:27"/>
    <x v="0"/>
    <x v="0"/>
    <x v="0"/>
    <x v="0"/>
    <s v="テスト期間中だったので、生徒はあまり休むことができなかったかもしれない。"/>
  </r>
  <r>
    <d v="2024-11-28T07:22:15"/>
    <x v="1"/>
    <x v="1"/>
    <x v="2"/>
    <x v="3"/>
    <m/>
  </r>
  <r>
    <d v="2024-11-28T07:25:47"/>
    <x v="3"/>
    <x v="0"/>
    <x v="5"/>
    <x v="0"/>
    <s v="テスト３日前だと、生徒も先生もゆっくりできません。飛び石連休の中日などに実施していただけたら嬉しいです。"/>
  </r>
  <r>
    <d v="2024-11-28T07:27:55"/>
    <x v="0"/>
    <x v="0"/>
    <x v="5"/>
    <x v="0"/>
    <s v="自分にとってはとても有意義な時間でした。月によって３連休がない月があります。その月に実施されると有効だと思います。"/>
  </r>
  <r>
    <d v="2024-11-28T07:52:43"/>
    <x v="1"/>
    <x v="0"/>
    <x v="0"/>
    <x v="0"/>
    <s v="ありません。"/>
  </r>
  <r>
    <d v="2024-11-28T07:53:49"/>
    <x v="0"/>
    <x v="0"/>
    <x v="0"/>
    <x v="0"/>
    <m/>
  </r>
  <r>
    <d v="2024-11-28T08:06:15"/>
    <x v="0"/>
    <x v="0"/>
    <x v="0"/>
    <x v="0"/>
    <s v="たくさん休みがほしい。"/>
  </r>
  <r>
    <d v="2024-11-28T08:07:44"/>
    <x v="0"/>
    <x v="0"/>
    <x v="3"/>
    <x v="0"/>
    <s v="今回は期末テスト前で部活がない状態の休みだったので教員にとってはとてもよかったと思います。生徒にとってはテスト前なので家族とふれあう時間になったかは疑問です。_x000a_部活がない休日がもっと増えてほしいと思いました。"/>
  </r>
  <r>
    <d v="2024-11-28T08:15:07"/>
    <x v="0"/>
    <x v="0"/>
    <x v="0"/>
    <x v="0"/>
    <m/>
  </r>
  <r>
    <d v="2024-11-28T08:39:47"/>
    <x v="0"/>
    <x v="0"/>
    <x v="6"/>
    <x v="0"/>
    <s v="日々の業務が多忙すぎて、リフレッシュや触れ合いには使うことが出来なかった。でもこの1日がなかったらテストも作成できず業務が回らなかったので、助かった。本来の趣旨からは離れるが、休業日を設定していただいて教職員としてはありがたかった。"/>
  </r>
  <r>
    <d v="2024-11-28T09:20:04"/>
    <x v="0"/>
    <x v="1"/>
    <x v="2"/>
    <x v="1"/>
    <s v="研修の出張が入っていたので、休みをとりませんでした。"/>
  </r>
  <r>
    <d v="2024-11-28T12:12:25"/>
    <x v="0"/>
    <x v="1"/>
    <x v="2"/>
    <x v="1"/>
    <s v="保護者や世の中が休みではないのにある地区だけやってもただの休みで何と触れ合ったのか地域とのふれあいだったのか？全員がふれあえたのかわからなかった。保護者とふれあえたのか？全く持ってよくわからない休みだった。"/>
  </r>
  <r>
    <d v="2024-11-28T12:35:37"/>
    <x v="0"/>
    <x v="0"/>
    <x v="7"/>
    <x v="0"/>
    <m/>
  </r>
  <r>
    <d v="2024-11-28T14:26:43"/>
    <x v="1"/>
    <x v="1"/>
    <x v="2"/>
    <x v="1"/>
    <m/>
  </r>
  <r>
    <d v="2024-11-28T14:31:23"/>
    <x v="0"/>
    <x v="1"/>
    <x v="2"/>
    <x v="4"/>
    <m/>
  </r>
  <r>
    <d v="2024-11-28T15:10:08"/>
    <x v="0"/>
    <x v="0"/>
    <x v="0"/>
    <x v="0"/>
    <s v="新しいとりくみとして、有意義だったと感じます。ただ、家族で過ごす時間をもつことができる家庭がどのくらいあったのか調査して、時期やこのとりくみの浸透具合などについて慎重な話し合いが必要ではないかと感じました。"/>
  </r>
  <r>
    <d v="2024-11-28T15:40:57"/>
    <x v="0"/>
    <x v="0"/>
    <x v="3"/>
    <x v="0"/>
    <m/>
  </r>
  <r>
    <d v="2024-11-28T15:48:15"/>
    <x v="0"/>
    <x v="0"/>
    <x v="3"/>
    <x v="0"/>
    <s v="研修が入っていたので、欠席届を出して年休を取得しました。なるべくその日に研修が入らないように全県に周知していただけたらありがたいと思いました。"/>
  </r>
  <r>
    <d v="2024-11-28T15:56:27"/>
    <x v="0"/>
    <x v="0"/>
    <x v="0"/>
    <x v="0"/>
    <m/>
  </r>
  <r>
    <d v="2024-11-28T15:59:24"/>
    <x v="0"/>
    <x v="0"/>
    <x v="0"/>
    <x v="0"/>
    <s v="年休取得のきっかけとなるため継続してほしい"/>
  </r>
  <r>
    <d v="2024-11-28T16:02:42"/>
    <x v="4"/>
    <x v="0"/>
    <x v="0"/>
    <x v="0"/>
    <m/>
  </r>
  <r>
    <d v="2024-11-28T16:04:59"/>
    <x v="0"/>
    <x v="0"/>
    <x v="0"/>
    <x v="0"/>
    <s v="現場で働く立場からすると今後もぜひ続けていただきたいです。"/>
  </r>
  <r>
    <d v="2024-11-28T16:09:58"/>
    <x v="0"/>
    <x v="0"/>
    <x v="0"/>
    <x v="0"/>
    <m/>
  </r>
  <r>
    <d v="2024-11-28T16:12:06"/>
    <x v="0"/>
    <x v="0"/>
    <x v="0"/>
    <x v="0"/>
    <s v="時期としては今回の時期でいいと思うが、出張が重ならないようにならないものなのかと思った。"/>
  </r>
  <r>
    <d v="2024-11-28T16:15:10"/>
    <x v="0"/>
    <x v="0"/>
    <x v="0"/>
    <x v="0"/>
    <s v="引き続き実施していただきたいと思います。"/>
  </r>
  <r>
    <d v="2024-11-28T16:22:04"/>
    <x v="0"/>
    <x v="0"/>
    <x v="0"/>
    <x v="0"/>
    <m/>
  </r>
  <r>
    <d v="2024-11-28T16:28:18"/>
    <x v="0"/>
    <x v="0"/>
    <x v="0"/>
    <x v="0"/>
    <s v="時期をずらして行えると良いと思いました。本校は学校公開3日間(うち、水曜マラソン大会、木曜人権教育参観日)からのふれあいホリデーで、保護者さんの立場から考えると何日も連続でお休みを取るのが大変なのではという話がありました。_x000a_自分としてはこのような休みがあるのはとてもありがたかったので、これからも続けていただきたいと思いました。"/>
  </r>
  <r>
    <d v="2024-11-28T16:41:27"/>
    <x v="0"/>
    <x v="0"/>
    <x v="0"/>
    <x v="0"/>
    <s v="大きな行事も終わっているこの時期の設定がよかったです。平日の休暇が取りにくいので、平日でなければできない家庭の用事もこの日に合わせて行うことができ、ありがたかったです。"/>
  </r>
  <r>
    <d v="2024-11-28T16:49:51"/>
    <x v="0"/>
    <x v="0"/>
    <x v="3"/>
    <x v="0"/>
    <s v="我が家は子どもがまだ幼く、妻も休業中なのでゆっくり過ごせました。_x000a_今後もあるとありがたいです。_x000a_ただ、もし妻が仕事をしていた場合、休暇が取れたかどうかで過ごし方も変わったと思うので、学校以外の各企業への周知が今後必要だとも感じました。"/>
  </r>
  <r>
    <d v="2024-11-28T17:00:25"/>
    <x v="3"/>
    <x v="0"/>
    <x v="0"/>
    <x v="0"/>
    <m/>
  </r>
  <r>
    <d v="2024-11-28T17:03:51"/>
    <x v="0"/>
    <x v="0"/>
    <x v="0"/>
    <x v="0"/>
    <m/>
  </r>
  <r>
    <d v="2024-11-28T17:28:17"/>
    <x v="0"/>
    <x v="0"/>
    <x v="0"/>
    <x v="0"/>
    <m/>
  </r>
  <r>
    <d v="2024-11-28T17:39:44"/>
    <x v="0"/>
    <x v="0"/>
    <x v="5"/>
    <x v="0"/>
    <s v="教員としては良かった"/>
  </r>
  <r>
    <d v="2024-11-28T17:58:17"/>
    <x v="0"/>
    <x v="0"/>
    <x v="0"/>
    <x v="0"/>
    <s v="家族と過ごし、とても充実した時間を過ごすことが出来ました。_x000a_来年以降もふれあいホリデーを続けていただけると嬉しく思います。"/>
  </r>
  <r>
    <d v="2024-11-28T17:58:54"/>
    <x v="0"/>
    <x v="0"/>
    <x v="3"/>
    <x v="0"/>
    <m/>
  </r>
  <r>
    <d v="2024-11-28T18:03:42"/>
    <x v="0"/>
    <x v="0"/>
    <x v="8"/>
    <x v="0"/>
    <m/>
  </r>
  <r>
    <d v="2024-11-28T18:24:21"/>
    <x v="0"/>
    <x v="0"/>
    <x v="9"/>
    <x v="0"/>
    <s v="休める家庭とそうでない家庭があり、私も出張があったため半日は勤務だった。子どもだけで過ごさなければならない時間もあり、対応が難しい家庭も多かったのではないかと想像した。"/>
  </r>
  <r>
    <d v="2024-11-28T19:05:45"/>
    <x v="0"/>
    <x v="0"/>
    <x v="10"/>
    <x v="0"/>
    <s v="テスト前はテスト勉強をしているので、ふれあえないと思います。"/>
  </r>
  <r>
    <d v="2024-11-28T19:18:40"/>
    <x v="0"/>
    <x v="0"/>
    <x v="11"/>
    <x v="0"/>
    <m/>
  </r>
  <r>
    <d v="2024-11-29T08:06:36"/>
    <x v="0"/>
    <x v="0"/>
    <x v="5"/>
    <x v="0"/>
    <s v="実施する時期を考えてほしい。６月ごろの祝祭日がない月に設定はできないか。"/>
  </r>
  <r>
    <d v="2024-11-29T08:11:28"/>
    <x v="0"/>
    <x v="0"/>
    <x v="3"/>
    <x v="0"/>
    <m/>
  </r>
  <r>
    <d v="2024-11-29T09:13:35"/>
    <x v="0"/>
    <x v="0"/>
    <x v="0"/>
    <x v="0"/>
    <m/>
  </r>
  <r>
    <d v="2024-11-29T11:19:36"/>
    <x v="1"/>
    <x v="1"/>
    <x v="2"/>
    <x v="1"/>
    <m/>
  </r>
  <r>
    <d v="2024-11-29T12:39:05"/>
    <x v="1"/>
    <x v="1"/>
    <x v="2"/>
    <x v="1"/>
    <m/>
  </r>
  <r>
    <d v="2024-11-29T13:08:55"/>
    <x v="0"/>
    <x v="0"/>
    <x v="0"/>
    <x v="0"/>
    <s v="特になし"/>
  </r>
  <r>
    <d v="2024-11-29T14:29:02"/>
    <x v="0"/>
    <x v="0"/>
    <x v="0"/>
    <x v="0"/>
    <s v="教員という職は、年休取得率が低いので大変良い取り組みです。_x000a_毎年実施を強く願います。"/>
  </r>
  <r>
    <d v="2024-11-29T14:30:02"/>
    <x v="3"/>
    <x v="0"/>
    <x v="0"/>
    <x v="0"/>
    <s v="来年度も引き続き実施してほしい。"/>
  </r>
  <r>
    <d v="2024-11-29T14:31:36"/>
    <x v="0"/>
    <x v="0"/>
    <x v="0"/>
    <x v="0"/>
    <m/>
  </r>
  <r>
    <d v="2024-11-29T14:35:01"/>
    <x v="0"/>
    <x v="0"/>
    <x v="3"/>
    <x v="0"/>
    <s v="ふれあいホリデーは良い取り組みであるが、家庭で休みを取れない保護者もいたし、市内全員が休みなので、年休が取りにくい人もあった。鳥取市のように、ゴールデンウイークを利用しまとまった休日にする必要があると思った。"/>
  </r>
  <r>
    <d v="2024-11-29T15:48:24"/>
    <x v="0"/>
    <x v="0"/>
    <x v="0"/>
    <x v="0"/>
    <s v="中学生はこの時期の「ふれあいホリデー」にしてもテスト勉強に費されると感じました。"/>
  </r>
  <r>
    <d v="2024-11-29T15:51:12"/>
    <x v="0"/>
    <x v="0"/>
    <x v="0"/>
    <x v="0"/>
    <s v="保護者は仕事の方が多く、わざわざの休みが取りにくいと言う声を聞きました。一方、子どもの日記では、遠出の旅行をしたと言う日記もいくつかありました。"/>
  </r>
  <r>
    <d v="2024-11-29T16:01:52"/>
    <x v="1"/>
    <x v="1"/>
    <x v="2"/>
    <x v="1"/>
    <s v="・時期の検討が必要だと感じます。_x000a_・学校が勤務日だと、学校の番をする者が一名必要になります。閉庁にしていただけるとありがたいです。"/>
  </r>
  <r>
    <d v="2024-11-29T16:16:01"/>
    <x v="0"/>
    <x v="0"/>
    <x v="0"/>
    <x v="0"/>
    <s v="家庭でゆっくり過ごしリフレッシュできた。"/>
  </r>
  <r>
    <d v="2024-11-29T16:54:29"/>
    <x v="0"/>
    <x v="0"/>
    <x v="5"/>
    <x v="0"/>
    <m/>
  </r>
  <r>
    <d v="2024-11-29T16:57:12"/>
    <x v="3"/>
    <x v="0"/>
    <x v="0"/>
    <x v="0"/>
    <s v="子どもが小さい家庭は必ず休まないといけなくなりますが、結局子どもを一人で見たりする事態がありました。それなら、統一してすべてを休みにしてもらわないとしんどいです。"/>
  </r>
  <r>
    <d v="2024-11-29T16:58:25"/>
    <x v="1"/>
    <x v="0"/>
    <x v="0"/>
    <x v="0"/>
    <m/>
  </r>
  <r>
    <d v="2024-11-29T17:12:56"/>
    <x v="0"/>
    <x v="0"/>
    <x v="3"/>
    <x v="0"/>
    <s v="これからも続けばいいなと思います。"/>
  </r>
  <r>
    <d v="2024-11-29T17:19:24"/>
    <x v="0"/>
    <x v="0"/>
    <x v="3"/>
    <x v="0"/>
    <s v="久しぶりに子どもとゆっくり休日を過ごせました。ありがとうございました。"/>
  </r>
  <r>
    <d v="2024-11-29T17:24:44"/>
    <x v="0"/>
    <x v="0"/>
    <x v="0"/>
    <x v="0"/>
    <s v="一部教員は出張が入っていたことが残念だった。_x000a_また、閉庁とすることができないため、職員が必ず出勤しなければならず、そこを解消する良い方法があると良い"/>
  </r>
  <r>
    <d v="2024-11-29T17:32:59"/>
    <x v="0"/>
    <x v="0"/>
    <x v="0"/>
    <x v="0"/>
    <s v="時期がもう少し早い方がよい。学期末もせまり、学習に成績処理等にも影響がでた。"/>
  </r>
  <r>
    <d v="2024-11-29T17:47:51"/>
    <x v="0"/>
    <x v="0"/>
    <x v="0"/>
    <x v="0"/>
    <m/>
  </r>
  <r>
    <d v="2024-11-29T18:06:23"/>
    <x v="0"/>
    <x v="0"/>
    <x v="0"/>
    <x v="0"/>
    <m/>
  </r>
  <r>
    <d v="2024-11-29T18:22:24"/>
    <x v="0"/>
    <x v="1"/>
    <x v="2"/>
    <x v="1"/>
    <m/>
  </r>
  <r>
    <d v="2024-11-29T19:09:55"/>
    <x v="0"/>
    <x v="0"/>
    <x v="0"/>
    <x v="0"/>
    <s v="ホリデーがあったおかげで、リフレッシュすることができました。"/>
  </r>
  <r>
    <d v="2024-11-29T19:14:15"/>
    <x v="0"/>
    <x v="0"/>
    <x v="5"/>
    <x v="0"/>
    <s v="生徒の中には家にいても保護者もいないし部活をしたいという生徒もいたのですべての家庭で家族との時間を作れるわけではないと思う。_x000a_倉吉市だけでなく全県でやらないと生徒によっては不公平感を抱いている。"/>
  </r>
  <r>
    <d v="2024-11-29T22:43:05"/>
    <x v="2"/>
    <x v="0"/>
    <x v="3"/>
    <x v="0"/>
    <s v="６月は祝日がないので、６月にあると嬉しいと感じました。"/>
  </r>
  <r>
    <d v="2024-11-30T11:32:25"/>
    <x v="0"/>
    <x v="0"/>
    <x v="0"/>
    <x v="0"/>
    <s v="参観日と連続になったこともあって、保護者は休みが取りづらく、大変そうだった。_x000a_企業への啓発を県や市が行ってほしい。"/>
  </r>
  <r>
    <d v="2024-11-30T15:19:51"/>
    <x v="1"/>
    <x v="0"/>
    <x v="0"/>
    <x v="0"/>
    <s v="管理職は勤務ではなく、閉庁にはなりませんか？ご検討ください。"/>
  </r>
  <r>
    <d v="2024-11-30T16:40:38"/>
    <x v="0"/>
    <x v="1"/>
    <x v="2"/>
    <x v="5"/>
    <s v="特にありません。"/>
  </r>
  <r>
    <d v="2024-12-01T09:48:01"/>
    <x v="0"/>
    <x v="0"/>
    <x v="0"/>
    <x v="0"/>
    <s v="ふれあいホリデーに合わせて市内でイベントが開催されていたのがよかった。_x000a_市内や近隣町村の企業等へのさらなる周知をお願いします。"/>
  </r>
  <r>
    <d v="2024-12-01T11:01:11"/>
    <x v="0"/>
    <x v="0"/>
    <x v="0"/>
    <x v="0"/>
    <m/>
  </r>
  <r>
    <d v="2024-12-01T12:33:06"/>
    <x v="0"/>
    <x v="0"/>
    <x v="3"/>
    <x v="0"/>
    <s v="今後も継続してほしい"/>
  </r>
  <r>
    <d v="2024-12-01T12:35:10"/>
    <x v="0"/>
    <x v="0"/>
    <x v="0"/>
    <x v="0"/>
    <m/>
  </r>
  <r>
    <d v="2024-12-01T12:48:02"/>
    <x v="0"/>
    <x v="0"/>
    <x v="3"/>
    <x v="0"/>
    <m/>
  </r>
  <r>
    <d v="2024-12-01T13:06:10"/>
    <x v="0"/>
    <x v="0"/>
    <x v="0"/>
    <x v="0"/>
    <s v="保護者さんも、これに合わせてお休みを取っておられる方が多い気がしました。市内のいろいろなイベントと連動されており、良い取り組みだと思います。もう少し、宣伝があるといいですね。新たな試み、ありがとうございます。"/>
  </r>
  <r>
    <d v="2024-12-01T13:07:18"/>
    <x v="0"/>
    <x v="0"/>
    <x v="0"/>
    <x v="0"/>
    <s v="県外に住む子どもに会いに行くことができ、充実した休みになりました。来年度以降も、続けてほしいと思います。"/>
  </r>
  <r>
    <d v="2024-12-01T13:29:31"/>
    <x v="0"/>
    <x v="0"/>
    <x v="3"/>
    <x v="0"/>
    <s v="子どもと一緒に平日休みを有意義に過ごしました。またあれば、有効に使います"/>
  </r>
  <r>
    <d v="2024-12-01T14:21:51"/>
    <x v="1"/>
    <x v="0"/>
    <x v="5"/>
    <x v="0"/>
    <s v="親が休む環境整備が必要"/>
  </r>
  <r>
    <d v="2024-12-01T14:40:20"/>
    <x v="0"/>
    <x v="0"/>
    <x v="0"/>
    <x v="0"/>
    <m/>
  </r>
  <r>
    <d v="2024-12-01T15:45:58"/>
    <x v="0"/>
    <x v="0"/>
    <x v="0"/>
    <x v="0"/>
    <m/>
  </r>
  <r>
    <d v="2024-12-02T08:14:00"/>
    <x v="0"/>
    <x v="0"/>
    <x v="3"/>
    <x v="0"/>
    <m/>
  </r>
  <r>
    <d v="2024-12-02T08:42:43"/>
    <x v="4"/>
    <x v="0"/>
    <x v="0"/>
    <x v="0"/>
    <m/>
  </r>
  <r>
    <d v="2024-12-02T09:50:15"/>
    <x v="3"/>
    <x v="0"/>
    <x v="0"/>
    <x v="0"/>
    <m/>
  </r>
  <r>
    <d v="2024-12-02T11:52:45"/>
    <x v="0"/>
    <x v="1"/>
    <x v="2"/>
    <x v="1"/>
    <s v="保護者の方も休める環境であれば良いと思う。"/>
  </r>
  <r>
    <d v="2024-12-02T11:52:54"/>
    <x v="0"/>
    <x v="0"/>
    <x v="0"/>
    <x v="0"/>
    <s v="特になし"/>
  </r>
  <r>
    <d v="2024-12-02T11:56:40"/>
    <x v="1"/>
    <x v="1"/>
    <x v="2"/>
    <x v="1"/>
    <s v="時期を考慮していただきたい。_x000a_１１月である必要はどうなのだろうか？"/>
  </r>
  <r>
    <d v="2024-12-02T12:19:06"/>
    <x v="0"/>
    <x v="0"/>
    <x v="3"/>
    <x v="0"/>
    <s v="平日なので保護者が休みやすい環境づくりが必要だと思った。"/>
  </r>
  <r>
    <d v="2024-12-02T12:27:04"/>
    <x v="1"/>
    <x v="0"/>
    <x v="12"/>
    <x v="0"/>
    <s v="休みの意義や意図を周知すること、大人の側の体制を整備することが必要だと思います。"/>
  </r>
  <r>
    <d v="2024-12-02T12:42:30"/>
    <x v="4"/>
    <x v="0"/>
    <x v="3"/>
    <x v="0"/>
    <m/>
  </r>
  <r>
    <d v="2024-12-02T12:44:29"/>
    <x v="0"/>
    <x v="0"/>
    <x v="0"/>
    <x v="0"/>
    <m/>
  </r>
  <r>
    <d v="2024-12-02T12:50:01"/>
    <x v="0"/>
    <x v="0"/>
    <x v="0"/>
    <x v="0"/>
    <m/>
  </r>
  <r>
    <d v="2024-12-02T12:52:55"/>
    <x v="0"/>
    <x v="0"/>
    <x v="13"/>
    <x v="0"/>
    <s v="年2〜3回あるとよい。6月など、祝日や長期休暇がない月に実施するのはどうだろうか。"/>
  </r>
  <r>
    <d v="2024-12-02T13:16:42"/>
    <x v="0"/>
    <x v="0"/>
    <x v="0"/>
    <x v="0"/>
    <m/>
  </r>
  <r>
    <d v="2024-12-02T13:46:59"/>
    <x v="0"/>
    <x v="0"/>
    <x v="0"/>
    <x v="0"/>
    <s v="学校として、保護者さんにももっと周知をする。子どもにとって、「ただの休み」になってしまっている。保護者さんは仕事なのに子どもは休み、という意識のずれが大きい気がする。_x000a_地域には、何かイベントをしていただくなど、受け皿のある体制づくりはできていたでしょうか。"/>
  </r>
  <r>
    <d v="2024-12-02T14:01:07"/>
    <x v="0"/>
    <x v="0"/>
    <x v="3"/>
    <x v="0"/>
    <m/>
  </r>
  <r>
    <d v="2024-12-02T14:15:59"/>
    <x v="0"/>
    <x v="0"/>
    <x v="14"/>
    <x v="0"/>
    <s v="僕らは休みでも、親は休みでない。ウチの子は休みでない。仮称が正しいかどうかわからない。でも、休みがあるのは良い"/>
  </r>
  <r>
    <d v="2024-12-02T14:18:20"/>
    <x v="0"/>
    <x v="1"/>
    <x v="2"/>
    <x v="1"/>
    <s v="来年度も勤務できる状況は、残してほしい。"/>
  </r>
  <r>
    <d v="2024-12-02T14:31:31"/>
    <x v="0"/>
    <x v="0"/>
    <x v="0"/>
    <x v="0"/>
    <m/>
  </r>
  <r>
    <d v="2024-12-02T14:32:41"/>
    <x v="1"/>
    <x v="0"/>
    <x v="0"/>
    <x v="0"/>
    <s v="全職員が休暇取得する形にしてほしい。[学校休業日]"/>
  </r>
  <r>
    <d v="2024-12-02T14:35:24"/>
    <x v="0"/>
    <x v="0"/>
    <x v="0"/>
    <x v="0"/>
    <s v="保護者も休暇が取りやすいよう、ゴールデンウィークなど長期休日の穴を埋めるような休日にしてほしいです。"/>
  </r>
  <r>
    <d v="2024-12-02T14:46:45"/>
    <x v="4"/>
    <x v="1"/>
    <x v="2"/>
    <x v="6"/>
    <s v="日程をもう少し考えた方がいいのではと思います。ゴールデンウィーク中とかに設定した方が保護者がお休みの人が多かったのでは・・_x000a_「親は仕事」と言ってある生徒が多かったです。"/>
  </r>
  <r>
    <d v="2024-12-02T14:51:28"/>
    <x v="1"/>
    <x v="1"/>
    <x v="2"/>
    <x v="1"/>
    <s v="管理職が、誰もいない校舎に残る意味があまり感じられなかった。_x000a_教頭に学校にのこってもらったが、一人で仕事をすることになり、学校閉庁でもよいのではないかと感じた。"/>
  </r>
  <r>
    <d v="2024-12-02T14:53:05"/>
    <x v="0"/>
    <x v="0"/>
    <x v="3"/>
    <x v="0"/>
    <s v="他市町村や幼〜高の連携をしっかり調整しなければ、休暇をとっても家族が揃うことにならない場合もある。"/>
  </r>
  <r>
    <d v="2024-12-02T15:10:05"/>
    <x v="0"/>
    <x v="0"/>
    <x v="15"/>
    <x v="0"/>
    <s v="目的を達成するためには、保護者の意向の確認と、教職員の研修なども入れないような措置が必要だと思う。"/>
  </r>
  <r>
    <d v="2024-12-02T15:35:55"/>
    <x v="2"/>
    <x v="0"/>
    <x v="3"/>
    <x v="0"/>
    <s v="平日ならではの過ごし方を考えて、週末を含めて有効に活用することができたので、今後も続けていただけたらありがたいです。"/>
  </r>
  <r>
    <d v="2024-12-02T15:43:24"/>
    <x v="4"/>
    <x v="0"/>
    <x v="0"/>
    <x v="0"/>
    <m/>
  </r>
  <r>
    <d v="2024-12-02T15:58:41"/>
    <x v="0"/>
    <x v="0"/>
    <x v="0"/>
    <x v="0"/>
    <s v="ずっと継続してほしい。"/>
  </r>
  <r>
    <d v="2024-12-02T15:58:57"/>
    <x v="0"/>
    <x v="0"/>
    <x v="0"/>
    <x v="0"/>
    <m/>
  </r>
  <r>
    <d v="2024-12-02T16:04:11"/>
    <x v="3"/>
    <x v="0"/>
    <x v="0"/>
    <x v="0"/>
    <m/>
  </r>
  <r>
    <d v="2024-12-02T16:09:11"/>
    <x v="0"/>
    <x v="0"/>
    <x v="16"/>
    <x v="0"/>
    <s v="部活をしない原則は続けてほしい。時期的には、期末テスト前なので、中学生のいる家庭はテストの学習に当てることも多いのでは？実施時期については考慮してもいいと思う。"/>
  </r>
  <r>
    <d v="2024-12-02T16:31:32"/>
    <x v="0"/>
    <x v="0"/>
    <x v="5"/>
    <x v="0"/>
    <s v="時期がとてもよかったです。_x000a_仕事にゆとりが生まれました。"/>
  </r>
  <r>
    <d v="2024-12-02T17:14:01"/>
    <x v="3"/>
    <x v="0"/>
    <x v="3"/>
    <x v="0"/>
    <s v="教員は有休消化でしたが、授業がないのであれば「勤務に該当しない日」ではないでしょうか。"/>
  </r>
  <r>
    <d v="2024-12-02T17:16:53"/>
    <x v="0"/>
    <x v="0"/>
    <x v="17"/>
    <x v="0"/>
    <s v="日程は、別日にすることができないのか。_x000a_家庭に早めに伝えることが大切。"/>
  </r>
  <r>
    <d v="2024-12-02T17:23:22"/>
    <x v="0"/>
    <x v="0"/>
    <x v="0"/>
    <x v="0"/>
    <m/>
  </r>
  <r>
    <d v="2024-12-02T17:24:22"/>
    <x v="0"/>
    <x v="0"/>
    <x v="0"/>
    <x v="0"/>
    <m/>
  </r>
  <r>
    <d v="2024-12-02T17:25:58"/>
    <x v="0"/>
    <x v="0"/>
    <x v="0"/>
    <x v="0"/>
    <s v="今後も続けてほしい"/>
  </r>
  <r>
    <d v="2024-12-02T17:38:36"/>
    <x v="0"/>
    <x v="1"/>
    <x v="2"/>
    <x v="1"/>
    <s v="全体への周知が浸透し、出張が入らないようにしていただきたい。"/>
  </r>
  <r>
    <d v="2024-12-02T17:40:28"/>
    <x v="0"/>
    <x v="1"/>
    <x v="2"/>
    <x v="1"/>
    <m/>
  </r>
  <r>
    <d v="2024-12-02T17:42:26"/>
    <x v="0"/>
    <x v="0"/>
    <x v="5"/>
    <x v="0"/>
    <m/>
  </r>
  <r>
    <d v="2024-12-02T17:47:03"/>
    <x v="0"/>
    <x v="0"/>
    <x v="0"/>
    <x v="0"/>
    <s v="民間は休暇が取れないことも多い。この取り組みが拡大されるといいと思う。"/>
  </r>
  <r>
    <d v="2024-12-02T18:15:43"/>
    <x v="1"/>
    <x v="1"/>
    <x v="2"/>
    <x v="1"/>
    <s v="閉庁にしてほしい"/>
  </r>
  <r>
    <d v="2024-12-02T19:28:24"/>
    <x v="3"/>
    <x v="0"/>
    <x v="18"/>
    <x v="0"/>
    <s v="なし"/>
  </r>
  <r>
    <d v="2024-12-02T19:54:20"/>
    <x v="0"/>
    <x v="1"/>
    <x v="2"/>
    <x v="1"/>
    <s v="とても良かった。"/>
  </r>
  <r>
    <d v="2024-12-02T21:05:12"/>
    <x v="0"/>
    <x v="0"/>
    <x v="0"/>
    <x v="0"/>
    <m/>
  </r>
  <r>
    <d v="2024-12-03T05:57:47"/>
    <x v="0"/>
    <x v="0"/>
    <x v="3"/>
    <x v="0"/>
    <s v="単発の三連休で一般の保護者から休みにくい、子どもの保育園でも多くの子どもが預けられていたと聞いた。GWなどの長期休みで大型連休にした方が休みたい保護者は多いのではないか"/>
  </r>
  <r>
    <d v="2024-12-03T06:48:33"/>
    <x v="0"/>
    <x v="0"/>
    <x v="0"/>
    <x v="0"/>
    <m/>
  </r>
  <r>
    <d v="2024-12-03T07:55:07"/>
    <x v="0"/>
    <x v="0"/>
    <x v="3"/>
    <x v="0"/>
    <s v="全県一斉で同日に行えると良いかなと思いました。"/>
  </r>
  <r>
    <d v="2024-12-03T07:59:32"/>
    <x v="0"/>
    <x v="0"/>
    <x v="3"/>
    <x v="0"/>
    <s v="中学生はいいと思うが、小学校の低学年は大変なのではないかと思う。結局、学童の負担が大きくなるのではないか。社会教育科でたくさんイベントを開いたり、コミュニティセンターで体験活動などあるとよいと思う。"/>
  </r>
  <r>
    <d v="2024-12-03T08:30:20"/>
    <x v="0"/>
    <x v="0"/>
    <x v="19"/>
    <x v="0"/>
    <s v="出張等が被らないようにしていただくと、1日リフレッシュできる機会になると思います。"/>
  </r>
  <r>
    <d v="2024-12-03T08:36:48"/>
    <x v="4"/>
    <x v="0"/>
    <x v="3"/>
    <x v="0"/>
    <s v="今後もあったら良いと思います。1日と言わず、連休でも"/>
  </r>
  <r>
    <d v="2024-12-03T11:44:25"/>
    <x v="5"/>
    <x v="0"/>
    <x v="3"/>
    <x v="0"/>
    <m/>
  </r>
  <r>
    <d v="2024-12-03T13:57:53"/>
    <x v="0"/>
    <x v="0"/>
    <x v="0"/>
    <x v="0"/>
    <s v="　本来の目的達成のために、より多くの保護者が休暇を取得しやすいよう各職場等への広報を徹底してほしい。"/>
  </r>
  <r>
    <d v="2024-12-03T14:14:29"/>
    <x v="0"/>
    <x v="0"/>
    <x v="0"/>
    <x v="0"/>
    <s v="公共施設を使う場合　料金を安くするなどの工夫があればいいとおもう"/>
  </r>
  <r>
    <d v="2024-12-03T14:21:40"/>
    <x v="0"/>
    <x v="0"/>
    <x v="0"/>
    <x v="0"/>
    <m/>
  </r>
  <r>
    <d v="2024-12-03T15:00:38"/>
    <x v="4"/>
    <x v="0"/>
    <x v="0"/>
    <x v="0"/>
    <s v="この日に合わせてボランティア活動も計画したらいいと思います。児童クラブを利用している小学生を中学生が見るとかは効率がいいかなと思いました。我が子は倉吉市の学校じゃないため、自分だけが休んでも意味がなかったです。"/>
  </r>
  <r>
    <d v="2024-12-03T15:01:13"/>
    <x v="2"/>
    <x v="1"/>
    <x v="2"/>
    <x v="7"/>
    <m/>
  </r>
  <r>
    <d v="2024-12-03T15:01:30"/>
    <x v="0"/>
    <x v="0"/>
    <x v="0"/>
    <x v="0"/>
    <s v="とてもいい取り組みだと思います。今後も実施されるとうれしいです。"/>
  </r>
  <r>
    <d v="2024-12-03T15:19:47"/>
    <x v="3"/>
    <x v="0"/>
    <x v="20"/>
    <x v="0"/>
    <s v="家族で1人休暇だった。平日に休みがあると金融機関や公共機関の用事ができてよかった。今後もあってよいと思います。"/>
  </r>
  <r>
    <d v="2024-12-03T15:48:03"/>
    <x v="0"/>
    <x v="0"/>
    <x v="0"/>
    <x v="0"/>
    <s v="学期ごとに一回欲しいです。"/>
  </r>
  <r>
    <d v="2024-12-03T15:57:42"/>
    <x v="0"/>
    <x v="0"/>
    <x v="0"/>
    <x v="0"/>
    <s v="保護者さんも仕事によっては休めない職もあるかなとおもいました。休みが取りやすい環境になればとてもいい取り組みだと感じました。"/>
  </r>
  <r>
    <d v="2024-12-03T16:25:47"/>
    <x v="3"/>
    <x v="0"/>
    <x v="5"/>
    <x v="0"/>
    <s v="文化的な物の鑑賞をさせたい。"/>
  </r>
  <r>
    <d v="2024-12-03T16:34:24"/>
    <x v="0"/>
    <x v="0"/>
    <x v="0"/>
    <x v="0"/>
    <m/>
  </r>
  <r>
    <d v="2024-12-03T16:57:33"/>
    <x v="0"/>
    <x v="0"/>
    <x v="3"/>
    <x v="0"/>
    <s v="親も子も、互いに休みじゃないと意味がないと思う。倉吉市と琴浦町だけの実施じゃ意味がない。県内一斉に行うべき。"/>
  </r>
  <r>
    <d v="2024-12-03T17:16:10"/>
    <x v="0"/>
    <x v="0"/>
    <x v="3"/>
    <x v="0"/>
    <s v="仕事を休みづらい職種の人にとってはどうだったのかなと感じました。"/>
  </r>
  <r>
    <d v="2024-12-03T17:19:30"/>
    <x v="0"/>
    <x v="0"/>
    <x v="0"/>
    <x v="0"/>
    <s v="特にありません。"/>
  </r>
  <r>
    <d v="2024-12-03T17:20:59"/>
    <x v="0"/>
    <x v="0"/>
    <x v="0"/>
    <x v="0"/>
    <m/>
  </r>
  <r>
    <d v="2024-12-03T17:39:50"/>
    <x v="0"/>
    <x v="0"/>
    <x v="21"/>
    <x v="0"/>
    <m/>
  </r>
  <r>
    <d v="2024-12-03T17:42:06"/>
    <x v="0"/>
    <x v="0"/>
    <x v="22"/>
    <x v="0"/>
    <s v="学校は休みでも、出張等が入ると休みづらいため、全体で推し進めて行く必要があると思う。"/>
  </r>
  <r>
    <d v="2024-12-03T17:55:44"/>
    <x v="0"/>
    <x v="0"/>
    <x v="0"/>
    <x v="0"/>
    <s v="音楽会も平日だったため、振替休みなど、今年は平日休みがあまりなかったので、貴重なリフレッシュ、片付けの時間がとれました。"/>
  </r>
  <r>
    <d v="2024-12-03T18:35:22"/>
    <x v="2"/>
    <x v="0"/>
    <x v="0"/>
    <x v="0"/>
    <m/>
  </r>
  <r>
    <d v="2024-12-03T18:48:43"/>
    <x v="0"/>
    <x v="0"/>
    <x v="0"/>
    <x v="0"/>
    <s v="地域界隈では準備期間が、とか官民連携でとか言われていますが、良い考えだと思いました。今後の企画やあり方についての発展を期待しております。"/>
  </r>
  <r>
    <d v="2024-12-03T19:41:54"/>
    <x v="0"/>
    <x v="0"/>
    <x v="0"/>
    <x v="0"/>
    <s v="家庭によって本当に様々な過ごし方をされているという印象をもっている。今後、試行の意図がどのくらい伝わっているのか把握した上で取り組んでいければ・・・と思う。"/>
  </r>
  <r>
    <d v="2024-12-03T22:00:06"/>
    <x v="0"/>
    <x v="0"/>
    <x v="3"/>
    <x v="0"/>
    <m/>
  </r>
  <r>
    <d v="2024-12-04T09:03:51"/>
    <x v="0"/>
    <x v="0"/>
    <x v="0"/>
    <x v="0"/>
    <m/>
  </r>
  <r>
    <d v="2024-12-04T14:53:38"/>
    <x v="0"/>
    <x v="1"/>
    <x v="2"/>
    <x v="1"/>
    <s v="具体的にいつとは言えないが、大人も休めて、子どもとふれあえるふれあいホリデーになるとよい。"/>
  </r>
  <r>
    <d v="2024-12-04T15:18:57"/>
    <x v="2"/>
    <x v="1"/>
    <x v="2"/>
    <x v="8"/>
    <s v="保護者にとっては、なかなか休みが取りづらく、家族でのふれあいの日になったかどうか疑問"/>
  </r>
  <r>
    <d v="2024-12-04T15:40:59"/>
    <x v="0"/>
    <x v="0"/>
    <x v="0"/>
    <x v="0"/>
    <m/>
  </r>
  <r>
    <d v="2024-12-04T15:42:41"/>
    <x v="0"/>
    <x v="0"/>
    <x v="3"/>
    <x v="0"/>
    <m/>
  </r>
  <r>
    <d v="2024-12-04T15:55:34"/>
    <x v="0"/>
    <x v="0"/>
    <x v="3"/>
    <x v="0"/>
    <s v="引き続き、休める日を増やしたり継続したりしてほしい。"/>
  </r>
  <r>
    <d v="2024-12-04T15:55:46"/>
    <x v="0"/>
    <x v="0"/>
    <x v="0"/>
    <x v="0"/>
    <m/>
  </r>
  <r>
    <d v="2024-12-04T15:56:25"/>
    <x v="0"/>
    <x v="0"/>
    <x v="23"/>
    <x v="0"/>
    <s v="生徒は休みであったが、保護者が果たして休みだったのか疑問である。何のためのふれあいホリデーなのか。学校だけで行うものではないと思った。"/>
  </r>
  <r>
    <d v="2024-12-04T15:57:04"/>
    <x v="0"/>
    <x v="1"/>
    <x v="2"/>
    <x v="1"/>
    <m/>
  </r>
  <r>
    <d v="2024-12-04T15:57:06"/>
    <x v="0"/>
    <x v="0"/>
    <x v="0"/>
    <x v="0"/>
    <m/>
  </r>
  <r>
    <d v="2024-12-04T15:57:24"/>
    <x v="0"/>
    <x v="0"/>
    <x v="0"/>
    <x v="0"/>
    <m/>
  </r>
  <r>
    <d v="2024-12-04T15:58:18"/>
    <x v="0"/>
    <x v="0"/>
    <x v="0"/>
    <x v="0"/>
    <m/>
  </r>
  <r>
    <d v="2024-12-04T15:58:33"/>
    <x v="0"/>
    <x v="0"/>
    <x v="5"/>
    <x v="0"/>
    <s v="忙しい時期に貴重な休暇をいただき、たまっていた仕事を減らすことができました。"/>
  </r>
  <r>
    <d v="2024-12-04T15:58:35"/>
    <x v="0"/>
    <x v="0"/>
    <x v="0"/>
    <x v="0"/>
    <m/>
  </r>
  <r>
    <d v="2024-12-04T15:58:49"/>
    <x v="0"/>
    <x v="0"/>
    <x v="24"/>
    <x v="0"/>
    <s v="休暇を強いられたため、テスト作成があったのに自宅でやることになりました。私は年休がかなり使ってしまっている状況で、ふれあいホリデーで１日年休を使って家で仕事したので、その分冬休みに１日休暇が取れなくなりました。教員の実態に合わせて休暇を取らせて欲しいです。"/>
  </r>
  <r>
    <d v="2024-12-04T15:58:56"/>
    <x v="0"/>
    <x v="0"/>
    <x v="0"/>
    <x v="0"/>
    <s v="特にありません"/>
  </r>
  <r>
    <d v="2024-12-04T15:59:06"/>
    <x v="3"/>
    <x v="0"/>
    <x v="25"/>
    <x v="0"/>
    <s v="勤務を要さない日にしてはどうか。"/>
  </r>
  <r>
    <d v="2024-12-04T15:59:07"/>
    <x v="3"/>
    <x v="0"/>
    <x v="0"/>
    <x v="0"/>
    <m/>
  </r>
  <r>
    <d v="2024-12-04T16:00:06"/>
    <x v="0"/>
    <x v="0"/>
    <x v="0"/>
    <x v="0"/>
    <m/>
  </r>
  <r>
    <d v="2024-12-04T16:00:39"/>
    <x v="0"/>
    <x v="1"/>
    <x v="2"/>
    <x v="9"/>
    <m/>
  </r>
  <r>
    <d v="2024-12-04T16:01:09"/>
    <x v="0"/>
    <x v="0"/>
    <x v="0"/>
    <x v="0"/>
    <s v="これからも活用して欲しい"/>
  </r>
  <r>
    <d v="2024-12-04T16:09:16"/>
    <x v="0"/>
    <x v="0"/>
    <x v="26"/>
    <x v="0"/>
    <s v="特になし"/>
  </r>
  <r>
    <d v="2024-12-04T16:20:04"/>
    <x v="0"/>
    <x v="0"/>
    <x v="0"/>
    <x v="0"/>
    <m/>
  </r>
  <r>
    <d v="2024-12-04T16:20:54"/>
    <x v="0"/>
    <x v="0"/>
    <x v="0"/>
    <x v="0"/>
    <s v="平日の休日はとてもありがたいです。ぜひ来年度も継続方向でお願いしたいとおもいます。"/>
  </r>
  <r>
    <d v="2024-12-04T16:21:40"/>
    <x v="0"/>
    <x v="0"/>
    <x v="0"/>
    <x v="0"/>
    <m/>
  </r>
  <r>
    <d v="2024-12-04T16:21:41"/>
    <x v="1"/>
    <x v="1"/>
    <x v="2"/>
    <x v="1"/>
    <s v="せめて、中部地区で日にちがそろえてあると教職員も休みを取りやすいのでは、と思いました。"/>
  </r>
  <r>
    <d v="2024-12-04T16:22:55"/>
    <x v="0"/>
    <x v="0"/>
    <x v="0"/>
    <x v="0"/>
    <s v="休暇をとりやすい日なのでとてもありがたいです。3連休が続くよりも、3連休がない月の方が授業や予定が組みやすい気がします。"/>
  </r>
  <r>
    <d v="2024-12-04T16:23:11"/>
    <x v="0"/>
    <x v="0"/>
    <x v="0"/>
    <x v="0"/>
    <m/>
  </r>
  <r>
    <d v="2024-12-04T16:23:29"/>
    <x v="0"/>
    <x v="0"/>
    <x v="0"/>
    <x v="0"/>
    <s v="実施時期が、とてもありがたかったです。仕事を進めたり、休んでリフレッシュしたりすることができました。"/>
  </r>
  <r>
    <d v="2024-12-04T16:26:23"/>
    <x v="0"/>
    <x v="0"/>
    <x v="27"/>
    <x v="0"/>
    <s v="11月は、行事が重なり慌ただしい時期だったので、休暇が取れるのは本当にありがたかったです。ぜひ、来年も設定していただきたいです。"/>
  </r>
  <r>
    <d v="2024-12-04T16:29:29"/>
    <x v="0"/>
    <x v="1"/>
    <x v="2"/>
    <x v="1"/>
    <s v="県養護教諭研修会と重なって出張でした。"/>
  </r>
  <r>
    <d v="2024-12-04T16:34:46"/>
    <x v="0"/>
    <x v="0"/>
    <x v="28"/>
    <x v="0"/>
    <s v="子どもは休みでも、両親は働かなければならない家庭が多かったので_x000a_親が休暇が取りやすい仕組みがあるといいなと思った。"/>
  </r>
  <r>
    <d v="2024-12-04T16:39:01"/>
    <x v="0"/>
    <x v="1"/>
    <x v="2"/>
    <x v="1"/>
    <s v="生徒が休みだったので、事務作業がはかどりました"/>
  </r>
  <r>
    <d v="2024-12-04T16:46:49"/>
    <x v="0"/>
    <x v="0"/>
    <x v="3"/>
    <x v="0"/>
    <m/>
  </r>
  <r>
    <d v="2024-12-04T16:47:39"/>
    <x v="3"/>
    <x v="1"/>
    <x v="2"/>
    <x v="1"/>
    <s v="子どもがいない勤務日で、普段の平日にできない業務が進んだのでそれはよかった。_x000a_教科の研修がある方がいらっしゃったので、休みを推奨するならば、なし合わせてもらった方がが良いと思います。"/>
  </r>
  <r>
    <d v="2024-12-04T17:00:45"/>
    <x v="0"/>
    <x v="0"/>
    <x v="0"/>
    <x v="0"/>
    <m/>
  </r>
  <r>
    <d v="2024-12-04T17:08:09"/>
    <x v="0"/>
    <x v="0"/>
    <x v="0"/>
    <x v="0"/>
    <s v="3連休になるので家族とゆっくり過ごすことができて良かった。"/>
  </r>
  <r>
    <d v="2024-12-04T17:22:41"/>
    <x v="0"/>
    <x v="0"/>
    <x v="29"/>
    <x v="0"/>
    <s v="出来れば出張がない時がありがたいです。_x000a_平日なのでどれくらいの保護者の方が子供たちと触れ合うことができたのか知りたいです。例えば，大型連休の時にI日加える方が，ネーミングには合っているように思います。"/>
  </r>
  <r>
    <d v="2024-12-04T17:28:45"/>
    <x v="0"/>
    <x v="0"/>
    <x v="0"/>
    <x v="0"/>
    <m/>
  </r>
  <r>
    <d v="2024-12-04T17:47:18"/>
    <x v="0"/>
    <x v="0"/>
    <x v="0"/>
    <x v="0"/>
    <s v="私は東部在住のため、小学生の娘は当日学校でした。反対に娘の学校が体験的学習活動等休業日のときには、私が休めなかったので、活用できなかったです。全県で日にちを合わせていただきたいです。"/>
  </r>
  <r>
    <d v="2024-12-04T18:28:50"/>
    <x v="0"/>
    <x v="0"/>
    <x v="0"/>
    <x v="0"/>
    <m/>
  </r>
  <r>
    <d v="2024-12-04T18:29:22"/>
    <x v="0"/>
    <x v="0"/>
    <x v="3"/>
    <x v="0"/>
    <m/>
  </r>
  <r>
    <d v="2024-12-04T18:29:23"/>
    <x v="0"/>
    <x v="0"/>
    <x v="0"/>
    <x v="0"/>
    <m/>
  </r>
  <r>
    <d v="2024-12-05T07:27:18"/>
    <x v="0"/>
    <x v="0"/>
    <x v="3"/>
    <x v="0"/>
    <m/>
  </r>
  <r>
    <d v="2024-12-05T07:44:03"/>
    <x v="2"/>
    <x v="1"/>
    <x v="2"/>
    <x v="10"/>
    <s v="家族旅行ができて良かった"/>
  </r>
  <r>
    <d v="2024-12-05T07:48:17"/>
    <x v="0"/>
    <x v="0"/>
    <x v="3"/>
    <x v="0"/>
    <s v="市町村によって実施状況が違ったようです。統一していただけたらと思いました。"/>
  </r>
  <r>
    <d v="2024-12-05T08:47:38"/>
    <x v="0"/>
    <x v="0"/>
    <x v="3"/>
    <x v="0"/>
    <s v="管理職から休暇を強要されるのはおかしいと思う。"/>
  </r>
  <r>
    <d v="2024-12-05T08:47:45"/>
    <x v="2"/>
    <x v="0"/>
    <x v="0"/>
    <x v="0"/>
    <s v="来年度も実施を望みます"/>
  </r>
  <r>
    <d v="2024-12-05T09:32:33"/>
    <x v="0"/>
    <x v="0"/>
    <x v="5"/>
    <x v="0"/>
    <m/>
  </r>
  <r>
    <d v="2024-12-05T11:57:21"/>
    <x v="4"/>
    <x v="0"/>
    <x v="0"/>
    <x v="0"/>
    <s v="仕事をしている人が多く、家族で過ごす日となるのか、疑問です。この日を休みにする理由を、保護者に理解が得られるよう説明が必要ではないがと、感じました。"/>
  </r>
  <r>
    <d v="2024-12-05T14:14:45"/>
    <x v="3"/>
    <x v="0"/>
    <x v="0"/>
    <x v="0"/>
    <s v="5月の連休でも良いのでは"/>
  </r>
  <r>
    <d v="2024-12-05T14:22:14"/>
    <x v="0"/>
    <x v="0"/>
    <x v="0"/>
    <x v="0"/>
    <s v="小学校教員として、休暇を取って一日体を休めることができて、ありがたかった。しかし、小中学校の児童が家族の人とのふれあいを深めるための一日と考えると、「子どもは休み、しかし、大人は仕事が休めない」という家庭が多くいるように感じた。（子どもだけで過ごす一日になったことを何人かの児童から聞いた）"/>
  </r>
  <r>
    <d v="2024-12-05T14:47:27"/>
    <x v="2"/>
    <x v="1"/>
    <x v="2"/>
    <x v="11"/>
    <m/>
  </r>
  <r>
    <d v="2024-12-05T14:48:20"/>
    <x v="2"/>
    <x v="1"/>
    <x v="2"/>
    <x v="11"/>
    <m/>
  </r>
  <r>
    <d v="2024-12-05T18:48:24"/>
    <x v="0"/>
    <x v="0"/>
    <x v="0"/>
    <x v="0"/>
    <s v="教員はいいが、休みを取れない保護者からは不評だった。"/>
  </r>
  <r>
    <d v="2024-12-05T18:49:00"/>
    <x v="0"/>
    <x v="0"/>
    <x v="3"/>
    <x v="0"/>
    <m/>
  </r>
  <r>
    <d v="2024-12-05T21:10:09"/>
    <x v="0"/>
    <x v="0"/>
    <x v="3"/>
    <x v="0"/>
    <m/>
  </r>
  <r>
    <d v="2024-12-06T08:45:30"/>
    <x v="0"/>
    <x v="0"/>
    <x v="0"/>
    <x v="0"/>
    <s v="子ども達は休みですが、保護者は休みではないので家族みんなで何かを取り組む事が難しい。"/>
  </r>
  <r>
    <d v="2024-12-06T09:04:32"/>
    <x v="1"/>
    <x v="0"/>
    <x v="30"/>
    <x v="0"/>
    <m/>
  </r>
  <r>
    <d v="2024-12-06T09:11:21"/>
    <x v="4"/>
    <x v="0"/>
    <x v="0"/>
    <x v="0"/>
    <m/>
  </r>
  <r>
    <d v="2024-12-06T09:25:46"/>
    <x v="4"/>
    <x v="0"/>
    <x v="0"/>
    <x v="0"/>
    <s v="学校関係以外にも浸透するように希望する。"/>
  </r>
  <r>
    <d v="2024-12-06T09:40:06"/>
    <x v="4"/>
    <x v="0"/>
    <x v="3"/>
    <x v="0"/>
    <s v="教職員は休みじゃないので、年休を取得しないといけなかったのでそれはちょっとおかしいかな？と思った。_x000a_周りの保護者さん達も親が休みじゃないのにこんな休みはいらないと言っておられる方がかなり多かった。"/>
  </r>
  <r>
    <d v="2024-12-06T10:01:53"/>
    <x v="4"/>
    <x v="0"/>
    <x v="0"/>
    <x v="0"/>
    <m/>
  </r>
  <r>
    <d v="2024-12-06T14:32:40"/>
    <x v="2"/>
    <x v="1"/>
    <x v="2"/>
    <x v="12"/>
    <m/>
  </r>
  <r>
    <d v="2024-12-06T15:01:38"/>
    <x v="0"/>
    <x v="1"/>
    <x v="2"/>
    <x v="13"/>
    <m/>
  </r>
  <r>
    <d v="2024-12-06T15:44:50"/>
    <x v="0"/>
    <x v="0"/>
    <x v="0"/>
    <x v="0"/>
    <m/>
  </r>
  <r>
    <d v="2024-12-06T16:05:55"/>
    <x v="0"/>
    <x v="0"/>
    <x v="0"/>
    <x v="0"/>
    <s v="11月の終盤にあることで、学期末に向けての力を蓄えることができました。子どもたちも、いろいろなところにお出かけにいって満足そうでした。"/>
  </r>
  <r>
    <d v="2024-12-06T16:36:39"/>
    <x v="0"/>
    <x v="0"/>
    <x v="0"/>
    <x v="0"/>
    <s v="家族が仕事で1人で過ごしていた子もいたようだった。"/>
  </r>
  <r>
    <d v="2024-12-06T16:56:28"/>
    <x v="0"/>
    <x v="0"/>
    <x v="3"/>
    <x v="0"/>
    <s v="またふれあいホリデーがあったら自分の家庭の事ができるので嬉しいです。"/>
  </r>
  <r>
    <d v="2024-12-06T18:35:04"/>
    <x v="0"/>
    <x v="0"/>
    <x v="3"/>
    <x v="0"/>
    <s v="全県で同日にすると良いかなと思います。"/>
  </r>
  <r>
    <d v="2024-12-07T09:31:56"/>
    <x v="0"/>
    <x v="0"/>
    <x v="0"/>
    <x v="0"/>
    <m/>
  </r>
  <r>
    <d v="2024-12-08T11:44:34"/>
    <x v="4"/>
    <x v="0"/>
    <x v="31"/>
    <x v="0"/>
    <s v="お休みになるならゴールデンウィークあたりにまとめて頂いた方が良かったなと思いました。"/>
  </r>
  <r>
    <d v="2024-12-09T05:07:14"/>
    <x v="0"/>
    <x v="0"/>
    <x v="5"/>
    <x v="0"/>
    <s v="倉吉市内の学校は休みでしたが、自分の子どもは休みではなく、家庭内では私一人の休暇でした。それはそれで良かったのですが、逆に、「子どもだけ休みで親は仕事」という家庭もあったのでは…と思い、一部地域や学校だけでなく、社会全体に浸透していくことを願います。"/>
  </r>
  <r>
    <d v="2024-12-09T07:43:56"/>
    <x v="4"/>
    <x v="0"/>
    <x v="0"/>
    <x v="0"/>
    <s v="よい取り組みだと思うので来年度も実施してほしい"/>
  </r>
  <r>
    <d v="2024-12-09T12:49:35"/>
    <x v="1"/>
    <x v="1"/>
    <x v="2"/>
    <x v="1"/>
    <s v="何か必ず体験をさせないといけないように感じている保護者もあったようです。お休みが取得できない保護者もあるので、この休日の趣旨を理解していただくためのチラシを工夫した方が良いかと感じました。"/>
  </r>
  <r>
    <d v="2024-12-09T15:48:32"/>
    <x v="0"/>
    <x v="0"/>
    <x v="3"/>
    <x v="0"/>
    <m/>
  </r>
  <r>
    <d v="2024-12-09T20:31:18"/>
    <x v="0"/>
    <x v="0"/>
    <x v="0"/>
    <x v="0"/>
    <s v="鳥取市のようにゴールデンウィークの連休の間を休みにしてもいいのではないかと思います。"/>
  </r>
  <r>
    <d v="2024-12-09T20:32:55"/>
    <x v="0"/>
    <x v="0"/>
    <x v="0"/>
    <x v="0"/>
    <s v="ゴールデンウィークの中日が休みになると嬉しいです。"/>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ﾋﾟﾎﾞｯﾄﾃｰﾌﾞﾙ1" cacheId="0" applyNumberFormats="0" applyBorderFormats="0" applyFontFormats="0" applyPatternFormats="0" applyAlignmentFormats="0" applyWidthHeightFormats="1" dataCaption="値" updatedVersion="4" minRefreshableVersion="3" useAutoFormatting="1" itemPrintTitles="1" createdVersion="4" indent="0" compact="0" compactData="0" gridDropZones="1" multipleFieldFilters="0">
  <location ref="A3:B18" firstHeaderRow="2" firstDataRow="2" firstDataCol="1" rowPageCount="1" colPageCount="1"/>
  <pivotFields count="6">
    <pivotField dataField="1" compact="0" numFmtId="176" outline="0" showAll="0"/>
    <pivotField compact="0" outline="0" showAll="0">
      <items count="7">
        <item x="0"/>
        <item x="1"/>
        <item x="5"/>
        <item x="4"/>
        <item x="3"/>
        <item x="2"/>
        <item t="default"/>
      </items>
    </pivotField>
    <pivotField axis="axisPage" compact="0" outline="0" multipleItemSelectionAllowed="1" showAll="0">
      <items count="3">
        <item h="1" x="0"/>
        <item x="1"/>
        <item t="default"/>
      </items>
    </pivotField>
    <pivotField compact="0" outline="0" showAll="0" sortType="descending">
      <items count="33">
        <item x="0"/>
        <item x="3"/>
        <item x="24"/>
        <item x="28"/>
        <item x="20"/>
        <item x="14"/>
        <item x="1"/>
        <item x="5"/>
        <item x="4"/>
        <item x="17"/>
        <item x="25"/>
        <item x="6"/>
        <item x="13"/>
        <item x="7"/>
        <item x="19"/>
        <item x="16"/>
        <item x="29"/>
        <item x="15"/>
        <item x="12"/>
        <item x="11"/>
        <item x="23"/>
        <item x="22"/>
        <item x="30"/>
        <item x="21"/>
        <item x="18"/>
        <item x="27"/>
        <item x="9"/>
        <item x="10"/>
        <item x="26"/>
        <item x="31"/>
        <item x="8"/>
        <item x="2"/>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5">
        <item x="1"/>
        <item x="3"/>
        <item x="10"/>
        <item x="11"/>
        <item x="8"/>
        <item x="5"/>
        <item x="13"/>
        <item x="7"/>
        <item x="12"/>
        <item x="4"/>
        <item x="2"/>
        <item x="9"/>
        <item x="6"/>
        <item x="0"/>
        <item t="default"/>
      </items>
      <autoSortScope>
        <pivotArea dataOnly="0" outline="0" fieldPosition="0">
          <references count="1">
            <reference field="4294967294" count="1" selected="0">
              <x v="0"/>
            </reference>
          </references>
        </pivotArea>
      </autoSortScope>
    </pivotField>
    <pivotField compact="0" outline="0" showAll="0"/>
  </pivotFields>
  <rowFields count="1">
    <field x="4"/>
  </rowFields>
  <rowItems count="14">
    <i>
      <x/>
    </i>
    <i>
      <x v="3"/>
    </i>
    <i>
      <x v="11"/>
    </i>
    <i>
      <x v="7"/>
    </i>
    <i>
      <x v="1"/>
    </i>
    <i>
      <x v="8"/>
    </i>
    <i>
      <x v="2"/>
    </i>
    <i>
      <x v="9"/>
    </i>
    <i>
      <x v="10"/>
    </i>
    <i>
      <x v="4"/>
    </i>
    <i>
      <x v="12"/>
    </i>
    <i>
      <x v="5"/>
    </i>
    <i>
      <x v="6"/>
    </i>
    <i t="grand">
      <x/>
    </i>
  </rowItems>
  <colItems count="1">
    <i/>
  </colItems>
  <pageFields count="1">
    <pageField fld="2" hier="-1"/>
  </pageFields>
  <dataFields count="1">
    <dataField name="データの個数 / タイムスタンプ"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F248">
  <tableColumns count="6">
    <tableColumn id="1" xr3:uid="{00000000-0010-0000-0000-000001000000}" name="タイムスタンプ"/>
    <tableColumn id="2" xr3:uid="{00000000-0010-0000-0000-000002000000}" name="問１　あなたの職名は次の選択肢の中では何になりますか"/>
    <tableColumn id="3" xr3:uid="{00000000-0010-0000-0000-000003000000}" name="問２　休暇を取得されましたか"/>
    <tableColumn id="4" xr3:uid="{00000000-0010-0000-0000-000004000000}" name="問３－Ａ　どのように過ごされましたか"/>
    <tableColumn id="5" xr3:uid="{00000000-0010-0000-0000-000005000000}" name="問３－Ｂ　"/>
    <tableColumn id="6" xr3:uid="{00000000-0010-0000-0000-000006000000}" name="問４　今後に向けてお気づきの点などのご意見をお書き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348"/>
  <sheetViews>
    <sheetView tabSelected="1" workbookViewId="0">
      <pane ySplit="1" topLeftCell="A161" activePane="bottomLeft" state="frozen"/>
      <selection pane="bottomLeft" activeCell="D1" sqref="D1"/>
    </sheetView>
  </sheetViews>
  <sheetFormatPr defaultColWidth="12.5703125" defaultRowHeight="15.75" customHeight="1" x14ac:dyDescent="0.2"/>
  <cols>
    <col min="1" max="6" width="22.7109375" customWidth="1"/>
    <col min="7" max="12" width="18.85546875" customWidth="1"/>
  </cols>
  <sheetData>
    <row r="1" spans="1:12" x14ac:dyDescent="0.2">
      <c r="A1" s="1" t="s">
        <v>0</v>
      </c>
      <c r="B1" s="2" t="s">
        <v>1</v>
      </c>
      <c r="C1" s="2" t="s">
        <v>2</v>
      </c>
      <c r="D1" s="2" t="s">
        <v>3</v>
      </c>
      <c r="E1" s="2" t="s">
        <v>4</v>
      </c>
      <c r="F1" s="3" t="s">
        <v>5</v>
      </c>
      <c r="G1" s="4"/>
      <c r="H1" s="4"/>
      <c r="I1" s="4"/>
      <c r="J1" s="4"/>
      <c r="K1" s="4"/>
      <c r="L1" s="4"/>
    </row>
    <row r="2" spans="1:12" x14ac:dyDescent="0.2">
      <c r="A2" s="5">
        <v>45621.495299641203</v>
      </c>
      <c r="B2" s="6" t="s">
        <v>6</v>
      </c>
      <c r="C2" s="6" t="s">
        <v>7</v>
      </c>
      <c r="D2" s="6" t="s">
        <v>8</v>
      </c>
      <c r="E2" s="6"/>
      <c r="F2" s="7" t="s">
        <v>9</v>
      </c>
      <c r="G2" s="4"/>
      <c r="H2" s="4"/>
      <c r="I2" s="4"/>
      <c r="J2" s="4"/>
      <c r="K2" s="4"/>
      <c r="L2" s="4"/>
    </row>
    <row r="3" spans="1:12" x14ac:dyDescent="0.2">
      <c r="A3" s="8">
        <v>45621.495311261577</v>
      </c>
      <c r="B3" s="9" t="s">
        <v>6</v>
      </c>
      <c r="C3" s="9" t="s">
        <v>7</v>
      </c>
      <c r="D3" s="9" t="s">
        <v>10</v>
      </c>
      <c r="E3" s="9"/>
      <c r="F3" s="10" t="s">
        <v>11</v>
      </c>
      <c r="G3" s="4"/>
      <c r="H3" s="4"/>
      <c r="I3" s="4"/>
      <c r="J3" s="4"/>
      <c r="K3" s="4"/>
      <c r="L3" s="4"/>
    </row>
    <row r="4" spans="1:12" x14ac:dyDescent="0.2">
      <c r="A4" s="5">
        <v>45621.495615324078</v>
      </c>
      <c r="B4" s="6" t="s">
        <v>12</v>
      </c>
      <c r="C4" s="6" t="s">
        <v>13</v>
      </c>
      <c r="D4" s="6"/>
      <c r="E4" s="6" t="s">
        <v>14</v>
      </c>
      <c r="F4" s="7"/>
      <c r="G4" s="4"/>
      <c r="H4" s="4"/>
      <c r="I4" s="4"/>
      <c r="J4" s="4"/>
      <c r="K4" s="4"/>
      <c r="L4" s="4"/>
    </row>
    <row r="5" spans="1:12" x14ac:dyDescent="0.2">
      <c r="A5" s="8">
        <v>45621.49631771991</v>
      </c>
      <c r="B5" s="9" t="s">
        <v>12</v>
      </c>
      <c r="C5" s="9" t="s">
        <v>13</v>
      </c>
      <c r="D5" s="9"/>
      <c r="E5" s="9" t="s">
        <v>14</v>
      </c>
      <c r="F5" s="10" t="s">
        <v>15</v>
      </c>
      <c r="G5" s="4"/>
      <c r="H5" s="4"/>
      <c r="I5" s="4"/>
      <c r="J5" s="4"/>
      <c r="K5" s="4"/>
      <c r="L5" s="4"/>
    </row>
    <row r="6" spans="1:12" x14ac:dyDescent="0.2">
      <c r="A6" s="5">
        <v>45621.498279780091</v>
      </c>
      <c r="B6" s="6" t="s">
        <v>16</v>
      </c>
      <c r="C6" s="6" t="s">
        <v>7</v>
      </c>
      <c r="D6" s="6" t="s">
        <v>8</v>
      </c>
      <c r="E6" s="6"/>
      <c r="F6" s="7"/>
      <c r="G6" s="4"/>
      <c r="H6" s="4"/>
      <c r="I6" s="4"/>
      <c r="J6" s="4"/>
      <c r="K6" s="4"/>
      <c r="L6" s="4"/>
    </row>
    <row r="7" spans="1:12" x14ac:dyDescent="0.2">
      <c r="A7" s="8">
        <v>45621.498474525462</v>
      </c>
      <c r="B7" s="9" t="s">
        <v>6</v>
      </c>
      <c r="C7" s="9" t="s">
        <v>7</v>
      </c>
      <c r="D7" s="9" t="s">
        <v>8</v>
      </c>
      <c r="E7" s="9"/>
      <c r="F7" s="10"/>
      <c r="G7" s="4"/>
      <c r="H7" s="4"/>
      <c r="I7" s="4"/>
      <c r="J7" s="4"/>
      <c r="K7" s="4"/>
      <c r="L7" s="4"/>
    </row>
    <row r="8" spans="1:12" x14ac:dyDescent="0.2">
      <c r="A8" s="5">
        <v>45621.499145104171</v>
      </c>
      <c r="B8" s="6" t="s">
        <v>12</v>
      </c>
      <c r="C8" s="6" t="s">
        <v>13</v>
      </c>
      <c r="D8" s="6"/>
      <c r="E8" s="6" t="s">
        <v>14</v>
      </c>
      <c r="F8" s="7" t="s">
        <v>17</v>
      </c>
      <c r="G8" s="4"/>
      <c r="H8" s="4"/>
      <c r="I8" s="4"/>
      <c r="J8" s="4"/>
      <c r="K8" s="4"/>
      <c r="L8" s="4"/>
    </row>
    <row r="9" spans="1:12" x14ac:dyDescent="0.2">
      <c r="A9" s="8">
        <v>45621.499726076392</v>
      </c>
      <c r="B9" s="9" t="s">
        <v>16</v>
      </c>
      <c r="C9" s="9" t="s">
        <v>13</v>
      </c>
      <c r="D9" s="9"/>
      <c r="E9" s="9" t="s">
        <v>14</v>
      </c>
      <c r="F9" s="10" t="s">
        <v>18</v>
      </c>
      <c r="G9" s="4"/>
      <c r="H9" s="4"/>
      <c r="I9" s="4"/>
      <c r="J9" s="4"/>
      <c r="K9" s="4"/>
      <c r="L9" s="4"/>
    </row>
    <row r="10" spans="1:12" x14ac:dyDescent="0.2">
      <c r="A10" s="5">
        <v>45621.50009371528</v>
      </c>
      <c r="B10" s="6" t="s">
        <v>6</v>
      </c>
      <c r="C10" s="6" t="s">
        <v>7</v>
      </c>
      <c r="D10" s="6" t="s">
        <v>19</v>
      </c>
      <c r="E10" s="6"/>
      <c r="F10" s="7"/>
      <c r="G10" s="4"/>
      <c r="H10" s="4"/>
      <c r="I10" s="4"/>
      <c r="J10" s="4"/>
      <c r="K10" s="4"/>
      <c r="L10" s="4"/>
    </row>
    <row r="11" spans="1:12" x14ac:dyDescent="0.2">
      <c r="A11" s="8">
        <v>45621.500304652778</v>
      </c>
      <c r="B11" s="9" t="s">
        <v>20</v>
      </c>
      <c r="C11" s="9" t="s">
        <v>7</v>
      </c>
      <c r="D11" s="9" t="s">
        <v>19</v>
      </c>
      <c r="E11" s="9"/>
      <c r="F11" s="10"/>
      <c r="G11" s="4"/>
      <c r="H11" s="4"/>
      <c r="I11" s="4"/>
      <c r="J11" s="4"/>
      <c r="K11" s="4"/>
      <c r="L11" s="4"/>
    </row>
    <row r="12" spans="1:12" x14ac:dyDescent="0.2">
      <c r="A12" s="5">
        <v>45621.500480509261</v>
      </c>
      <c r="B12" s="6" t="s">
        <v>6</v>
      </c>
      <c r="C12" s="6" t="s">
        <v>7</v>
      </c>
      <c r="D12" s="6" t="s">
        <v>8</v>
      </c>
      <c r="E12" s="6"/>
      <c r="F12" s="7"/>
      <c r="G12" s="4"/>
      <c r="H12" s="4"/>
      <c r="I12" s="4"/>
      <c r="J12" s="4"/>
      <c r="K12" s="4"/>
      <c r="L12" s="4"/>
    </row>
    <row r="13" spans="1:12" x14ac:dyDescent="0.2">
      <c r="A13" s="8">
        <v>45621.500816747684</v>
      </c>
      <c r="B13" s="9" t="s">
        <v>6</v>
      </c>
      <c r="C13" s="9" t="s">
        <v>7</v>
      </c>
      <c r="D13" s="9" t="s">
        <v>10</v>
      </c>
      <c r="E13" s="9"/>
      <c r="F13" s="10"/>
      <c r="G13" s="4"/>
      <c r="H13" s="4"/>
      <c r="I13" s="4"/>
      <c r="J13" s="4"/>
      <c r="K13" s="4"/>
      <c r="L13" s="4"/>
    </row>
    <row r="14" spans="1:12" x14ac:dyDescent="0.2">
      <c r="A14" s="5">
        <v>45621.501622291667</v>
      </c>
      <c r="B14" s="6" t="s">
        <v>6</v>
      </c>
      <c r="C14" s="6" t="s">
        <v>7</v>
      </c>
      <c r="D14" s="6" t="s">
        <v>21</v>
      </c>
      <c r="E14" s="6"/>
      <c r="F14" s="7" t="s">
        <v>22</v>
      </c>
      <c r="G14" s="4"/>
      <c r="H14" s="4"/>
      <c r="I14" s="4"/>
      <c r="J14" s="4"/>
      <c r="K14" s="4"/>
      <c r="L14" s="4"/>
    </row>
    <row r="15" spans="1:12" x14ac:dyDescent="0.2">
      <c r="A15" s="11">
        <v>45623.542394270829</v>
      </c>
      <c r="B15" s="12" t="s">
        <v>12</v>
      </c>
      <c r="C15" s="12" t="s">
        <v>7</v>
      </c>
      <c r="D15" s="12" t="s">
        <v>8</v>
      </c>
      <c r="F15" s="13" t="s">
        <v>23</v>
      </c>
    </row>
    <row r="16" spans="1:12" x14ac:dyDescent="0.2">
      <c r="A16" s="14">
        <v>45623.660141400462</v>
      </c>
      <c r="B16" s="15" t="s">
        <v>12</v>
      </c>
      <c r="C16" s="15" t="s">
        <v>13</v>
      </c>
      <c r="E16" s="15" t="s">
        <v>14</v>
      </c>
      <c r="F16" s="16" t="s">
        <v>24</v>
      </c>
    </row>
    <row r="17" spans="1:6" x14ac:dyDescent="0.2">
      <c r="A17" s="11">
        <v>45623.769438703705</v>
      </c>
      <c r="B17" s="12" t="s">
        <v>12</v>
      </c>
      <c r="C17" s="12" t="s">
        <v>13</v>
      </c>
      <c r="E17" s="12" t="s">
        <v>25</v>
      </c>
      <c r="F17" s="13" t="s">
        <v>26</v>
      </c>
    </row>
    <row r="18" spans="1:6" x14ac:dyDescent="0.2">
      <c r="A18" s="14">
        <v>45623.821149768519</v>
      </c>
      <c r="B18" s="15" t="s">
        <v>6</v>
      </c>
      <c r="C18" s="15" t="s">
        <v>7</v>
      </c>
      <c r="D18" s="15" t="s">
        <v>8</v>
      </c>
      <c r="F18" s="16" t="s">
        <v>27</v>
      </c>
    </row>
    <row r="19" spans="1:6" x14ac:dyDescent="0.2">
      <c r="A19" s="11">
        <v>45624.307116979166</v>
      </c>
      <c r="B19" s="12" t="s">
        <v>12</v>
      </c>
      <c r="C19" s="12" t="s">
        <v>13</v>
      </c>
      <c r="E19" s="12" t="s">
        <v>28</v>
      </c>
    </row>
    <row r="20" spans="1:6" x14ac:dyDescent="0.2">
      <c r="A20" s="14">
        <v>45624.309572118058</v>
      </c>
      <c r="B20" s="15" t="s">
        <v>20</v>
      </c>
      <c r="C20" s="15" t="s">
        <v>7</v>
      </c>
      <c r="D20" s="15" t="s">
        <v>29</v>
      </c>
      <c r="F20" s="16" t="s">
        <v>30</v>
      </c>
    </row>
    <row r="21" spans="1:6" x14ac:dyDescent="0.2">
      <c r="A21" s="11">
        <v>45624.31105319444</v>
      </c>
      <c r="B21" s="12" t="s">
        <v>6</v>
      </c>
      <c r="C21" s="12" t="s">
        <v>7</v>
      </c>
      <c r="D21" s="12" t="s">
        <v>29</v>
      </c>
      <c r="F21" s="13" t="s">
        <v>31</v>
      </c>
    </row>
    <row r="22" spans="1:6" x14ac:dyDescent="0.2">
      <c r="A22" s="14">
        <v>45624.328279710651</v>
      </c>
      <c r="B22" s="15" t="s">
        <v>12</v>
      </c>
      <c r="C22" s="15" t="s">
        <v>7</v>
      </c>
      <c r="D22" s="15" t="s">
        <v>8</v>
      </c>
      <c r="F22" s="16" t="s">
        <v>32</v>
      </c>
    </row>
    <row r="23" spans="1:6" x14ac:dyDescent="0.2">
      <c r="A23" s="11">
        <v>45624.329040532408</v>
      </c>
      <c r="B23" s="12" t="s">
        <v>6</v>
      </c>
      <c r="C23" s="12" t="s">
        <v>7</v>
      </c>
      <c r="D23" s="12" t="s">
        <v>8</v>
      </c>
    </row>
    <row r="24" spans="1:6" x14ac:dyDescent="0.2">
      <c r="A24" s="14">
        <v>45624.337668865744</v>
      </c>
      <c r="B24" s="15" t="s">
        <v>6</v>
      </c>
      <c r="C24" s="15" t="s">
        <v>7</v>
      </c>
      <c r="D24" s="15" t="s">
        <v>8</v>
      </c>
      <c r="F24" s="16" t="s">
        <v>33</v>
      </c>
    </row>
    <row r="25" spans="1:6" x14ac:dyDescent="0.2">
      <c r="A25" s="11">
        <v>45624.338700185181</v>
      </c>
      <c r="B25" s="12" t="s">
        <v>6</v>
      </c>
      <c r="C25" s="12" t="s">
        <v>7</v>
      </c>
      <c r="D25" s="12" t="s">
        <v>19</v>
      </c>
      <c r="F25" s="13" t="s">
        <v>34</v>
      </c>
    </row>
    <row r="26" spans="1:6" x14ac:dyDescent="0.2">
      <c r="A26" s="14">
        <v>45624.343827708333</v>
      </c>
      <c r="B26" s="15" t="s">
        <v>6</v>
      </c>
      <c r="C26" s="15" t="s">
        <v>7</v>
      </c>
      <c r="D26" s="15" t="s">
        <v>8</v>
      </c>
    </row>
    <row r="27" spans="1:6" x14ac:dyDescent="0.2">
      <c r="A27" s="11">
        <v>45624.360965196756</v>
      </c>
      <c r="B27" s="12" t="s">
        <v>6</v>
      </c>
      <c r="C27" s="12" t="s">
        <v>7</v>
      </c>
      <c r="D27" s="12" t="s">
        <v>35</v>
      </c>
      <c r="F27" s="13" t="s">
        <v>36</v>
      </c>
    </row>
    <row r="28" spans="1:6" x14ac:dyDescent="0.2">
      <c r="A28" s="14">
        <v>45624.388940011573</v>
      </c>
      <c r="B28" s="15" t="s">
        <v>6</v>
      </c>
      <c r="C28" s="15" t="s">
        <v>13</v>
      </c>
      <c r="E28" s="15" t="s">
        <v>14</v>
      </c>
      <c r="F28" s="16" t="s">
        <v>37</v>
      </c>
    </row>
    <row r="29" spans="1:6" x14ac:dyDescent="0.2">
      <c r="A29" s="11">
        <v>45624.508621562505</v>
      </c>
      <c r="B29" s="12" t="s">
        <v>6</v>
      </c>
      <c r="C29" s="12" t="s">
        <v>13</v>
      </c>
      <c r="E29" s="12" t="s">
        <v>14</v>
      </c>
      <c r="F29" s="13" t="s">
        <v>38</v>
      </c>
    </row>
    <row r="30" spans="1:6" x14ac:dyDescent="0.2">
      <c r="A30" s="14">
        <v>45624.524730081015</v>
      </c>
      <c r="B30" s="15" t="s">
        <v>6</v>
      </c>
      <c r="C30" s="15" t="s">
        <v>7</v>
      </c>
      <c r="D30" s="15" t="s">
        <v>39</v>
      </c>
    </row>
    <row r="31" spans="1:6" x14ac:dyDescent="0.2">
      <c r="A31" s="11">
        <v>45624.601882627314</v>
      </c>
      <c r="B31" s="12" t="s">
        <v>12</v>
      </c>
      <c r="C31" s="12" t="s">
        <v>13</v>
      </c>
      <c r="E31" s="12" t="s">
        <v>14</v>
      </c>
    </row>
    <row r="32" spans="1:6" x14ac:dyDescent="0.2">
      <c r="A32" s="14">
        <v>45624.605122361114</v>
      </c>
      <c r="B32" s="15" t="s">
        <v>6</v>
      </c>
      <c r="C32" s="15" t="s">
        <v>13</v>
      </c>
      <c r="E32" s="15" t="s">
        <v>40</v>
      </c>
    </row>
    <row r="33" spans="1:6" x14ac:dyDescent="0.2">
      <c r="A33" s="11">
        <v>45624.632038923606</v>
      </c>
      <c r="B33" s="12" t="s">
        <v>6</v>
      </c>
      <c r="C33" s="12" t="s">
        <v>7</v>
      </c>
      <c r="D33" s="12" t="s">
        <v>8</v>
      </c>
      <c r="F33" s="13" t="s">
        <v>41</v>
      </c>
    </row>
    <row r="34" spans="1:6" x14ac:dyDescent="0.2">
      <c r="A34" s="14">
        <v>45624.65343471065</v>
      </c>
      <c r="B34" s="15" t="s">
        <v>6</v>
      </c>
      <c r="C34" s="15" t="s">
        <v>7</v>
      </c>
      <c r="D34" s="15" t="s">
        <v>19</v>
      </c>
    </row>
    <row r="35" spans="1:6" x14ac:dyDescent="0.2">
      <c r="A35" s="11">
        <v>45624.65850409722</v>
      </c>
      <c r="B35" s="12" t="s">
        <v>6</v>
      </c>
      <c r="C35" s="12" t="s">
        <v>7</v>
      </c>
      <c r="D35" s="12" t="s">
        <v>19</v>
      </c>
      <c r="F35" s="13" t="s">
        <v>42</v>
      </c>
    </row>
    <row r="36" spans="1:6" x14ac:dyDescent="0.2">
      <c r="A36" s="14">
        <v>45624.664197361111</v>
      </c>
      <c r="B36" s="15" t="s">
        <v>6</v>
      </c>
      <c r="C36" s="15" t="s">
        <v>7</v>
      </c>
      <c r="D36" s="15" t="s">
        <v>8</v>
      </c>
    </row>
    <row r="37" spans="1:6" x14ac:dyDescent="0.2">
      <c r="A37" s="11">
        <v>45624.666245949076</v>
      </c>
      <c r="B37" s="12" t="s">
        <v>6</v>
      </c>
      <c r="C37" s="12" t="s">
        <v>7</v>
      </c>
      <c r="D37" s="12" t="s">
        <v>8</v>
      </c>
      <c r="F37" s="13" t="s">
        <v>43</v>
      </c>
    </row>
    <row r="38" spans="1:6" x14ac:dyDescent="0.2">
      <c r="A38" s="14">
        <v>45624.66853978009</v>
      </c>
      <c r="B38" s="15" t="s">
        <v>44</v>
      </c>
      <c r="C38" s="15" t="s">
        <v>7</v>
      </c>
      <c r="D38" s="15" t="s">
        <v>8</v>
      </c>
    </row>
    <row r="39" spans="1:6" x14ac:dyDescent="0.2">
      <c r="A39" s="11">
        <v>45624.67012476852</v>
      </c>
      <c r="B39" s="12" t="s">
        <v>6</v>
      </c>
      <c r="C39" s="12" t="s">
        <v>7</v>
      </c>
      <c r="D39" s="12" t="s">
        <v>8</v>
      </c>
      <c r="F39" s="13" t="s">
        <v>45</v>
      </c>
    </row>
    <row r="40" spans="1:6" x14ac:dyDescent="0.2">
      <c r="A40" s="14">
        <v>45624.673590046295</v>
      </c>
      <c r="B40" s="15" t="s">
        <v>6</v>
      </c>
      <c r="C40" s="15" t="s">
        <v>7</v>
      </c>
      <c r="D40" s="15" t="s">
        <v>8</v>
      </c>
    </row>
    <row r="41" spans="1:6" x14ac:dyDescent="0.2">
      <c r="A41" s="11">
        <v>45624.675074814819</v>
      </c>
      <c r="B41" s="12" t="s">
        <v>6</v>
      </c>
      <c r="C41" s="12" t="s">
        <v>7</v>
      </c>
      <c r="D41" s="12" t="s">
        <v>8</v>
      </c>
      <c r="F41" s="13" t="s">
        <v>46</v>
      </c>
    </row>
    <row r="42" spans="1:6" x14ac:dyDescent="0.2">
      <c r="A42" s="14">
        <v>45624.677200775463</v>
      </c>
      <c r="B42" s="15" t="s">
        <v>6</v>
      </c>
      <c r="C42" s="15" t="s">
        <v>7</v>
      </c>
      <c r="D42" s="15" t="s">
        <v>8</v>
      </c>
      <c r="F42" s="16" t="s">
        <v>47</v>
      </c>
    </row>
    <row r="43" spans="1:6" x14ac:dyDescent="0.2">
      <c r="A43" s="11">
        <v>45624.681990949073</v>
      </c>
      <c r="B43" s="12" t="s">
        <v>6</v>
      </c>
      <c r="C43" s="12" t="s">
        <v>7</v>
      </c>
      <c r="D43" s="12" t="s">
        <v>8</v>
      </c>
    </row>
    <row r="44" spans="1:6" x14ac:dyDescent="0.2">
      <c r="A44" s="14">
        <v>45624.686321724541</v>
      </c>
      <c r="B44" s="15" t="s">
        <v>6</v>
      </c>
      <c r="C44" s="15" t="s">
        <v>7</v>
      </c>
      <c r="D44" s="15" t="s">
        <v>8</v>
      </c>
      <c r="F44" s="16" t="s">
        <v>48</v>
      </c>
    </row>
    <row r="45" spans="1:6" x14ac:dyDescent="0.2">
      <c r="A45" s="11">
        <v>45624.695447951388</v>
      </c>
      <c r="B45" s="12" t="s">
        <v>6</v>
      </c>
      <c r="C45" s="12" t="s">
        <v>7</v>
      </c>
      <c r="D45" s="12" t="s">
        <v>8</v>
      </c>
      <c r="F45" s="13" t="s">
        <v>49</v>
      </c>
    </row>
    <row r="46" spans="1:6" x14ac:dyDescent="0.2">
      <c r="A46" s="14">
        <v>45624.701281388887</v>
      </c>
      <c r="B46" s="15" t="s">
        <v>6</v>
      </c>
      <c r="C46" s="15" t="s">
        <v>7</v>
      </c>
      <c r="D46" s="15" t="s">
        <v>19</v>
      </c>
      <c r="F46" s="16" t="s">
        <v>50</v>
      </c>
    </row>
    <row r="47" spans="1:6" x14ac:dyDescent="0.2">
      <c r="A47" s="11">
        <v>45624.708627974542</v>
      </c>
      <c r="B47" s="12" t="s">
        <v>20</v>
      </c>
      <c r="C47" s="12" t="s">
        <v>7</v>
      </c>
      <c r="D47" s="12" t="s">
        <v>8</v>
      </c>
    </row>
    <row r="48" spans="1:6" x14ac:dyDescent="0.2">
      <c r="A48" s="14">
        <v>45624.711010590283</v>
      </c>
      <c r="B48" s="15" t="s">
        <v>6</v>
      </c>
      <c r="C48" s="15" t="s">
        <v>7</v>
      </c>
      <c r="D48" s="15" t="s">
        <v>8</v>
      </c>
    </row>
    <row r="49" spans="1:6" x14ac:dyDescent="0.2">
      <c r="A49" s="11">
        <v>45624.727977754628</v>
      </c>
      <c r="B49" s="12" t="s">
        <v>6</v>
      </c>
      <c r="C49" s="12" t="s">
        <v>7</v>
      </c>
      <c r="D49" s="12" t="s">
        <v>8</v>
      </c>
    </row>
    <row r="50" spans="1:6" x14ac:dyDescent="0.2">
      <c r="A50" s="14">
        <v>45624.735920868057</v>
      </c>
      <c r="B50" s="15" t="s">
        <v>6</v>
      </c>
      <c r="C50" s="15" t="s">
        <v>7</v>
      </c>
      <c r="D50" s="15" t="s">
        <v>29</v>
      </c>
      <c r="F50" s="16" t="s">
        <v>51</v>
      </c>
    </row>
    <row r="51" spans="1:6" x14ac:dyDescent="0.2">
      <c r="A51" s="11">
        <v>45624.748802743052</v>
      </c>
      <c r="B51" s="12" t="s">
        <v>6</v>
      </c>
      <c r="C51" s="12" t="s">
        <v>7</v>
      </c>
      <c r="D51" s="12" t="s">
        <v>8</v>
      </c>
      <c r="F51" s="13" t="s">
        <v>52</v>
      </c>
    </row>
    <row r="52" spans="1:6" x14ac:dyDescent="0.2">
      <c r="A52" s="14">
        <v>45624.749237962962</v>
      </c>
      <c r="B52" s="15" t="s">
        <v>6</v>
      </c>
      <c r="C52" s="15" t="s">
        <v>7</v>
      </c>
      <c r="D52" s="15" t="s">
        <v>19</v>
      </c>
    </row>
    <row r="53" spans="1:6" x14ac:dyDescent="0.2">
      <c r="A53" s="11">
        <v>45624.752573171296</v>
      </c>
      <c r="B53" s="12" t="s">
        <v>6</v>
      </c>
      <c r="C53" s="12" t="s">
        <v>7</v>
      </c>
      <c r="D53" s="12" t="s">
        <v>53</v>
      </c>
    </row>
    <row r="54" spans="1:6" x14ac:dyDescent="0.2">
      <c r="A54" s="14">
        <v>45624.766910532402</v>
      </c>
      <c r="B54" s="15" t="s">
        <v>6</v>
      </c>
      <c r="C54" s="15" t="s">
        <v>7</v>
      </c>
      <c r="D54" s="15" t="s">
        <v>54</v>
      </c>
      <c r="F54" s="16" t="s">
        <v>55</v>
      </c>
    </row>
    <row r="55" spans="1:6" x14ac:dyDescent="0.2">
      <c r="A55" s="11">
        <v>45624.795661608798</v>
      </c>
      <c r="B55" s="12" t="s">
        <v>6</v>
      </c>
      <c r="C55" s="12" t="s">
        <v>7</v>
      </c>
      <c r="D55" s="12" t="s">
        <v>56</v>
      </c>
      <c r="F55" s="13" t="s">
        <v>57</v>
      </c>
    </row>
    <row r="56" spans="1:6" x14ac:dyDescent="0.2">
      <c r="A56" s="14">
        <v>45624.804626817131</v>
      </c>
      <c r="B56" s="15" t="s">
        <v>6</v>
      </c>
      <c r="C56" s="15" t="s">
        <v>7</v>
      </c>
      <c r="D56" s="15" t="s">
        <v>58</v>
      </c>
    </row>
    <row r="57" spans="1:6" x14ac:dyDescent="0.2">
      <c r="A57" s="11">
        <v>45625.337918645833</v>
      </c>
      <c r="B57" s="12" t="s">
        <v>6</v>
      </c>
      <c r="C57" s="12" t="s">
        <v>7</v>
      </c>
      <c r="D57" s="12" t="s">
        <v>29</v>
      </c>
      <c r="F57" s="13" t="s">
        <v>59</v>
      </c>
    </row>
    <row r="58" spans="1:6" x14ac:dyDescent="0.2">
      <c r="A58" s="14">
        <v>45625.341299074076</v>
      </c>
      <c r="B58" s="15" t="s">
        <v>6</v>
      </c>
      <c r="C58" s="15" t="s">
        <v>7</v>
      </c>
      <c r="D58" s="15" t="s">
        <v>19</v>
      </c>
    </row>
    <row r="59" spans="1:6" x14ac:dyDescent="0.2">
      <c r="A59" s="11">
        <v>45625.384431828701</v>
      </c>
      <c r="B59" s="12" t="s">
        <v>6</v>
      </c>
      <c r="C59" s="12" t="s">
        <v>7</v>
      </c>
      <c r="D59" s="12" t="s">
        <v>8</v>
      </c>
    </row>
    <row r="60" spans="1:6" x14ac:dyDescent="0.2">
      <c r="A60" s="14">
        <v>45625.471945405094</v>
      </c>
      <c r="B60" s="15" t="s">
        <v>12</v>
      </c>
      <c r="C60" s="15" t="s">
        <v>13</v>
      </c>
      <c r="E60" s="15" t="s">
        <v>14</v>
      </c>
    </row>
    <row r="61" spans="1:6" x14ac:dyDescent="0.2">
      <c r="A61" s="11">
        <v>45625.52714622685</v>
      </c>
      <c r="B61" s="12" t="s">
        <v>12</v>
      </c>
      <c r="C61" s="12" t="s">
        <v>13</v>
      </c>
      <c r="E61" s="12" t="s">
        <v>14</v>
      </c>
    </row>
    <row r="62" spans="1:6" x14ac:dyDescent="0.2">
      <c r="A62" s="14">
        <v>45625.547857534722</v>
      </c>
      <c r="B62" s="15" t="s">
        <v>6</v>
      </c>
      <c r="C62" s="15" t="s">
        <v>7</v>
      </c>
      <c r="D62" s="15" t="s">
        <v>8</v>
      </c>
      <c r="F62" s="16" t="s">
        <v>60</v>
      </c>
    </row>
    <row r="63" spans="1:6" x14ac:dyDescent="0.2">
      <c r="A63" s="11">
        <v>45625.603496585652</v>
      </c>
      <c r="B63" s="12" t="s">
        <v>6</v>
      </c>
      <c r="C63" s="12" t="s">
        <v>7</v>
      </c>
      <c r="D63" s="12" t="s">
        <v>8</v>
      </c>
      <c r="F63" s="13" t="s">
        <v>61</v>
      </c>
    </row>
    <row r="64" spans="1:6" x14ac:dyDescent="0.2">
      <c r="A64" s="14">
        <v>45625.604187511577</v>
      </c>
      <c r="B64" s="15" t="s">
        <v>20</v>
      </c>
      <c r="C64" s="15" t="s">
        <v>7</v>
      </c>
      <c r="D64" s="15" t="s">
        <v>8</v>
      </c>
      <c r="F64" s="16" t="s">
        <v>62</v>
      </c>
    </row>
    <row r="65" spans="1:6" x14ac:dyDescent="0.2">
      <c r="A65" s="11">
        <v>45625.605276516202</v>
      </c>
      <c r="B65" s="12" t="s">
        <v>6</v>
      </c>
      <c r="C65" s="12" t="s">
        <v>7</v>
      </c>
      <c r="D65" s="12" t="s">
        <v>8</v>
      </c>
    </row>
    <row r="66" spans="1:6" x14ac:dyDescent="0.2">
      <c r="A66" s="14">
        <v>45625.60765528935</v>
      </c>
      <c r="B66" s="15" t="s">
        <v>6</v>
      </c>
      <c r="C66" s="15" t="s">
        <v>7</v>
      </c>
      <c r="D66" s="15" t="s">
        <v>19</v>
      </c>
      <c r="F66" s="16" t="s">
        <v>63</v>
      </c>
    </row>
    <row r="67" spans="1:6" x14ac:dyDescent="0.2">
      <c r="A67" s="11">
        <v>45625.658609247686</v>
      </c>
      <c r="B67" s="12" t="s">
        <v>6</v>
      </c>
      <c r="C67" s="12" t="s">
        <v>7</v>
      </c>
      <c r="D67" s="12" t="s">
        <v>8</v>
      </c>
      <c r="F67" s="13" t="s">
        <v>64</v>
      </c>
    </row>
    <row r="68" spans="1:6" x14ac:dyDescent="0.2">
      <c r="A68" s="14">
        <v>45625.660551249995</v>
      </c>
      <c r="B68" s="15" t="s">
        <v>6</v>
      </c>
      <c r="C68" s="15" t="s">
        <v>7</v>
      </c>
      <c r="D68" s="15" t="s">
        <v>8</v>
      </c>
      <c r="F68" s="16" t="s">
        <v>65</v>
      </c>
    </row>
    <row r="69" spans="1:6" x14ac:dyDescent="0.2">
      <c r="A69" s="11">
        <v>45625.667960740742</v>
      </c>
      <c r="B69" s="12" t="s">
        <v>12</v>
      </c>
      <c r="C69" s="12" t="s">
        <v>13</v>
      </c>
      <c r="E69" s="12" t="s">
        <v>14</v>
      </c>
      <c r="F69" s="13" t="s">
        <v>66</v>
      </c>
    </row>
    <row r="70" spans="1:6" x14ac:dyDescent="0.2">
      <c r="A70" s="14">
        <v>45625.677787245368</v>
      </c>
      <c r="B70" s="15" t="s">
        <v>6</v>
      </c>
      <c r="C70" s="15" t="s">
        <v>7</v>
      </c>
      <c r="D70" s="15" t="s">
        <v>8</v>
      </c>
      <c r="F70" s="16" t="s">
        <v>67</v>
      </c>
    </row>
    <row r="71" spans="1:6" x14ac:dyDescent="0.2">
      <c r="A71" s="11">
        <v>45625.704505347225</v>
      </c>
      <c r="B71" s="12" t="s">
        <v>6</v>
      </c>
      <c r="C71" s="12" t="s">
        <v>7</v>
      </c>
      <c r="D71" s="12" t="s">
        <v>29</v>
      </c>
    </row>
    <row r="72" spans="1:6" x14ac:dyDescent="0.2">
      <c r="A72" s="14">
        <v>45625.706384351855</v>
      </c>
      <c r="B72" s="15" t="s">
        <v>20</v>
      </c>
      <c r="C72" s="15" t="s">
        <v>7</v>
      </c>
      <c r="D72" s="15" t="s">
        <v>8</v>
      </c>
      <c r="F72" s="16" t="s">
        <v>68</v>
      </c>
    </row>
    <row r="73" spans="1:6" x14ac:dyDescent="0.2">
      <c r="A73" s="11">
        <v>45625.707233379631</v>
      </c>
      <c r="B73" s="12" t="s">
        <v>12</v>
      </c>
      <c r="C73" s="12" t="s">
        <v>7</v>
      </c>
      <c r="D73" s="12" t="s">
        <v>8</v>
      </c>
    </row>
    <row r="74" spans="1:6" x14ac:dyDescent="0.2">
      <c r="A74" s="14">
        <v>45625.717316875001</v>
      </c>
      <c r="B74" s="15" t="s">
        <v>6</v>
      </c>
      <c r="C74" s="15" t="s">
        <v>7</v>
      </c>
      <c r="D74" s="15" t="s">
        <v>19</v>
      </c>
      <c r="F74" s="16" t="s">
        <v>69</v>
      </c>
    </row>
    <row r="75" spans="1:6" x14ac:dyDescent="0.2">
      <c r="A75" s="11">
        <v>45625.721800416664</v>
      </c>
      <c r="B75" s="12" t="s">
        <v>6</v>
      </c>
      <c r="C75" s="12" t="s">
        <v>7</v>
      </c>
      <c r="D75" s="12" t="s">
        <v>19</v>
      </c>
      <c r="F75" s="13" t="s">
        <v>70</v>
      </c>
    </row>
    <row r="76" spans="1:6" x14ac:dyDescent="0.2">
      <c r="A76" s="14">
        <v>45625.725504189817</v>
      </c>
      <c r="B76" s="15" t="s">
        <v>6</v>
      </c>
      <c r="C76" s="15" t="s">
        <v>7</v>
      </c>
      <c r="D76" s="15" t="s">
        <v>8</v>
      </c>
      <c r="F76" s="16" t="s">
        <v>71</v>
      </c>
    </row>
    <row r="77" spans="1:6" x14ac:dyDescent="0.2">
      <c r="A77" s="11">
        <v>45625.731239976856</v>
      </c>
      <c r="B77" s="12" t="s">
        <v>6</v>
      </c>
      <c r="C77" s="12" t="s">
        <v>7</v>
      </c>
      <c r="D77" s="12" t="s">
        <v>8</v>
      </c>
      <c r="F77" s="13" t="s">
        <v>72</v>
      </c>
    </row>
    <row r="78" spans="1:6" x14ac:dyDescent="0.2">
      <c r="A78" s="14">
        <v>45625.741559560185</v>
      </c>
      <c r="B78" s="15" t="s">
        <v>6</v>
      </c>
      <c r="C78" s="15" t="s">
        <v>7</v>
      </c>
      <c r="D78" s="15" t="s">
        <v>8</v>
      </c>
    </row>
    <row r="79" spans="1:6" x14ac:dyDescent="0.2">
      <c r="A79" s="11">
        <v>45625.754427233798</v>
      </c>
      <c r="B79" s="12" t="s">
        <v>6</v>
      </c>
      <c r="C79" s="12" t="s">
        <v>7</v>
      </c>
      <c r="D79" s="12" t="s">
        <v>8</v>
      </c>
    </row>
    <row r="80" spans="1:6" x14ac:dyDescent="0.2">
      <c r="A80" s="14">
        <v>45625.765554178244</v>
      </c>
      <c r="B80" s="15" t="s">
        <v>6</v>
      </c>
      <c r="C80" s="15" t="s">
        <v>13</v>
      </c>
      <c r="E80" s="15" t="s">
        <v>14</v>
      </c>
    </row>
    <row r="81" spans="1:6" x14ac:dyDescent="0.2">
      <c r="A81" s="11">
        <v>45625.798554120367</v>
      </c>
      <c r="B81" s="12" t="s">
        <v>6</v>
      </c>
      <c r="C81" s="12" t="s">
        <v>7</v>
      </c>
      <c r="D81" s="12" t="s">
        <v>8</v>
      </c>
      <c r="F81" s="13" t="s">
        <v>73</v>
      </c>
    </row>
    <row r="82" spans="1:6" x14ac:dyDescent="0.2">
      <c r="A82" s="14">
        <v>45625.80156547454</v>
      </c>
      <c r="B82" s="15" t="s">
        <v>6</v>
      </c>
      <c r="C82" s="15" t="s">
        <v>7</v>
      </c>
      <c r="D82" s="15" t="s">
        <v>29</v>
      </c>
      <c r="F82" s="16" t="s">
        <v>74</v>
      </c>
    </row>
    <row r="83" spans="1:6" x14ac:dyDescent="0.2">
      <c r="A83" s="11">
        <v>45625.946585034719</v>
      </c>
      <c r="B83" s="12" t="s">
        <v>16</v>
      </c>
      <c r="C83" s="12" t="s">
        <v>7</v>
      </c>
      <c r="D83" s="12" t="s">
        <v>19</v>
      </c>
      <c r="F83" s="13" t="s">
        <v>75</v>
      </c>
    </row>
    <row r="84" spans="1:6" x14ac:dyDescent="0.2">
      <c r="A84" s="14">
        <v>45626.480839548611</v>
      </c>
      <c r="B84" s="15" t="s">
        <v>6</v>
      </c>
      <c r="C84" s="15" t="s">
        <v>7</v>
      </c>
      <c r="D84" s="15" t="s">
        <v>8</v>
      </c>
      <c r="F84" s="16" t="s">
        <v>76</v>
      </c>
    </row>
    <row r="85" spans="1:6" x14ac:dyDescent="0.2">
      <c r="A85" s="11">
        <v>45626.638782511574</v>
      </c>
      <c r="B85" s="12" t="s">
        <v>12</v>
      </c>
      <c r="C85" s="12" t="s">
        <v>7</v>
      </c>
      <c r="D85" s="12" t="s">
        <v>8</v>
      </c>
      <c r="F85" s="13" t="s">
        <v>77</v>
      </c>
    </row>
    <row r="86" spans="1:6" x14ac:dyDescent="0.2">
      <c r="A86" s="14">
        <v>45626.69488299769</v>
      </c>
      <c r="B86" s="15" t="s">
        <v>6</v>
      </c>
      <c r="C86" s="15" t="s">
        <v>13</v>
      </c>
      <c r="E86" s="15" t="s">
        <v>78</v>
      </c>
      <c r="F86" s="16" t="s">
        <v>79</v>
      </c>
    </row>
    <row r="87" spans="1:6" x14ac:dyDescent="0.2">
      <c r="A87" s="11">
        <v>45627.408341099537</v>
      </c>
      <c r="B87" s="12" t="s">
        <v>6</v>
      </c>
      <c r="C87" s="12" t="s">
        <v>7</v>
      </c>
      <c r="D87" s="12" t="s">
        <v>8</v>
      </c>
      <c r="F87" s="13" t="s">
        <v>80</v>
      </c>
    </row>
    <row r="88" spans="1:6" x14ac:dyDescent="0.2">
      <c r="A88" s="14">
        <v>45627.459152337964</v>
      </c>
      <c r="B88" s="15" t="s">
        <v>6</v>
      </c>
      <c r="C88" s="15" t="s">
        <v>7</v>
      </c>
      <c r="D88" s="15" t="s">
        <v>8</v>
      </c>
    </row>
    <row r="89" spans="1:6" x14ac:dyDescent="0.2">
      <c r="A89" s="11">
        <v>45627.522988993056</v>
      </c>
      <c r="B89" s="12" t="s">
        <v>6</v>
      </c>
      <c r="C89" s="12" t="s">
        <v>7</v>
      </c>
      <c r="D89" s="12" t="s">
        <v>19</v>
      </c>
      <c r="F89" s="13" t="s">
        <v>81</v>
      </c>
    </row>
    <row r="90" spans="1:6" x14ac:dyDescent="0.2">
      <c r="A90" s="14">
        <v>45627.524417106484</v>
      </c>
      <c r="B90" s="15" t="s">
        <v>6</v>
      </c>
      <c r="C90" s="15" t="s">
        <v>7</v>
      </c>
      <c r="D90" s="15" t="s">
        <v>8</v>
      </c>
    </row>
    <row r="91" spans="1:6" x14ac:dyDescent="0.2">
      <c r="A91" s="11">
        <v>45627.533353692124</v>
      </c>
      <c r="B91" s="12" t="s">
        <v>6</v>
      </c>
      <c r="C91" s="12" t="s">
        <v>7</v>
      </c>
      <c r="D91" s="12" t="s">
        <v>19</v>
      </c>
    </row>
    <row r="92" spans="1:6" x14ac:dyDescent="0.2">
      <c r="A92" s="14">
        <v>45627.545946122686</v>
      </c>
      <c r="B92" s="15" t="s">
        <v>6</v>
      </c>
      <c r="C92" s="15" t="s">
        <v>7</v>
      </c>
      <c r="D92" s="15" t="s">
        <v>8</v>
      </c>
      <c r="F92" s="16" t="s">
        <v>82</v>
      </c>
    </row>
    <row r="93" spans="1:6" x14ac:dyDescent="0.2">
      <c r="A93" s="11">
        <v>45627.54673263889</v>
      </c>
      <c r="B93" s="12" t="s">
        <v>6</v>
      </c>
      <c r="C93" s="12" t="s">
        <v>7</v>
      </c>
      <c r="D93" s="12" t="s">
        <v>8</v>
      </c>
      <c r="F93" s="13" t="s">
        <v>83</v>
      </c>
    </row>
    <row r="94" spans="1:6" x14ac:dyDescent="0.2">
      <c r="A94" s="14">
        <v>45627.562169988421</v>
      </c>
      <c r="B94" s="15" t="s">
        <v>6</v>
      </c>
      <c r="C94" s="15" t="s">
        <v>7</v>
      </c>
      <c r="D94" s="15" t="s">
        <v>19</v>
      </c>
      <c r="F94" s="16" t="s">
        <v>84</v>
      </c>
    </row>
    <row r="95" spans="1:6" x14ac:dyDescent="0.2">
      <c r="A95" s="11">
        <v>45627.59850857639</v>
      </c>
      <c r="B95" s="12" t="s">
        <v>12</v>
      </c>
      <c r="C95" s="12" t="s">
        <v>7</v>
      </c>
      <c r="D95" s="12" t="s">
        <v>29</v>
      </c>
      <c r="F95" s="13" t="s">
        <v>85</v>
      </c>
    </row>
    <row r="96" spans="1:6" x14ac:dyDescent="0.2">
      <c r="A96" s="14">
        <v>45627.611344444449</v>
      </c>
      <c r="B96" s="15" t="s">
        <v>6</v>
      </c>
      <c r="C96" s="15" t="s">
        <v>7</v>
      </c>
      <c r="D96" s="15" t="s">
        <v>8</v>
      </c>
    </row>
    <row r="97" spans="1:6" x14ac:dyDescent="0.2">
      <c r="A97" s="11">
        <v>45627.656918900466</v>
      </c>
      <c r="B97" s="12" t="s">
        <v>6</v>
      </c>
      <c r="C97" s="12" t="s">
        <v>7</v>
      </c>
      <c r="D97" s="12" t="s">
        <v>8</v>
      </c>
    </row>
    <row r="98" spans="1:6" x14ac:dyDescent="0.2">
      <c r="A98" s="14">
        <v>45628.343053032411</v>
      </c>
      <c r="B98" s="15" t="s">
        <v>6</v>
      </c>
      <c r="C98" s="15" t="s">
        <v>7</v>
      </c>
      <c r="D98" s="15" t="s">
        <v>19</v>
      </c>
    </row>
    <row r="99" spans="1:6" x14ac:dyDescent="0.2">
      <c r="A99" s="11">
        <v>45628.362992939816</v>
      </c>
      <c r="B99" s="12" t="s">
        <v>44</v>
      </c>
      <c r="C99" s="12" t="s">
        <v>7</v>
      </c>
      <c r="D99" s="12" t="s">
        <v>8</v>
      </c>
    </row>
    <row r="100" spans="1:6" x14ac:dyDescent="0.2">
      <c r="A100" s="14">
        <v>45628.40989949074</v>
      </c>
      <c r="B100" s="15" t="s">
        <v>20</v>
      </c>
      <c r="C100" s="15" t="s">
        <v>7</v>
      </c>
      <c r="D100" s="15" t="s">
        <v>8</v>
      </c>
    </row>
    <row r="101" spans="1:6" x14ac:dyDescent="0.2">
      <c r="A101" s="11">
        <v>45628.494963194447</v>
      </c>
      <c r="B101" s="12" t="s">
        <v>6</v>
      </c>
      <c r="C101" s="12" t="s">
        <v>13</v>
      </c>
      <c r="E101" s="12" t="s">
        <v>14</v>
      </c>
      <c r="F101" s="13" t="s">
        <v>86</v>
      </c>
    </row>
    <row r="102" spans="1:6" x14ac:dyDescent="0.2">
      <c r="A102" s="14">
        <v>45628.495067314812</v>
      </c>
      <c r="B102" s="15" t="s">
        <v>6</v>
      </c>
      <c r="C102" s="15" t="s">
        <v>7</v>
      </c>
      <c r="D102" s="15" t="s">
        <v>8</v>
      </c>
      <c r="F102" s="16" t="s">
        <v>60</v>
      </c>
    </row>
    <row r="103" spans="1:6" x14ac:dyDescent="0.2">
      <c r="A103" s="11">
        <v>45628.497690578704</v>
      </c>
      <c r="B103" s="12" t="s">
        <v>12</v>
      </c>
      <c r="C103" s="12" t="s">
        <v>13</v>
      </c>
      <c r="E103" s="12" t="s">
        <v>14</v>
      </c>
      <c r="F103" s="13" t="s">
        <v>87</v>
      </c>
    </row>
    <row r="104" spans="1:6" x14ac:dyDescent="0.2">
      <c r="A104" s="14">
        <v>45628.51326605324</v>
      </c>
      <c r="B104" s="15" t="s">
        <v>6</v>
      </c>
      <c r="C104" s="15" t="s">
        <v>7</v>
      </c>
      <c r="D104" s="15" t="s">
        <v>19</v>
      </c>
      <c r="F104" s="16" t="s">
        <v>88</v>
      </c>
    </row>
    <row r="105" spans="1:6" x14ac:dyDescent="0.2">
      <c r="A105" s="11">
        <v>45628.518793981479</v>
      </c>
      <c r="B105" s="12" t="s">
        <v>12</v>
      </c>
      <c r="C105" s="12" t="s">
        <v>7</v>
      </c>
      <c r="D105" s="12" t="s">
        <v>89</v>
      </c>
      <c r="F105" s="13" t="s">
        <v>90</v>
      </c>
    </row>
    <row r="106" spans="1:6" x14ac:dyDescent="0.2">
      <c r="A106" s="14">
        <v>45628.529514583337</v>
      </c>
      <c r="B106" s="15" t="s">
        <v>44</v>
      </c>
      <c r="C106" s="15" t="s">
        <v>7</v>
      </c>
      <c r="D106" s="15" t="s">
        <v>19</v>
      </c>
    </row>
    <row r="107" spans="1:6" x14ac:dyDescent="0.2">
      <c r="A107" s="11">
        <v>45628.530893750001</v>
      </c>
      <c r="B107" s="12" t="s">
        <v>6</v>
      </c>
      <c r="C107" s="12" t="s">
        <v>7</v>
      </c>
      <c r="D107" s="12" t="s">
        <v>8</v>
      </c>
    </row>
    <row r="108" spans="1:6" x14ac:dyDescent="0.2">
      <c r="A108" s="14">
        <v>45628.534728449071</v>
      </c>
      <c r="B108" s="15" t="s">
        <v>6</v>
      </c>
      <c r="C108" s="15" t="s">
        <v>7</v>
      </c>
      <c r="D108" s="15" t="s">
        <v>8</v>
      </c>
    </row>
    <row r="109" spans="1:6" x14ac:dyDescent="0.2">
      <c r="A109" s="11">
        <v>45628.536749143517</v>
      </c>
      <c r="B109" s="12" t="s">
        <v>6</v>
      </c>
      <c r="C109" s="12" t="s">
        <v>7</v>
      </c>
      <c r="D109" s="12" t="s">
        <v>91</v>
      </c>
      <c r="F109" s="13" t="s">
        <v>92</v>
      </c>
    </row>
    <row r="110" spans="1:6" x14ac:dyDescent="0.2">
      <c r="A110" s="14">
        <v>45628.553269224532</v>
      </c>
      <c r="B110" s="15" t="s">
        <v>6</v>
      </c>
      <c r="C110" s="15" t="s">
        <v>7</v>
      </c>
      <c r="D110" s="15" t="s">
        <v>8</v>
      </c>
    </row>
    <row r="111" spans="1:6" x14ac:dyDescent="0.2">
      <c r="A111" s="11">
        <v>45628.574295358798</v>
      </c>
      <c r="B111" s="12" t="s">
        <v>6</v>
      </c>
      <c r="C111" s="12" t="s">
        <v>7</v>
      </c>
      <c r="D111" s="12" t="s">
        <v>8</v>
      </c>
      <c r="F111" s="13" t="s">
        <v>93</v>
      </c>
    </row>
    <row r="112" spans="1:6" x14ac:dyDescent="0.2">
      <c r="A112" s="14">
        <v>45628.584110995369</v>
      </c>
      <c r="B112" s="15" t="s">
        <v>6</v>
      </c>
      <c r="C112" s="15" t="s">
        <v>7</v>
      </c>
      <c r="D112" s="15" t="s">
        <v>19</v>
      </c>
    </row>
    <row r="113" spans="1:6" x14ac:dyDescent="0.2">
      <c r="A113" s="11">
        <v>45628.594432013888</v>
      </c>
      <c r="B113" s="12" t="s">
        <v>6</v>
      </c>
      <c r="C113" s="12" t="s">
        <v>7</v>
      </c>
      <c r="D113" s="12" t="s">
        <v>94</v>
      </c>
      <c r="F113" s="13" t="s">
        <v>95</v>
      </c>
    </row>
    <row r="114" spans="1:6" x14ac:dyDescent="0.2">
      <c r="A114" s="14">
        <v>45628.5960619213</v>
      </c>
      <c r="B114" s="15" t="s">
        <v>6</v>
      </c>
      <c r="C114" s="15" t="s">
        <v>13</v>
      </c>
      <c r="E114" s="15" t="s">
        <v>14</v>
      </c>
      <c r="F114" s="16" t="s">
        <v>96</v>
      </c>
    </row>
    <row r="115" spans="1:6" x14ac:dyDescent="0.2">
      <c r="A115" s="11">
        <v>45628.605221076388</v>
      </c>
      <c r="B115" s="12" t="s">
        <v>6</v>
      </c>
      <c r="C115" s="12" t="s">
        <v>7</v>
      </c>
      <c r="D115" s="12" t="s">
        <v>8</v>
      </c>
    </row>
    <row r="116" spans="1:6" x14ac:dyDescent="0.2">
      <c r="A116" s="14">
        <v>45628.606024814813</v>
      </c>
      <c r="B116" s="15" t="s">
        <v>12</v>
      </c>
      <c r="C116" s="15" t="s">
        <v>7</v>
      </c>
      <c r="D116" s="15" t="s">
        <v>8</v>
      </c>
      <c r="F116" s="16" t="s">
        <v>97</v>
      </c>
    </row>
    <row r="117" spans="1:6" x14ac:dyDescent="0.2">
      <c r="A117" s="11">
        <v>45628.607920682873</v>
      </c>
      <c r="B117" s="12" t="s">
        <v>6</v>
      </c>
      <c r="C117" s="12" t="s">
        <v>7</v>
      </c>
      <c r="D117" s="12" t="s">
        <v>8</v>
      </c>
      <c r="F117" s="13" t="s">
        <v>98</v>
      </c>
    </row>
    <row r="118" spans="1:6" x14ac:dyDescent="0.2">
      <c r="A118" s="14">
        <v>45628.615795289355</v>
      </c>
      <c r="B118" s="15" t="s">
        <v>44</v>
      </c>
      <c r="C118" s="15" t="s">
        <v>13</v>
      </c>
      <c r="E118" s="15" t="s">
        <v>99</v>
      </c>
      <c r="F118" s="16" t="s">
        <v>100</v>
      </c>
    </row>
    <row r="119" spans="1:6" x14ac:dyDescent="0.2">
      <c r="A119" s="11">
        <v>45628.619077615745</v>
      </c>
      <c r="B119" s="12" t="s">
        <v>12</v>
      </c>
      <c r="C119" s="12" t="s">
        <v>13</v>
      </c>
      <c r="E119" s="12" t="s">
        <v>14</v>
      </c>
      <c r="F119" s="13" t="s">
        <v>101</v>
      </c>
    </row>
    <row r="120" spans="1:6" x14ac:dyDescent="0.2">
      <c r="A120" s="14">
        <v>45628.620193483795</v>
      </c>
      <c r="B120" s="15" t="s">
        <v>6</v>
      </c>
      <c r="C120" s="15" t="s">
        <v>7</v>
      </c>
      <c r="D120" s="15" t="s">
        <v>19</v>
      </c>
      <c r="F120" s="16" t="s">
        <v>102</v>
      </c>
    </row>
    <row r="121" spans="1:6" x14ac:dyDescent="0.2">
      <c r="A121" s="11">
        <v>45628.631998865741</v>
      </c>
      <c r="B121" s="12" t="s">
        <v>6</v>
      </c>
      <c r="C121" s="12" t="s">
        <v>7</v>
      </c>
      <c r="D121" s="12" t="s">
        <v>103</v>
      </c>
      <c r="F121" s="13" t="s">
        <v>104</v>
      </c>
    </row>
    <row r="122" spans="1:6" x14ac:dyDescent="0.2">
      <c r="A122" s="14">
        <v>45628.649938935181</v>
      </c>
      <c r="B122" s="15" t="s">
        <v>16</v>
      </c>
      <c r="C122" s="15" t="s">
        <v>7</v>
      </c>
      <c r="D122" s="15" t="s">
        <v>19</v>
      </c>
      <c r="F122" s="16" t="s">
        <v>105</v>
      </c>
    </row>
    <row r="123" spans="1:6" x14ac:dyDescent="0.2">
      <c r="A123" s="11">
        <v>45628.655136574074</v>
      </c>
      <c r="B123" s="12" t="s">
        <v>44</v>
      </c>
      <c r="C123" s="12" t="s">
        <v>7</v>
      </c>
      <c r="D123" s="12" t="s">
        <v>8</v>
      </c>
    </row>
    <row r="124" spans="1:6" x14ac:dyDescent="0.2">
      <c r="A124" s="14">
        <v>45628.665753935187</v>
      </c>
      <c r="B124" s="15" t="s">
        <v>6</v>
      </c>
      <c r="C124" s="15" t="s">
        <v>7</v>
      </c>
      <c r="D124" s="15" t="s">
        <v>8</v>
      </c>
      <c r="F124" s="16" t="s">
        <v>106</v>
      </c>
    </row>
    <row r="125" spans="1:6" x14ac:dyDescent="0.2">
      <c r="A125" s="11">
        <v>45628.66594175926</v>
      </c>
      <c r="B125" s="12" t="s">
        <v>6</v>
      </c>
      <c r="C125" s="12" t="s">
        <v>7</v>
      </c>
      <c r="D125" s="12" t="s">
        <v>8</v>
      </c>
    </row>
    <row r="126" spans="1:6" x14ac:dyDescent="0.2">
      <c r="A126" s="14">
        <v>45628.669572037034</v>
      </c>
      <c r="B126" s="15" t="s">
        <v>20</v>
      </c>
      <c r="C126" s="15" t="s">
        <v>7</v>
      </c>
      <c r="D126" s="15" t="s">
        <v>8</v>
      </c>
    </row>
    <row r="127" spans="1:6" x14ac:dyDescent="0.2">
      <c r="A127" s="11">
        <v>45628.673043009258</v>
      </c>
      <c r="B127" s="12" t="s">
        <v>6</v>
      </c>
      <c r="C127" s="12" t="s">
        <v>7</v>
      </c>
      <c r="D127" s="12" t="s">
        <v>107</v>
      </c>
      <c r="F127" s="13" t="s">
        <v>108</v>
      </c>
    </row>
    <row r="128" spans="1:6" x14ac:dyDescent="0.2">
      <c r="A128" s="14">
        <v>45628.688567141202</v>
      </c>
      <c r="B128" s="15" t="s">
        <v>6</v>
      </c>
      <c r="C128" s="15" t="s">
        <v>7</v>
      </c>
      <c r="D128" s="15" t="s">
        <v>29</v>
      </c>
      <c r="F128" s="16" t="s">
        <v>109</v>
      </c>
    </row>
    <row r="129" spans="1:6" x14ac:dyDescent="0.2">
      <c r="A129" s="11">
        <v>45628.718069490744</v>
      </c>
      <c r="B129" s="12" t="s">
        <v>20</v>
      </c>
      <c r="C129" s="12" t="s">
        <v>7</v>
      </c>
      <c r="D129" s="12" t="s">
        <v>19</v>
      </c>
      <c r="F129" s="13" t="s">
        <v>110</v>
      </c>
    </row>
    <row r="130" spans="1:6" x14ac:dyDescent="0.2">
      <c r="A130" s="14">
        <v>45628.720061064814</v>
      </c>
      <c r="B130" s="15" t="s">
        <v>6</v>
      </c>
      <c r="C130" s="15" t="s">
        <v>7</v>
      </c>
      <c r="D130" s="15" t="s">
        <v>111</v>
      </c>
      <c r="F130" s="16" t="s">
        <v>112</v>
      </c>
    </row>
    <row r="131" spans="1:6" x14ac:dyDescent="0.2">
      <c r="A131" s="11">
        <v>45628.724565277778</v>
      </c>
      <c r="B131" s="12" t="s">
        <v>6</v>
      </c>
      <c r="C131" s="12" t="s">
        <v>7</v>
      </c>
      <c r="D131" s="12" t="s">
        <v>8</v>
      </c>
    </row>
    <row r="132" spans="1:6" x14ac:dyDescent="0.2">
      <c r="A132" s="14">
        <v>45628.725251863427</v>
      </c>
      <c r="B132" s="15" t="s">
        <v>6</v>
      </c>
      <c r="C132" s="15" t="s">
        <v>7</v>
      </c>
      <c r="D132" s="15" t="s">
        <v>8</v>
      </c>
    </row>
    <row r="133" spans="1:6" x14ac:dyDescent="0.2">
      <c r="A133" s="11">
        <v>45628.726367777781</v>
      </c>
      <c r="B133" s="12" t="s">
        <v>6</v>
      </c>
      <c r="C133" s="12" t="s">
        <v>7</v>
      </c>
      <c r="D133" s="12" t="s">
        <v>8</v>
      </c>
      <c r="F133" s="13" t="s">
        <v>9</v>
      </c>
    </row>
    <row r="134" spans="1:6" x14ac:dyDescent="0.2">
      <c r="A134" s="14">
        <v>45628.735143807869</v>
      </c>
      <c r="B134" s="15" t="s">
        <v>6</v>
      </c>
      <c r="C134" s="15" t="s">
        <v>13</v>
      </c>
      <c r="E134" s="15" t="s">
        <v>14</v>
      </c>
      <c r="F134" s="16" t="s">
        <v>113</v>
      </c>
    </row>
    <row r="135" spans="1:6" x14ac:dyDescent="0.2">
      <c r="A135" s="11">
        <v>45628.736430150464</v>
      </c>
      <c r="B135" s="12" t="s">
        <v>6</v>
      </c>
      <c r="C135" s="12" t="s">
        <v>13</v>
      </c>
      <c r="E135" s="12" t="s">
        <v>14</v>
      </c>
    </row>
    <row r="136" spans="1:6" x14ac:dyDescent="0.2">
      <c r="A136" s="14">
        <v>45628.737798275462</v>
      </c>
      <c r="B136" s="15" t="s">
        <v>6</v>
      </c>
      <c r="C136" s="15" t="s">
        <v>7</v>
      </c>
      <c r="D136" s="15" t="s">
        <v>29</v>
      </c>
    </row>
    <row r="137" spans="1:6" x14ac:dyDescent="0.2">
      <c r="A137" s="11">
        <v>45628.741008935191</v>
      </c>
      <c r="B137" s="12" t="s">
        <v>6</v>
      </c>
      <c r="C137" s="12" t="s">
        <v>7</v>
      </c>
      <c r="D137" s="12" t="s">
        <v>8</v>
      </c>
      <c r="F137" s="13" t="s">
        <v>114</v>
      </c>
    </row>
    <row r="138" spans="1:6" x14ac:dyDescent="0.2">
      <c r="A138" s="14">
        <v>45628.760909710647</v>
      </c>
      <c r="B138" s="15" t="s">
        <v>12</v>
      </c>
      <c r="C138" s="15" t="s">
        <v>13</v>
      </c>
      <c r="E138" s="15" t="s">
        <v>14</v>
      </c>
      <c r="F138" s="16" t="s">
        <v>115</v>
      </c>
    </row>
    <row r="139" spans="1:6" x14ac:dyDescent="0.2">
      <c r="A139" s="11">
        <v>45628.81138564815</v>
      </c>
      <c r="B139" s="12" t="s">
        <v>20</v>
      </c>
      <c r="C139" s="12" t="s">
        <v>7</v>
      </c>
      <c r="D139" s="12" t="s">
        <v>116</v>
      </c>
      <c r="F139" s="13" t="s">
        <v>117</v>
      </c>
    </row>
    <row r="140" spans="1:6" x14ac:dyDescent="0.2">
      <c r="A140" s="14">
        <v>45628.829401273149</v>
      </c>
      <c r="B140" s="15" t="s">
        <v>6</v>
      </c>
      <c r="C140" s="15" t="s">
        <v>13</v>
      </c>
      <c r="E140" s="15" t="s">
        <v>14</v>
      </c>
      <c r="F140" s="16" t="s">
        <v>118</v>
      </c>
    </row>
    <row r="141" spans="1:6" x14ac:dyDescent="0.2">
      <c r="A141" s="11">
        <v>45628.878615300928</v>
      </c>
      <c r="B141" s="12" t="s">
        <v>6</v>
      </c>
      <c r="C141" s="12" t="s">
        <v>7</v>
      </c>
      <c r="D141" s="12" t="s">
        <v>8</v>
      </c>
    </row>
    <row r="142" spans="1:6" x14ac:dyDescent="0.2">
      <c r="A142" s="14">
        <v>45629.248465856479</v>
      </c>
      <c r="B142" s="15" t="s">
        <v>6</v>
      </c>
      <c r="C142" s="15" t="s">
        <v>7</v>
      </c>
      <c r="D142" s="15" t="s">
        <v>19</v>
      </c>
      <c r="F142" s="16" t="s">
        <v>119</v>
      </c>
    </row>
    <row r="143" spans="1:6" x14ac:dyDescent="0.2">
      <c r="A143" s="11">
        <v>45629.283720543986</v>
      </c>
      <c r="B143" s="12" t="s">
        <v>6</v>
      </c>
      <c r="C143" s="12" t="s">
        <v>7</v>
      </c>
      <c r="D143" s="12" t="s">
        <v>8</v>
      </c>
    </row>
    <row r="144" spans="1:6" x14ac:dyDescent="0.2">
      <c r="A144" s="14">
        <v>45629.329941770833</v>
      </c>
      <c r="B144" s="15" t="s">
        <v>6</v>
      </c>
      <c r="C144" s="15" t="s">
        <v>7</v>
      </c>
      <c r="D144" s="15" t="s">
        <v>19</v>
      </c>
      <c r="F144" s="16" t="s">
        <v>120</v>
      </c>
    </row>
    <row r="145" spans="1:6" x14ac:dyDescent="0.2">
      <c r="A145" s="11">
        <v>45629.333007175926</v>
      </c>
      <c r="B145" s="12" t="s">
        <v>6</v>
      </c>
      <c r="C145" s="12" t="s">
        <v>7</v>
      </c>
      <c r="D145" s="12" t="s">
        <v>19</v>
      </c>
      <c r="F145" s="13" t="s">
        <v>121</v>
      </c>
    </row>
    <row r="146" spans="1:6" x14ac:dyDescent="0.2">
      <c r="A146" s="14">
        <v>45629.35439443287</v>
      </c>
      <c r="B146" s="15" t="s">
        <v>6</v>
      </c>
      <c r="C146" s="15" t="s">
        <v>7</v>
      </c>
      <c r="D146" s="15" t="s">
        <v>122</v>
      </c>
      <c r="F146" s="16" t="s">
        <v>123</v>
      </c>
    </row>
    <row r="147" spans="1:6" x14ac:dyDescent="0.2">
      <c r="A147" s="11">
        <v>45629.358883136578</v>
      </c>
      <c r="B147" s="12" t="s">
        <v>44</v>
      </c>
      <c r="C147" s="12" t="s">
        <v>7</v>
      </c>
      <c r="D147" s="12" t="s">
        <v>19</v>
      </c>
      <c r="F147" s="13" t="s">
        <v>124</v>
      </c>
    </row>
    <row r="148" spans="1:6" x14ac:dyDescent="0.2">
      <c r="A148" s="14">
        <v>45629.489177314812</v>
      </c>
      <c r="B148" s="15" t="s">
        <v>125</v>
      </c>
      <c r="C148" s="15" t="s">
        <v>7</v>
      </c>
      <c r="D148" s="15" t="s">
        <v>19</v>
      </c>
    </row>
    <row r="149" spans="1:6" x14ac:dyDescent="0.2">
      <c r="A149" s="11">
        <v>45629.581859155092</v>
      </c>
      <c r="B149" s="12" t="s">
        <v>6</v>
      </c>
      <c r="C149" s="12" t="s">
        <v>7</v>
      </c>
      <c r="D149" s="12" t="s">
        <v>8</v>
      </c>
      <c r="F149" s="13" t="s">
        <v>126</v>
      </c>
    </row>
    <row r="150" spans="1:6" x14ac:dyDescent="0.2">
      <c r="A150" s="14">
        <v>45629.593389687499</v>
      </c>
      <c r="B150" s="15" t="s">
        <v>6</v>
      </c>
      <c r="C150" s="15" t="s">
        <v>7</v>
      </c>
      <c r="D150" s="15" t="s">
        <v>8</v>
      </c>
      <c r="F150" s="16" t="s">
        <v>127</v>
      </c>
    </row>
    <row r="151" spans="1:6" x14ac:dyDescent="0.2">
      <c r="A151" s="11">
        <v>45629.59837472222</v>
      </c>
      <c r="B151" s="12" t="s">
        <v>6</v>
      </c>
      <c r="C151" s="12" t="s">
        <v>7</v>
      </c>
      <c r="D151" s="12" t="s">
        <v>8</v>
      </c>
    </row>
    <row r="152" spans="1:6" x14ac:dyDescent="0.2">
      <c r="A152" s="14">
        <v>45629.625439039351</v>
      </c>
      <c r="B152" s="15" t="s">
        <v>44</v>
      </c>
      <c r="C152" s="15" t="s">
        <v>7</v>
      </c>
      <c r="D152" s="15" t="s">
        <v>8</v>
      </c>
      <c r="F152" s="16" t="s">
        <v>128</v>
      </c>
    </row>
    <row r="153" spans="1:6" x14ac:dyDescent="0.2">
      <c r="A153" s="11">
        <v>45629.625842696754</v>
      </c>
      <c r="B153" s="12" t="s">
        <v>16</v>
      </c>
      <c r="C153" s="12" t="s">
        <v>13</v>
      </c>
      <c r="E153" s="12" t="s">
        <v>129</v>
      </c>
    </row>
    <row r="154" spans="1:6" x14ac:dyDescent="0.2">
      <c r="A154" s="14">
        <v>45629.62603702546</v>
      </c>
      <c r="B154" s="15" t="s">
        <v>6</v>
      </c>
      <c r="C154" s="15" t="s">
        <v>7</v>
      </c>
      <c r="D154" s="15" t="s">
        <v>8</v>
      </c>
      <c r="F154" s="16" t="s">
        <v>130</v>
      </c>
    </row>
    <row r="155" spans="1:6" x14ac:dyDescent="0.2">
      <c r="A155" s="11">
        <v>45629.638740219903</v>
      </c>
      <c r="B155" s="12" t="s">
        <v>20</v>
      </c>
      <c r="C155" s="12" t="s">
        <v>7</v>
      </c>
      <c r="D155" s="12" t="s">
        <v>131</v>
      </c>
      <c r="F155" s="13" t="s">
        <v>132</v>
      </c>
    </row>
    <row r="156" spans="1:6" x14ac:dyDescent="0.2">
      <c r="A156" s="14">
        <v>45629.658373668979</v>
      </c>
      <c r="B156" s="15" t="s">
        <v>6</v>
      </c>
      <c r="C156" s="15" t="s">
        <v>7</v>
      </c>
      <c r="D156" s="15" t="s">
        <v>8</v>
      </c>
      <c r="F156" s="16" t="s">
        <v>133</v>
      </c>
    </row>
    <row r="157" spans="1:6" x14ac:dyDescent="0.2">
      <c r="A157" s="11">
        <v>45629.665072928241</v>
      </c>
      <c r="B157" s="12" t="s">
        <v>6</v>
      </c>
      <c r="C157" s="12" t="s">
        <v>7</v>
      </c>
      <c r="D157" s="12" t="s">
        <v>8</v>
      </c>
      <c r="F157" s="13" t="s">
        <v>134</v>
      </c>
    </row>
    <row r="158" spans="1:6" x14ac:dyDescent="0.2">
      <c r="A158" s="14">
        <v>45629.684576608794</v>
      </c>
      <c r="B158" s="15" t="s">
        <v>20</v>
      </c>
      <c r="C158" s="15" t="s">
        <v>7</v>
      </c>
      <c r="D158" s="15" t="s">
        <v>29</v>
      </c>
      <c r="F158" s="16" t="s">
        <v>135</v>
      </c>
    </row>
    <row r="159" spans="1:6" x14ac:dyDescent="0.2">
      <c r="A159" s="11">
        <v>45629.690551469903</v>
      </c>
      <c r="B159" s="12" t="s">
        <v>6</v>
      </c>
      <c r="C159" s="12" t="s">
        <v>7</v>
      </c>
      <c r="D159" s="12" t="s">
        <v>8</v>
      </c>
    </row>
    <row r="160" spans="1:6" x14ac:dyDescent="0.2">
      <c r="A160" s="14">
        <v>45629.706633148147</v>
      </c>
      <c r="B160" s="15" t="s">
        <v>6</v>
      </c>
      <c r="C160" s="15" t="s">
        <v>7</v>
      </c>
      <c r="D160" s="15" t="s">
        <v>19</v>
      </c>
      <c r="F160" s="16" t="s">
        <v>136</v>
      </c>
    </row>
    <row r="161" spans="1:6" x14ac:dyDescent="0.2">
      <c r="A161" s="11">
        <v>45629.719559212965</v>
      </c>
      <c r="B161" s="12" t="s">
        <v>6</v>
      </c>
      <c r="C161" s="12" t="s">
        <v>7</v>
      </c>
      <c r="D161" s="12" t="s">
        <v>19</v>
      </c>
      <c r="F161" s="13" t="s">
        <v>137</v>
      </c>
    </row>
    <row r="162" spans="1:6" x14ac:dyDescent="0.2">
      <c r="A162" s="14">
        <v>45629.721870520836</v>
      </c>
      <c r="B162" s="15" t="s">
        <v>6</v>
      </c>
      <c r="C162" s="15" t="s">
        <v>7</v>
      </c>
      <c r="D162" s="15" t="s">
        <v>8</v>
      </c>
      <c r="F162" s="16" t="s">
        <v>79</v>
      </c>
    </row>
    <row r="163" spans="1:6" x14ac:dyDescent="0.2">
      <c r="A163" s="11">
        <v>45629.722910648146</v>
      </c>
      <c r="B163" s="12" t="s">
        <v>6</v>
      </c>
      <c r="C163" s="12" t="s">
        <v>7</v>
      </c>
      <c r="D163" s="12" t="s">
        <v>8</v>
      </c>
    </row>
    <row r="164" spans="1:6" x14ac:dyDescent="0.2">
      <c r="A164" s="14">
        <v>45629.735997523152</v>
      </c>
      <c r="B164" s="15" t="s">
        <v>6</v>
      </c>
      <c r="C164" s="15" t="s">
        <v>7</v>
      </c>
      <c r="D164" s="15" t="s">
        <v>138</v>
      </c>
    </row>
    <row r="165" spans="1:6" x14ac:dyDescent="0.2">
      <c r="A165" s="11">
        <v>45629.737570567129</v>
      </c>
      <c r="B165" s="12" t="s">
        <v>6</v>
      </c>
      <c r="C165" s="12" t="s">
        <v>7</v>
      </c>
      <c r="D165" s="12" t="s">
        <v>139</v>
      </c>
      <c r="F165" s="13" t="s">
        <v>140</v>
      </c>
    </row>
    <row r="166" spans="1:6" x14ac:dyDescent="0.2">
      <c r="A166" s="14">
        <v>45629.747040601855</v>
      </c>
      <c r="B166" s="15" t="s">
        <v>6</v>
      </c>
      <c r="C166" s="15" t="s">
        <v>7</v>
      </c>
      <c r="D166" s="15" t="s">
        <v>8</v>
      </c>
      <c r="F166" s="16" t="s">
        <v>141</v>
      </c>
    </row>
    <row r="167" spans="1:6" x14ac:dyDescent="0.2">
      <c r="A167" s="11">
        <v>45629.774561319442</v>
      </c>
      <c r="B167" s="12" t="s">
        <v>16</v>
      </c>
      <c r="C167" s="12" t="s">
        <v>7</v>
      </c>
      <c r="D167" s="12" t="s">
        <v>8</v>
      </c>
    </row>
    <row r="168" spans="1:6" x14ac:dyDescent="0.2">
      <c r="A168" s="14">
        <v>45629.783830601853</v>
      </c>
      <c r="B168" s="15" t="s">
        <v>6</v>
      </c>
      <c r="C168" s="15" t="s">
        <v>7</v>
      </c>
      <c r="D168" s="15" t="s">
        <v>8</v>
      </c>
      <c r="F168" s="16" t="s">
        <v>142</v>
      </c>
    </row>
    <row r="169" spans="1:6" x14ac:dyDescent="0.2">
      <c r="A169" s="11">
        <v>45629.820761099538</v>
      </c>
      <c r="B169" s="12" t="s">
        <v>6</v>
      </c>
      <c r="C169" s="12" t="s">
        <v>7</v>
      </c>
      <c r="D169" s="12" t="s">
        <v>8</v>
      </c>
      <c r="F169" s="13" t="s">
        <v>143</v>
      </c>
    </row>
    <row r="170" spans="1:6" x14ac:dyDescent="0.2">
      <c r="A170" s="14">
        <v>45629.916734143517</v>
      </c>
      <c r="B170" s="15" t="s">
        <v>6</v>
      </c>
      <c r="C170" s="15" t="s">
        <v>7</v>
      </c>
      <c r="D170" s="15" t="s">
        <v>19</v>
      </c>
    </row>
    <row r="171" spans="1:6" x14ac:dyDescent="0.2">
      <c r="A171" s="11">
        <v>45630.377673043986</v>
      </c>
      <c r="B171" s="12" t="s">
        <v>6</v>
      </c>
      <c r="C171" s="12" t="s">
        <v>7</v>
      </c>
      <c r="D171" s="12" t="s">
        <v>8</v>
      </c>
    </row>
    <row r="172" spans="1:6" x14ac:dyDescent="0.2">
      <c r="A172" s="14">
        <v>45630.6205734838</v>
      </c>
      <c r="B172" s="15" t="s">
        <v>6</v>
      </c>
      <c r="C172" s="15" t="s">
        <v>13</v>
      </c>
      <c r="E172" s="15" t="s">
        <v>14</v>
      </c>
      <c r="F172" s="16" t="s">
        <v>144</v>
      </c>
    </row>
    <row r="173" spans="1:6" x14ac:dyDescent="0.2">
      <c r="A173" s="11">
        <v>45630.638154131942</v>
      </c>
      <c r="B173" s="12" t="s">
        <v>16</v>
      </c>
      <c r="C173" s="12" t="s">
        <v>13</v>
      </c>
      <c r="E173" s="12" t="s">
        <v>145</v>
      </c>
      <c r="F173" s="13" t="s">
        <v>146</v>
      </c>
    </row>
    <row r="174" spans="1:6" x14ac:dyDescent="0.2">
      <c r="A174" s="14">
        <v>45630.653456342596</v>
      </c>
      <c r="B174" s="15" t="s">
        <v>6</v>
      </c>
      <c r="C174" s="15" t="s">
        <v>7</v>
      </c>
      <c r="D174" s="15" t="s">
        <v>8</v>
      </c>
    </row>
    <row r="175" spans="1:6" x14ac:dyDescent="0.2">
      <c r="A175" s="11">
        <v>45630.654640196764</v>
      </c>
      <c r="B175" s="12" t="s">
        <v>6</v>
      </c>
      <c r="C175" s="12" t="s">
        <v>7</v>
      </c>
      <c r="D175" s="12" t="s">
        <v>19</v>
      </c>
    </row>
    <row r="176" spans="1:6" x14ac:dyDescent="0.2">
      <c r="A176" s="14">
        <v>45630.66358685185</v>
      </c>
      <c r="B176" s="15" t="s">
        <v>6</v>
      </c>
      <c r="C176" s="15" t="s">
        <v>7</v>
      </c>
      <c r="D176" s="15" t="s">
        <v>19</v>
      </c>
      <c r="F176" s="16" t="s">
        <v>147</v>
      </c>
    </row>
    <row r="177" spans="1:6" x14ac:dyDescent="0.2">
      <c r="A177" s="11">
        <v>45630.663726342595</v>
      </c>
      <c r="B177" s="12" t="s">
        <v>6</v>
      </c>
      <c r="C177" s="12" t="s">
        <v>7</v>
      </c>
      <c r="D177" s="12" t="s">
        <v>8</v>
      </c>
    </row>
    <row r="178" spans="1:6" x14ac:dyDescent="0.2">
      <c r="A178" s="14">
        <v>45630.664179189815</v>
      </c>
      <c r="B178" s="15" t="s">
        <v>6</v>
      </c>
      <c r="C178" s="15" t="s">
        <v>7</v>
      </c>
      <c r="D178" s="15" t="s">
        <v>148</v>
      </c>
      <c r="F178" s="16" t="s">
        <v>149</v>
      </c>
    </row>
    <row r="179" spans="1:6" x14ac:dyDescent="0.2">
      <c r="A179" s="11">
        <v>45630.664627835649</v>
      </c>
      <c r="B179" s="12" t="s">
        <v>6</v>
      </c>
      <c r="C179" s="12" t="s">
        <v>13</v>
      </c>
      <c r="E179" s="12" t="s">
        <v>14</v>
      </c>
    </row>
    <row r="180" spans="1:6" x14ac:dyDescent="0.2">
      <c r="A180" s="14">
        <v>45630.664656342589</v>
      </c>
      <c r="B180" s="15" t="s">
        <v>6</v>
      </c>
      <c r="C180" s="15" t="s">
        <v>7</v>
      </c>
      <c r="D180" s="15" t="s">
        <v>8</v>
      </c>
    </row>
    <row r="181" spans="1:6" x14ac:dyDescent="0.2">
      <c r="A181" s="11">
        <v>45630.66486315972</v>
      </c>
      <c r="B181" s="12" t="s">
        <v>6</v>
      </c>
      <c r="C181" s="12" t="s">
        <v>7</v>
      </c>
      <c r="D181" s="12" t="s">
        <v>8</v>
      </c>
    </row>
    <row r="182" spans="1:6" x14ac:dyDescent="0.2">
      <c r="A182" s="14">
        <v>45630.665487939812</v>
      </c>
      <c r="B182" s="15" t="s">
        <v>6</v>
      </c>
      <c r="C182" s="15" t="s">
        <v>7</v>
      </c>
      <c r="D182" s="15" t="s">
        <v>8</v>
      </c>
    </row>
    <row r="183" spans="1:6" x14ac:dyDescent="0.2">
      <c r="A183" s="11">
        <v>45630.665659525461</v>
      </c>
      <c r="B183" s="12" t="s">
        <v>6</v>
      </c>
      <c r="C183" s="12" t="s">
        <v>7</v>
      </c>
      <c r="D183" s="12" t="s">
        <v>29</v>
      </c>
      <c r="F183" s="13" t="s">
        <v>150</v>
      </c>
    </row>
    <row r="184" spans="1:6" x14ac:dyDescent="0.2">
      <c r="A184" s="14">
        <v>45630.665682962965</v>
      </c>
      <c r="B184" s="15" t="s">
        <v>6</v>
      </c>
      <c r="C184" s="15" t="s">
        <v>7</v>
      </c>
      <c r="D184" s="15" t="s">
        <v>8</v>
      </c>
    </row>
    <row r="185" spans="1:6" x14ac:dyDescent="0.2">
      <c r="A185" s="11">
        <v>45630.66584076389</v>
      </c>
      <c r="B185" s="12" t="s">
        <v>6</v>
      </c>
      <c r="C185" s="12" t="s">
        <v>7</v>
      </c>
      <c r="D185" s="12" t="s">
        <v>151</v>
      </c>
      <c r="F185" s="13" t="s">
        <v>152</v>
      </c>
    </row>
    <row r="186" spans="1:6" x14ac:dyDescent="0.2">
      <c r="A186" s="14">
        <v>45630.665925081019</v>
      </c>
      <c r="B186" s="15" t="s">
        <v>6</v>
      </c>
      <c r="C186" s="15" t="s">
        <v>7</v>
      </c>
      <c r="D186" s="15" t="s">
        <v>8</v>
      </c>
      <c r="F186" s="16" t="s">
        <v>153</v>
      </c>
    </row>
    <row r="187" spans="1:6" x14ac:dyDescent="0.2">
      <c r="A187" s="11">
        <v>45630.666039965276</v>
      </c>
      <c r="B187" s="12" t="s">
        <v>20</v>
      </c>
      <c r="C187" s="12" t="s">
        <v>7</v>
      </c>
      <c r="D187" s="12" t="s">
        <v>154</v>
      </c>
      <c r="F187" s="13" t="s">
        <v>155</v>
      </c>
    </row>
    <row r="188" spans="1:6" x14ac:dyDescent="0.2">
      <c r="A188" s="14">
        <v>45630.666049282408</v>
      </c>
      <c r="B188" s="15" t="s">
        <v>20</v>
      </c>
      <c r="C188" s="15" t="s">
        <v>7</v>
      </c>
      <c r="D188" s="15" t="s">
        <v>8</v>
      </c>
    </row>
    <row r="189" spans="1:6" x14ac:dyDescent="0.2">
      <c r="A189" s="11">
        <v>45630.666731261575</v>
      </c>
      <c r="B189" s="12" t="s">
        <v>6</v>
      </c>
      <c r="C189" s="12" t="s">
        <v>7</v>
      </c>
      <c r="D189" s="12" t="s">
        <v>8</v>
      </c>
    </row>
    <row r="190" spans="1:6" x14ac:dyDescent="0.2">
      <c r="A190" s="14">
        <v>45630.667122233797</v>
      </c>
      <c r="B190" s="15" t="s">
        <v>6</v>
      </c>
      <c r="C190" s="15" t="s">
        <v>13</v>
      </c>
      <c r="E190" s="15" t="s">
        <v>156</v>
      </c>
    </row>
    <row r="191" spans="1:6" x14ac:dyDescent="0.2">
      <c r="A191" s="11">
        <v>45630.667459733799</v>
      </c>
      <c r="B191" s="12" t="s">
        <v>6</v>
      </c>
      <c r="C191" s="12" t="s">
        <v>7</v>
      </c>
      <c r="D191" s="12" t="s">
        <v>8</v>
      </c>
      <c r="F191" s="13" t="s">
        <v>157</v>
      </c>
    </row>
    <row r="192" spans="1:6" x14ac:dyDescent="0.2">
      <c r="A192" s="14">
        <v>45630.673101875</v>
      </c>
      <c r="B192" s="15" t="s">
        <v>6</v>
      </c>
      <c r="C192" s="15" t="s">
        <v>7</v>
      </c>
      <c r="D192" s="15" t="s">
        <v>158</v>
      </c>
      <c r="F192" s="16" t="s">
        <v>60</v>
      </c>
    </row>
    <row r="193" spans="1:6" x14ac:dyDescent="0.2">
      <c r="A193" s="11">
        <v>45630.680599699073</v>
      </c>
      <c r="B193" s="12" t="s">
        <v>6</v>
      </c>
      <c r="C193" s="12" t="s">
        <v>7</v>
      </c>
      <c r="D193" s="12" t="s">
        <v>8</v>
      </c>
    </row>
    <row r="194" spans="1:6" x14ac:dyDescent="0.2">
      <c r="A194" s="14">
        <v>45630.681182847227</v>
      </c>
      <c r="B194" s="15" t="s">
        <v>6</v>
      </c>
      <c r="C194" s="15" t="s">
        <v>7</v>
      </c>
      <c r="D194" s="15" t="s">
        <v>8</v>
      </c>
      <c r="F194" s="16" t="s">
        <v>159</v>
      </c>
    </row>
    <row r="195" spans="1:6" x14ac:dyDescent="0.2">
      <c r="A195" s="11">
        <v>45630.681710266203</v>
      </c>
      <c r="B195" s="12" t="s">
        <v>6</v>
      </c>
      <c r="C195" s="12" t="s">
        <v>7</v>
      </c>
      <c r="D195" s="12" t="s">
        <v>8</v>
      </c>
    </row>
    <row r="196" spans="1:6" x14ac:dyDescent="0.2">
      <c r="A196" s="14">
        <v>45630.681725451388</v>
      </c>
      <c r="B196" s="15" t="s">
        <v>12</v>
      </c>
      <c r="C196" s="15" t="s">
        <v>13</v>
      </c>
      <c r="E196" s="15" t="s">
        <v>14</v>
      </c>
      <c r="F196" s="16" t="s">
        <v>160</v>
      </c>
    </row>
    <row r="197" spans="1:6" x14ac:dyDescent="0.2">
      <c r="A197" s="11">
        <v>45630.68258197917</v>
      </c>
      <c r="B197" s="12" t="s">
        <v>6</v>
      </c>
      <c r="C197" s="12" t="s">
        <v>7</v>
      </c>
      <c r="D197" s="12" t="s">
        <v>8</v>
      </c>
      <c r="F197" s="13" t="s">
        <v>161</v>
      </c>
    </row>
    <row r="198" spans="1:6" x14ac:dyDescent="0.2">
      <c r="A198" s="14">
        <v>45630.682763472221</v>
      </c>
      <c r="B198" s="15" t="s">
        <v>6</v>
      </c>
      <c r="C198" s="15" t="s">
        <v>7</v>
      </c>
      <c r="D198" s="15" t="s">
        <v>8</v>
      </c>
    </row>
    <row r="199" spans="1:6" x14ac:dyDescent="0.2">
      <c r="A199" s="11">
        <v>45630.682977048607</v>
      </c>
      <c r="B199" s="12" t="s">
        <v>6</v>
      </c>
      <c r="C199" s="12" t="s">
        <v>7</v>
      </c>
      <c r="D199" s="12" t="s">
        <v>8</v>
      </c>
      <c r="F199" s="13" t="s">
        <v>162</v>
      </c>
    </row>
    <row r="200" spans="1:6" x14ac:dyDescent="0.2">
      <c r="A200" s="14">
        <v>45630.684984421299</v>
      </c>
      <c r="B200" s="15" t="s">
        <v>6</v>
      </c>
      <c r="C200" s="15" t="s">
        <v>7</v>
      </c>
      <c r="D200" s="15" t="s">
        <v>163</v>
      </c>
      <c r="F200" s="16" t="s">
        <v>164</v>
      </c>
    </row>
    <row r="201" spans="1:6" x14ac:dyDescent="0.2">
      <c r="A201" s="11">
        <v>45630.687143240742</v>
      </c>
      <c r="B201" s="12" t="s">
        <v>6</v>
      </c>
      <c r="C201" s="12" t="s">
        <v>13</v>
      </c>
      <c r="E201" s="12" t="s">
        <v>14</v>
      </c>
      <c r="F201" s="13" t="s">
        <v>165</v>
      </c>
    </row>
    <row r="202" spans="1:6" x14ac:dyDescent="0.2">
      <c r="A202" s="14">
        <v>45630.690809305554</v>
      </c>
      <c r="B202" s="15" t="s">
        <v>6</v>
      </c>
      <c r="C202" s="15" t="s">
        <v>7</v>
      </c>
      <c r="D202" s="15" t="s">
        <v>166</v>
      </c>
      <c r="F202" s="16" t="s">
        <v>167</v>
      </c>
    </row>
    <row r="203" spans="1:6" x14ac:dyDescent="0.2">
      <c r="A203" s="11">
        <v>45630.693759768517</v>
      </c>
      <c r="B203" s="12" t="s">
        <v>6</v>
      </c>
      <c r="C203" s="12" t="s">
        <v>13</v>
      </c>
      <c r="E203" s="12" t="s">
        <v>14</v>
      </c>
      <c r="F203" s="13" t="s">
        <v>168</v>
      </c>
    </row>
    <row r="204" spans="1:6" x14ac:dyDescent="0.2">
      <c r="A204" s="14">
        <v>45630.699179560186</v>
      </c>
      <c r="B204" s="15" t="s">
        <v>6</v>
      </c>
      <c r="C204" s="15" t="s">
        <v>7</v>
      </c>
      <c r="D204" s="15" t="s">
        <v>19</v>
      </c>
    </row>
    <row r="205" spans="1:6" x14ac:dyDescent="0.2">
      <c r="A205" s="11">
        <v>45630.699762094911</v>
      </c>
      <c r="B205" s="12" t="s">
        <v>20</v>
      </c>
      <c r="C205" s="12" t="s">
        <v>13</v>
      </c>
      <c r="E205" s="12" t="s">
        <v>14</v>
      </c>
      <c r="F205" s="13" t="s">
        <v>169</v>
      </c>
    </row>
    <row r="206" spans="1:6" x14ac:dyDescent="0.2">
      <c r="A206" s="14">
        <v>45630.70884983796</v>
      </c>
      <c r="B206" s="15" t="s">
        <v>6</v>
      </c>
      <c r="C206" s="15" t="s">
        <v>7</v>
      </c>
      <c r="D206" s="15" t="s">
        <v>8</v>
      </c>
    </row>
    <row r="207" spans="1:6" x14ac:dyDescent="0.2">
      <c r="A207" s="11">
        <v>45630.713998206018</v>
      </c>
      <c r="B207" s="12" t="s">
        <v>6</v>
      </c>
      <c r="C207" s="12" t="s">
        <v>7</v>
      </c>
      <c r="D207" s="12" t="s">
        <v>8</v>
      </c>
      <c r="F207" s="13" t="s">
        <v>170</v>
      </c>
    </row>
    <row r="208" spans="1:6" x14ac:dyDescent="0.2">
      <c r="A208" s="14">
        <v>45630.724081412038</v>
      </c>
      <c r="B208" s="15" t="s">
        <v>6</v>
      </c>
      <c r="C208" s="15" t="s">
        <v>7</v>
      </c>
      <c r="D208" s="15" t="s">
        <v>171</v>
      </c>
      <c r="F208" s="16" t="s">
        <v>172</v>
      </c>
    </row>
    <row r="209" spans="1:6" x14ac:dyDescent="0.2">
      <c r="A209" s="11">
        <v>45630.728300856485</v>
      </c>
      <c r="B209" s="12" t="s">
        <v>6</v>
      </c>
      <c r="C209" s="12" t="s">
        <v>7</v>
      </c>
      <c r="D209" s="12" t="s">
        <v>8</v>
      </c>
    </row>
    <row r="210" spans="1:6" x14ac:dyDescent="0.2">
      <c r="A210" s="14">
        <v>45630.741178993056</v>
      </c>
      <c r="B210" s="15" t="s">
        <v>6</v>
      </c>
      <c r="C210" s="15" t="s">
        <v>7</v>
      </c>
      <c r="D210" s="15" t="s">
        <v>8</v>
      </c>
      <c r="F210" s="16" t="s">
        <v>173</v>
      </c>
    </row>
    <row r="211" spans="1:6" x14ac:dyDescent="0.2">
      <c r="A211" s="11">
        <v>45630.770020972224</v>
      </c>
      <c r="B211" s="12" t="s">
        <v>6</v>
      </c>
      <c r="C211" s="12" t="s">
        <v>7</v>
      </c>
      <c r="D211" s="12" t="s">
        <v>8</v>
      </c>
    </row>
    <row r="212" spans="1:6" x14ac:dyDescent="0.2">
      <c r="A212" s="14">
        <v>45630.770390949074</v>
      </c>
      <c r="B212" s="15" t="s">
        <v>6</v>
      </c>
      <c r="C212" s="15" t="s">
        <v>7</v>
      </c>
      <c r="D212" s="15" t="s">
        <v>19</v>
      </c>
    </row>
    <row r="213" spans="1:6" x14ac:dyDescent="0.2">
      <c r="A213" s="11">
        <v>45630.770400983798</v>
      </c>
      <c r="B213" s="12" t="s">
        <v>6</v>
      </c>
      <c r="C213" s="12" t="s">
        <v>7</v>
      </c>
      <c r="D213" s="12" t="s">
        <v>8</v>
      </c>
    </row>
    <row r="214" spans="1:6" x14ac:dyDescent="0.2">
      <c r="A214" s="14">
        <v>45631.310629733794</v>
      </c>
      <c r="B214" s="15" t="s">
        <v>6</v>
      </c>
      <c r="C214" s="15" t="s">
        <v>7</v>
      </c>
      <c r="D214" s="15" t="s">
        <v>19</v>
      </c>
    </row>
    <row r="215" spans="1:6" x14ac:dyDescent="0.2">
      <c r="A215" s="11">
        <v>45631.322262094909</v>
      </c>
      <c r="B215" s="12" t="s">
        <v>16</v>
      </c>
      <c r="C215" s="12" t="s">
        <v>13</v>
      </c>
      <c r="E215" s="12" t="s">
        <v>174</v>
      </c>
      <c r="F215" s="13" t="s">
        <v>175</v>
      </c>
    </row>
    <row r="216" spans="1:6" x14ac:dyDescent="0.2">
      <c r="A216" s="14">
        <v>45631.32519329861</v>
      </c>
      <c r="B216" s="15" t="s">
        <v>6</v>
      </c>
      <c r="C216" s="15" t="s">
        <v>7</v>
      </c>
      <c r="D216" s="15" t="s">
        <v>19</v>
      </c>
      <c r="F216" s="16" t="s">
        <v>176</v>
      </c>
    </row>
    <row r="217" spans="1:6" x14ac:dyDescent="0.2">
      <c r="A217" s="11">
        <v>45631.366410937495</v>
      </c>
      <c r="B217" s="12" t="s">
        <v>6</v>
      </c>
      <c r="C217" s="12" t="s">
        <v>7</v>
      </c>
      <c r="D217" s="12" t="s">
        <v>19</v>
      </c>
      <c r="F217" s="13" t="s">
        <v>177</v>
      </c>
    </row>
    <row r="218" spans="1:6" x14ac:dyDescent="0.2">
      <c r="A218" s="14">
        <v>45631.366497025461</v>
      </c>
      <c r="B218" s="15" t="s">
        <v>16</v>
      </c>
      <c r="C218" s="15" t="s">
        <v>7</v>
      </c>
      <c r="D218" s="15" t="s">
        <v>8</v>
      </c>
      <c r="F218" s="16" t="s">
        <v>178</v>
      </c>
    </row>
    <row r="219" spans="1:6" x14ac:dyDescent="0.2">
      <c r="A219" s="11">
        <v>45631.397601956021</v>
      </c>
      <c r="B219" s="12" t="s">
        <v>6</v>
      </c>
      <c r="C219" s="12" t="s">
        <v>7</v>
      </c>
      <c r="D219" s="12" t="s">
        <v>29</v>
      </c>
    </row>
    <row r="220" spans="1:6" x14ac:dyDescent="0.2">
      <c r="A220" s="14">
        <v>45631.498155046298</v>
      </c>
      <c r="B220" s="15" t="s">
        <v>44</v>
      </c>
      <c r="C220" s="15" t="s">
        <v>7</v>
      </c>
      <c r="D220" s="15" t="s">
        <v>8</v>
      </c>
      <c r="F220" s="16" t="s">
        <v>179</v>
      </c>
    </row>
    <row r="221" spans="1:6" x14ac:dyDescent="0.2">
      <c r="A221" s="11">
        <v>45631.593580497683</v>
      </c>
      <c r="B221" s="12" t="s">
        <v>20</v>
      </c>
      <c r="C221" s="12" t="s">
        <v>7</v>
      </c>
      <c r="D221" s="12" t="s">
        <v>8</v>
      </c>
      <c r="F221" s="13" t="s">
        <v>180</v>
      </c>
    </row>
    <row r="222" spans="1:6" x14ac:dyDescent="0.2">
      <c r="A222" s="14">
        <v>45631.598774027778</v>
      </c>
      <c r="B222" s="15" t="s">
        <v>6</v>
      </c>
      <c r="C222" s="15" t="s">
        <v>7</v>
      </c>
      <c r="D222" s="15" t="s">
        <v>8</v>
      </c>
      <c r="F222" s="16" t="s">
        <v>181</v>
      </c>
    </row>
    <row r="223" spans="1:6" x14ac:dyDescent="0.2">
      <c r="A223" s="11">
        <v>45631.616280798611</v>
      </c>
      <c r="B223" s="12" t="s">
        <v>16</v>
      </c>
      <c r="C223" s="12" t="s">
        <v>13</v>
      </c>
      <c r="E223" s="12" t="s">
        <v>182</v>
      </c>
    </row>
    <row r="224" spans="1:6" x14ac:dyDescent="0.2">
      <c r="A224" s="14">
        <v>45631.616903726856</v>
      </c>
      <c r="B224" s="15" t="s">
        <v>16</v>
      </c>
      <c r="C224" s="15" t="s">
        <v>13</v>
      </c>
      <c r="E224" s="15" t="s">
        <v>182</v>
      </c>
    </row>
    <row r="225" spans="1:6" x14ac:dyDescent="0.2">
      <c r="A225" s="11">
        <v>45631.783615844906</v>
      </c>
      <c r="B225" s="12" t="s">
        <v>6</v>
      </c>
      <c r="C225" s="12" t="s">
        <v>7</v>
      </c>
      <c r="D225" s="12" t="s">
        <v>8</v>
      </c>
      <c r="F225" s="13" t="s">
        <v>183</v>
      </c>
    </row>
    <row r="226" spans="1:6" x14ac:dyDescent="0.2">
      <c r="A226" s="14">
        <v>45631.784022152773</v>
      </c>
      <c r="B226" s="15" t="s">
        <v>6</v>
      </c>
      <c r="C226" s="15" t="s">
        <v>7</v>
      </c>
      <c r="D226" s="15" t="s">
        <v>19</v>
      </c>
    </row>
    <row r="227" spans="1:6" x14ac:dyDescent="0.2">
      <c r="A227" s="11">
        <v>45631.882050775464</v>
      </c>
      <c r="B227" s="12" t="s">
        <v>6</v>
      </c>
      <c r="C227" s="12" t="s">
        <v>7</v>
      </c>
      <c r="D227" s="12" t="s">
        <v>19</v>
      </c>
    </row>
    <row r="228" spans="1:6" x14ac:dyDescent="0.2">
      <c r="A228" s="14">
        <v>45632.364930868054</v>
      </c>
      <c r="B228" s="15" t="s">
        <v>6</v>
      </c>
      <c r="C228" s="15" t="s">
        <v>7</v>
      </c>
      <c r="D228" s="15" t="s">
        <v>8</v>
      </c>
      <c r="F228" s="16" t="s">
        <v>184</v>
      </c>
    </row>
    <row r="229" spans="1:6" x14ac:dyDescent="0.2">
      <c r="A229" s="11">
        <v>45632.378151817131</v>
      </c>
      <c r="B229" s="12" t="s">
        <v>12</v>
      </c>
      <c r="C229" s="12" t="s">
        <v>7</v>
      </c>
      <c r="D229" s="12" t="s">
        <v>185</v>
      </c>
    </row>
    <row r="230" spans="1:6" x14ac:dyDescent="0.2">
      <c r="A230" s="14">
        <v>45632.382879490746</v>
      </c>
      <c r="B230" s="15" t="s">
        <v>44</v>
      </c>
      <c r="C230" s="15" t="s">
        <v>7</v>
      </c>
      <c r="D230" s="15" t="s">
        <v>8</v>
      </c>
    </row>
    <row r="231" spans="1:6" x14ac:dyDescent="0.2">
      <c r="A231" s="11">
        <v>45632.392892638891</v>
      </c>
      <c r="B231" s="12" t="s">
        <v>44</v>
      </c>
      <c r="C231" s="12" t="s">
        <v>7</v>
      </c>
      <c r="D231" s="12" t="s">
        <v>8</v>
      </c>
      <c r="F231" s="13" t="s">
        <v>186</v>
      </c>
    </row>
    <row r="232" spans="1:6" x14ac:dyDescent="0.2">
      <c r="A232" s="14">
        <v>45632.402850694445</v>
      </c>
      <c r="B232" s="15" t="s">
        <v>44</v>
      </c>
      <c r="C232" s="15" t="s">
        <v>7</v>
      </c>
      <c r="D232" s="15" t="s">
        <v>19</v>
      </c>
      <c r="F232" s="16" t="s">
        <v>187</v>
      </c>
    </row>
    <row r="233" spans="1:6" x14ac:dyDescent="0.2">
      <c r="A233" s="11">
        <v>45632.417977430552</v>
      </c>
      <c r="B233" s="12" t="s">
        <v>44</v>
      </c>
      <c r="C233" s="12" t="s">
        <v>7</v>
      </c>
      <c r="D233" s="12" t="s">
        <v>8</v>
      </c>
    </row>
    <row r="234" spans="1:6" x14ac:dyDescent="0.2">
      <c r="A234" s="14">
        <v>45632.606019155093</v>
      </c>
      <c r="B234" s="15" t="s">
        <v>16</v>
      </c>
      <c r="C234" s="15" t="s">
        <v>13</v>
      </c>
      <c r="E234" s="15" t="s">
        <v>188</v>
      </c>
    </row>
    <row r="235" spans="1:6" x14ac:dyDescent="0.2">
      <c r="A235" s="11">
        <v>45632.626137002313</v>
      </c>
      <c r="B235" s="12" t="s">
        <v>6</v>
      </c>
      <c r="C235" s="12" t="s">
        <v>13</v>
      </c>
      <c r="E235" s="12" t="s">
        <v>189</v>
      </c>
    </row>
    <row r="236" spans="1:6" x14ac:dyDescent="0.2">
      <c r="A236" s="14">
        <v>45632.656134212964</v>
      </c>
      <c r="B236" s="15" t="s">
        <v>6</v>
      </c>
      <c r="C236" s="15" t="s">
        <v>7</v>
      </c>
      <c r="D236" s="15" t="s">
        <v>8</v>
      </c>
    </row>
    <row r="237" spans="1:6" x14ac:dyDescent="0.2">
      <c r="A237" s="11">
        <v>45632.670781006949</v>
      </c>
      <c r="B237" s="12" t="s">
        <v>6</v>
      </c>
      <c r="C237" s="12" t="s">
        <v>7</v>
      </c>
      <c r="D237" s="12" t="s">
        <v>8</v>
      </c>
      <c r="F237" s="13" t="s">
        <v>190</v>
      </c>
    </row>
    <row r="238" spans="1:6" x14ac:dyDescent="0.2">
      <c r="A238" s="14">
        <v>45632.692112638892</v>
      </c>
      <c r="B238" s="15" t="s">
        <v>6</v>
      </c>
      <c r="C238" s="15" t="s">
        <v>7</v>
      </c>
      <c r="D238" s="15" t="s">
        <v>8</v>
      </c>
      <c r="F238" s="16" t="s">
        <v>191</v>
      </c>
    </row>
    <row r="239" spans="1:6" x14ac:dyDescent="0.2">
      <c r="A239" s="11">
        <v>45632.705876631946</v>
      </c>
      <c r="B239" s="12" t="s">
        <v>6</v>
      </c>
      <c r="C239" s="12" t="s">
        <v>7</v>
      </c>
      <c r="D239" s="12" t="s">
        <v>19</v>
      </c>
      <c r="F239" s="13" t="s">
        <v>192</v>
      </c>
    </row>
    <row r="240" spans="1:6" x14ac:dyDescent="0.2">
      <c r="A240" s="14">
        <v>45632.774349664352</v>
      </c>
      <c r="B240" s="15" t="s">
        <v>6</v>
      </c>
      <c r="C240" s="15" t="s">
        <v>7</v>
      </c>
      <c r="D240" s="15" t="s">
        <v>19</v>
      </c>
      <c r="F240" s="16" t="s">
        <v>193</v>
      </c>
    </row>
    <row r="241" spans="1:12" x14ac:dyDescent="0.2">
      <c r="A241" s="11">
        <v>45633.397177685183</v>
      </c>
      <c r="B241" s="12" t="s">
        <v>6</v>
      </c>
      <c r="C241" s="12" t="s">
        <v>7</v>
      </c>
      <c r="D241" s="12" t="s">
        <v>8</v>
      </c>
    </row>
    <row r="242" spans="1:12" x14ac:dyDescent="0.2">
      <c r="A242" s="14">
        <v>45634.489281168979</v>
      </c>
      <c r="B242" s="15" t="s">
        <v>44</v>
      </c>
      <c r="C242" s="15" t="s">
        <v>7</v>
      </c>
      <c r="D242" s="15" t="s">
        <v>194</v>
      </c>
      <c r="F242" s="16" t="s">
        <v>195</v>
      </c>
    </row>
    <row r="243" spans="1:12" x14ac:dyDescent="0.2">
      <c r="A243" s="11">
        <v>45635.213353564817</v>
      </c>
      <c r="B243" s="12" t="s">
        <v>6</v>
      </c>
      <c r="C243" s="12" t="s">
        <v>7</v>
      </c>
      <c r="D243" s="12" t="s">
        <v>29</v>
      </c>
      <c r="F243" s="13" t="s">
        <v>196</v>
      </c>
    </row>
    <row r="244" spans="1:12" x14ac:dyDescent="0.2">
      <c r="A244" s="14">
        <v>45635.322177395836</v>
      </c>
      <c r="B244" s="15" t="s">
        <v>44</v>
      </c>
      <c r="C244" s="15" t="s">
        <v>7</v>
      </c>
      <c r="D244" s="15" t="s">
        <v>8</v>
      </c>
      <c r="F244" s="16" t="s">
        <v>197</v>
      </c>
    </row>
    <row r="245" spans="1:12" x14ac:dyDescent="0.2">
      <c r="A245" s="11">
        <v>45635.534427638893</v>
      </c>
      <c r="B245" s="12" t="s">
        <v>12</v>
      </c>
      <c r="C245" s="12" t="s">
        <v>13</v>
      </c>
      <c r="E245" s="12" t="s">
        <v>14</v>
      </c>
      <c r="F245" s="13" t="s">
        <v>198</v>
      </c>
    </row>
    <row r="246" spans="1:12" x14ac:dyDescent="0.2">
      <c r="A246" s="14">
        <v>45635.658701979162</v>
      </c>
      <c r="B246" s="15" t="s">
        <v>6</v>
      </c>
      <c r="C246" s="15" t="s">
        <v>7</v>
      </c>
      <c r="D246" s="15" t="s">
        <v>19</v>
      </c>
    </row>
    <row r="247" spans="1:12" x14ac:dyDescent="0.2">
      <c r="A247" s="11">
        <v>45635.855063831019</v>
      </c>
      <c r="B247" s="12" t="s">
        <v>6</v>
      </c>
      <c r="C247" s="12" t="s">
        <v>7</v>
      </c>
      <c r="D247" s="12" t="s">
        <v>8</v>
      </c>
      <c r="F247" s="13" t="s">
        <v>199</v>
      </c>
    </row>
    <row r="248" spans="1:12" x14ac:dyDescent="0.2">
      <c r="A248" s="17">
        <v>45635.856195462962</v>
      </c>
      <c r="B248" s="18" t="s">
        <v>6</v>
      </c>
      <c r="C248" s="18" t="s">
        <v>7</v>
      </c>
      <c r="D248" s="18" t="s">
        <v>8</v>
      </c>
      <c r="F248" s="19" t="s">
        <v>200</v>
      </c>
    </row>
    <row r="249" spans="1:12" x14ac:dyDescent="0.2">
      <c r="A249" s="4"/>
      <c r="B249" s="4"/>
      <c r="C249" s="4"/>
      <c r="D249" s="4"/>
      <c r="E249" s="4"/>
      <c r="F249" s="4"/>
      <c r="G249" s="4"/>
      <c r="H249" s="4"/>
      <c r="I249" s="4"/>
      <c r="J249" s="4"/>
      <c r="K249" s="4"/>
      <c r="L249" s="4"/>
    </row>
    <row r="250" spans="1:12" x14ac:dyDescent="0.2">
      <c r="A250" s="4"/>
      <c r="B250" s="4"/>
      <c r="C250" s="4"/>
      <c r="D250" s="4"/>
      <c r="E250" s="4"/>
      <c r="F250" s="4"/>
      <c r="G250" s="4"/>
      <c r="H250" s="4"/>
      <c r="I250" s="4"/>
      <c r="J250" s="4"/>
      <c r="K250" s="4"/>
      <c r="L250" s="4"/>
    </row>
    <row r="251" spans="1:12" x14ac:dyDescent="0.2">
      <c r="A251" s="4"/>
      <c r="B251" s="4"/>
      <c r="C251" s="4"/>
      <c r="D251" s="4"/>
      <c r="E251" s="4"/>
      <c r="F251" s="4"/>
      <c r="G251" s="4"/>
      <c r="H251" s="4"/>
      <c r="I251" s="4"/>
      <c r="J251" s="4"/>
      <c r="K251" s="4"/>
      <c r="L251" s="4"/>
    </row>
    <row r="252" spans="1:12" x14ac:dyDescent="0.2">
      <c r="A252" s="4"/>
      <c r="B252" s="4"/>
      <c r="C252" s="4"/>
      <c r="D252" s="4"/>
      <c r="E252" s="4"/>
      <c r="F252" s="4"/>
      <c r="G252" s="4"/>
      <c r="H252" s="4"/>
      <c r="I252" s="4"/>
      <c r="J252" s="4"/>
      <c r="K252" s="4"/>
      <c r="L252" s="4"/>
    </row>
    <row r="253" spans="1:12" x14ac:dyDescent="0.2">
      <c r="A253" s="4"/>
      <c r="B253" s="4"/>
      <c r="C253" s="4"/>
      <c r="D253" s="4"/>
      <c r="E253" s="4"/>
      <c r="F253" s="4"/>
      <c r="G253" s="4"/>
      <c r="H253" s="4"/>
      <c r="I253" s="4"/>
      <c r="J253" s="4"/>
      <c r="K253" s="4"/>
      <c r="L253" s="4"/>
    </row>
    <row r="254" spans="1:12" x14ac:dyDescent="0.2">
      <c r="A254" s="4"/>
      <c r="B254" s="4"/>
      <c r="C254" s="4"/>
      <c r="D254" s="4"/>
      <c r="E254" s="4"/>
      <c r="F254" s="4"/>
      <c r="G254" s="4"/>
      <c r="H254" s="4"/>
      <c r="I254" s="4"/>
      <c r="J254" s="4"/>
      <c r="K254" s="4"/>
      <c r="L254" s="4"/>
    </row>
    <row r="255" spans="1:12" x14ac:dyDescent="0.2">
      <c r="A255" s="4"/>
      <c r="B255" s="4"/>
      <c r="C255" s="4"/>
      <c r="D255" s="4"/>
      <c r="E255" s="4"/>
      <c r="F255" s="4"/>
      <c r="G255" s="4"/>
      <c r="H255" s="4"/>
      <c r="I255" s="4"/>
      <c r="J255" s="4"/>
      <c r="K255" s="4"/>
      <c r="L255" s="4"/>
    </row>
    <row r="256" spans="1:12" x14ac:dyDescent="0.2">
      <c r="A256" s="4"/>
      <c r="B256" s="4"/>
      <c r="C256" s="4"/>
      <c r="D256" s="4"/>
      <c r="E256" s="4"/>
      <c r="F256" s="4"/>
      <c r="G256" s="4"/>
      <c r="H256" s="4"/>
      <c r="I256" s="4"/>
      <c r="J256" s="4"/>
      <c r="K256" s="4"/>
      <c r="L256" s="4"/>
    </row>
    <row r="257" spans="1:12" x14ac:dyDescent="0.2">
      <c r="A257" s="4"/>
      <c r="B257" s="4"/>
      <c r="C257" s="4"/>
      <c r="D257" s="4"/>
      <c r="E257" s="4"/>
      <c r="F257" s="4"/>
      <c r="G257" s="4"/>
      <c r="H257" s="4"/>
      <c r="I257" s="4"/>
      <c r="J257" s="4"/>
      <c r="K257" s="4"/>
      <c r="L257" s="4"/>
    </row>
    <row r="258" spans="1:12" x14ac:dyDescent="0.2">
      <c r="A258" s="4"/>
      <c r="B258" s="4"/>
      <c r="C258" s="4"/>
      <c r="D258" s="4"/>
      <c r="E258" s="4"/>
      <c r="F258" s="4"/>
      <c r="G258" s="4"/>
      <c r="H258" s="4"/>
      <c r="I258" s="4"/>
      <c r="J258" s="4"/>
      <c r="K258" s="4"/>
      <c r="L258" s="4"/>
    </row>
    <row r="259" spans="1:12" x14ac:dyDescent="0.2">
      <c r="A259" s="4"/>
      <c r="B259" s="4"/>
      <c r="C259" s="4"/>
      <c r="D259" s="4"/>
      <c r="E259" s="4"/>
      <c r="F259" s="4"/>
      <c r="G259" s="4"/>
      <c r="H259" s="4"/>
      <c r="I259" s="4"/>
      <c r="J259" s="4"/>
      <c r="K259" s="4"/>
      <c r="L259" s="4"/>
    </row>
    <row r="260" spans="1:12" x14ac:dyDescent="0.2">
      <c r="A260" s="4"/>
      <c r="B260" s="4"/>
      <c r="C260" s="4"/>
      <c r="D260" s="4"/>
      <c r="E260" s="4"/>
      <c r="F260" s="4"/>
      <c r="G260" s="4"/>
      <c r="H260" s="4"/>
      <c r="I260" s="4"/>
      <c r="J260" s="4"/>
      <c r="K260" s="4"/>
      <c r="L260" s="4"/>
    </row>
    <row r="261" spans="1:12" x14ac:dyDescent="0.2">
      <c r="A261" s="4"/>
      <c r="B261" s="4"/>
      <c r="C261" s="4"/>
      <c r="D261" s="4"/>
      <c r="E261" s="4"/>
      <c r="F261" s="4"/>
      <c r="G261" s="4"/>
      <c r="H261" s="4"/>
      <c r="I261" s="4"/>
      <c r="J261" s="4"/>
      <c r="K261" s="4"/>
      <c r="L261" s="4"/>
    </row>
    <row r="262" spans="1:12" x14ac:dyDescent="0.2">
      <c r="A262" s="4"/>
      <c r="B262" s="4"/>
      <c r="C262" s="4"/>
      <c r="D262" s="4"/>
      <c r="E262" s="4"/>
      <c r="F262" s="4"/>
      <c r="G262" s="4"/>
      <c r="H262" s="4"/>
      <c r="I262" s="4"/>
      <c r="J262" s="4"/>
      <c r="K262" s="4"/>
      <c r="L262" s="4"/>
    </row>
    <row r="263" spans="1:12" x14ac:dyDescent="0.2">
      <c r="A263" s="4"/>
      <c r="B263" s="4"/>
      <c r="C263" s="4"/>
      <c r="D263" s="4"/>
      <c r="E263" s="4"/>
      <c r="F263" s="4"/>
      <c r="G263" s="4"/>
      <c r="H263" s="4"/>
      <c r="I263" s="4"/>
      <c r="J263" s="4"/>
      <c r="K263" s="4"/>
      <c r="L263" s="4"/>
    </row>
    <row r="264" spans="1:12" x14ac:dyDescent="0.2">
      <c r="A264" s="4"/>
      <c r="B264" s="4"/>
      <c r="C264" s="4"/>
      <c r="D264" s="4"/>
      <c r="E264" s="4"/>
      <c r="F264" s="4"/>
      <c r="G264" s="4"/>
      <c r="H264" s="4"/>
      <c r="I264" s="4"/>
      <c r="J264" s="4"/>
      <c r="K264" s="4"/>
      <c r="L264" s="4"/>
    </row>
    <row r="265" spans="1:12" x14ac:dyDescent="0.2">
      <c r="A265" s="4"/>
      <c r="B265" s="4"/>
      <c r="C265" s="4"/>
      <c r="D265" s="4"/>
      <c r="E265" s="4"/>
      <c r="F265" s="4"/>
      <c r="G265" s="4"/>
      <c r="H265" s="4"/>
      <c r="I265" s="4"/>
      <c r="J265" s="4"/>
      <c r="K265" s="4"/>
      <c r="L265" s="4"/>
    </row>
    <row r="266" spans="1:12" x14ac:dyDescent="0.2">
      <c r="A266" s="4"/>
      <c r="B266" s="4"/>
      <c r="C266" s="4"/>
      <c r="D266" s="4"/>
      <c r="E266" s="4"/>
      <c r="F266" s="4"/>
      <c r="G266" s="4"/>
      <c r="H266" s="4"/>
      <c r="I266" s="4"/>
      <c r="J266" s="4"/>
      <c r="K266" s="4"/>
      <c r="L266" s="4"/>
    </row>
    <row r="267" spans="1:12" x14ac:dyDescent="0.2">
      <c r="A267" s="4"/>
      <c r="B267" s="4"/>
      <c r="C267" s="4"/>
      <c r="D267" s="4"/>
      <c r="E267" s="4"/>
      <c r="F267" s="4"/>
      <c r="G267" s="4"/>
      <c r="H267" s="4"/>
      <c r="I267" s="4"/>
      <c r="J267" s="4"/>
      <c r="K267" s="4"/>
      <c r="L267" s="4"/>
    </row>
    <row r="268" spans="1:12" x14ac:dyDescent="0.2">
      <c r="A268" s="4"/>
      <c r="B268" s="4"/>
      <c r="C268" s="4"/>
      <c r="D268" s="4"/>
      <c r="E268" s="4"/>
      <c r="F268" s="4"/>
      <c r="G268" s="4"/>
      <c r="H268" s="4"/>
      <c r="I268" s="4"/>
      <c r="J268" s="4"/>
      <c r="K268" s="4"/>
      <c r="L268" s="4"/>
    </row>
    <row r="269" spans="1:12" x14ac:dyDescent="0.2">
      <c r="A269" s="4"/>
      <c r="B269" s="4"/>
      <c r="C269" s="4"/>
      <c r="D269" s="4"/>
      <c r="E269" s="4"/>
      <c r="F269" s="4"/>
      <c r="G269" s="4"/>
      <c r="H269" s="4"/>
      <c r="I269" s="4"/>
      <c r="J269" s="4"/>
      <c r="K269" s="4"/>
      <c r="L269" s="4"/>
    </row>
    <row r="270" spans="1:12" x14ac:dyDescent="0.2">
      <c r="A270" s="4"/>
      <c r="B270" s="4"/>
      <c r="C270" s="4"/>
      <c r="D270" s="4"/>
      <c r="E270" s="4"/>
      <c r="F270" s="4"/>
      <c r="G270" s="4"/>
      <c r="H270" s="4"/>
      <c r="I270" s="4"/>
      <c r="J270" s="4"/>
      <c r="K270" s="4"/>
      <c r="L270" s="4"/>
    </row>
    <row r="271" spans="1:12" x14ac:dyDescent="0.2">
      <c r="A271" s="4"/>
      <c r="B271" s="4"/>
      <c r="C271" s="4"/>
      <c r="D271" s="4"/>
      <c r="E271" s="4"/>
      <c r="F271" s="4"/>
      <c r="G271" s="4"/>
      <c r="H271" s="4"/>
      <c r="I271" s="4"/>
      <c r="J271" s="4"/>
      <c r="K271" s="4"/>
      <c r="L271" s="4"/>
    </row>
    <row r="272" spans="1:12" x14ac:dyDescent="0.2">
      <c r="A272" s="4"/>
      <c r="B272" s="4"/>
      <c r="C272" s="4"/>
      <c r="D272" s="4"/>
      <c r="E272" s="4"/>
      <c r="F272" s="4"/>
      <c r="G272" s="4"/>
      <c r="H272" s="4"/>
      <c r="I272" s="4"/>
      <c r="J272" s="4"/>
      <c r="K272" s="4"/>
      <c r="L272" s="4"/>
    </row>
    <row r="273" spans="1:12" x14ac:dyDescent="0.2">
      <c r="A273" s="4"/>
      <c r="B273" s="4"/>
      <c r="C273" s="4"/>
      <c r="D273" s="4"/>
      <c r="E273" s="4"/>
      <c r="F273" s="4"/>
      <c r="G273" s="4"/>
      <c r="H273" s="4"/>
      <c r="I273" s="4"/>
      <c r="J273" s="4"/>
      <c r="K273" s="4"/>
      <c r="L273" s="4"/>
    </row>
    <row r="274" spans="1:12" x14ac:dyDescent="0.2">
      <c r="A274" s="4"/>
      <c r="B274" s="4"/>
      <c r="C274" s="4"/>
      <c r="D274" s="4"/>
      <c r="E274" s="4"/>
      <c r="F274" s="4"/>
      <c r="G274" s="4"/>
      <c r="H274" s="4"/>
      <c r="I274" s="4"/>
      <c r="J274" s="4"/>
      <c r="K274" s="4"/>
      <c r="L274" s="4"/>
    </row>
    <row r="275" spans="1:12" x14ac:dyDescent="0.2">
      <c r="A275" s="4"/>
      <c r="B275" s="4"/>
      <c r="C275" s="4"/>
      <c r="D275" s="4"/>
      <c r="E275" s="4"/>
      <c r="F275" s="4"/>
      <c r="G275" s="4"/>
      <c r="H275" s="4"/>
      <c r="I275" s="4"/>
      <c r="J275" s="4"/>
      <c r="K275" s="4"/>
      <c r="L275" s="4"/>
    </row>
    <row r="276" spans="1:12" x14ac:dyDescent="0.2">
      <c r="A276" s="4"/>
      <c r="B276" s="4"/>
      <c r="C276" s="4"/>
      <c r="D276" s="4"/>
      <c r="E276" s="4"/>
      <c r="F276" s="4"/>
      <c r="G276" s="4"/>
      <c r="H276" s="4"/>
      <c r="I276" s="4"/>
      <c r="J276" s="4"/>
      <c r="K276" s="4"/>
      <c r="L276" s="4"/>
    </row>
    <row r="277" spans="1:12" x14ac:dyDescent="0.2">
      <c r="A277" s="4"/>
      <c r="B277" s="4"/>
      <c r="C277" s="4"/>
      <c r="D277" s="4"/>
      <c r="E277" s="4"/>
      <c r="F277" s="4"/>
      <c r="G277" s="4"/>
      <c r="H277" s="4"/>
      <c r="I277" s="4"/>
      <c r="J277" s="4"/>
      <c r="K277" s="4"/>
      <c r="L277" s="4"/>
    </row>
    <row r="278" spans="1:12" x14ac:dyDescent="0.2">
      <c r="A278" s="4"/>
      <c r="B278" s="4"/>
      <c r="C278" s="4"/>
      <c r="D278" s="4"/>
      <c r="E278" s="4"/>
      <c r="F278" s="4"/>
      <c r="G278" s="4"/>
      <c r="H278" s="4"/>
      <c r="I278" s="4"/>
      <c r="J278" s="4"/>
      <c r="K278" s="4"/>
      <c r="L278" s="4"/>
    </row>
    <row r="279" spans="1:12" x14ac:dyDescent="0.2">
      <c r="A279" s="4"/>
      <c r="B279" s="4"/>
      <c r="C279" s="4"/>
      <c r="D279" s="4"/>
      <c r="E279" s="4"/>
      <c r="F279" s="4"/>
      <c r="G279" s="4"/>
      <c r="H279" s="4"/>
      <c r="I279" s="4"/>
      <c r="J279" s="4"/>
      <c r="K279" s="4"/>
      <c r="L279" s="4"/>
    </row>
    <row r="280" spans="1:12" x14ac:dyDescent="0.2">
      <c r="A280" s="4"/>
      <c r="B280" s="4"/>
      <c r="C280" s="4"/>
      <c r="D280" s="4"/>
      <c r="E280" s="4"/>
      <c r="F280" s="4"/>
      <c r="G280" s="4"/>
      <c r="H280" s="4"/>
      <c r="I280" s="4"/>
      <c r="J280" s="4"/>
      <c r="K280" s="4"/>
      <c r="L280" s="4"/>
    </row>
    <row r="281" spans="1:12" x14ac:dyDescent="0.2">
      <c r="A281" s="4"/>
      <c r="B281" s="4"/>
      <c r="C281" s="4"/>
      <c r="D281" s="4"/>
      <c r="E281" s="4"/>
      <c r="F281" s="4"/>
      <c r="G281" s="4"/>
      <c r="H281" s="4"/>
      <c r="I281" s="4"/>
      <c r="J281" s="4"/>
      <c r="K281" s="4"/>
      <c r="L281" s="4"/>
    </row>
    <row r="282" spans="1:12" x14ac:dyDescent="0.2">
      <c r="A282" s="4"/>
      <c r="B282" s="4"/>
      <c r="C282" s="4"/>
      <c r="D282" s="4"/>
      <c r="E282" s="4"/>
      <c r="F282" s="4"/>
      <c r="G282" s="4"/>
      <c r="H282" s="4"/>
      <c r="I282" s="4"/>
      <c r="J282" s="4"/>
      <c r="K282" s="4"/>
      <c r="L282" s="4"/>
    </row>
    <row r="283" spans="1:12" x14ac:dyDescent="0.2">
      <c r="A283" s="4"/>
      <c r="B283" s="4"/>
      <c r="C283" s="4"/>
      <c r="D283" s="4"/>
      <c r="E283" s="4"/>
      <c r="F283" s="4"/>
      <c r="G283" s="4"/>
      <c r="H283" s="4"/>
      <c r="I283" s="4"/>
      <c r="J283" s="4"/>
      <c r="K283" s="4"/>
      <c r="L283" s="4"/>
    </row>
    <row r="284" spans="1:12" x14ac:dyDescent="0.2">
      <c r="A284" s="4"/>
      <c r="B284" s="4"/>
      <c r="C284" s="4"/>
      <c r="D284" s="4"/>
      <c r="E284" s="4"/>
      <c r="F284" s="4"/>
      <c r="G284" s="4"/>
      <c r="H284" s="4"/>
      <c r="I284" s="4"/>
      <c r="J284" s="4"/>
      <c r="K284" s="4"/>
      <c r="L284" s="4"/>
    </row>
    <row r="285" spans="1:12" x14ac:dyDescent="0.2">
      <c r="A285" s="4"/>
      <c r="B285" s="4"/>
      <c r="C285" s="4"/>
      <c r="D285" s="4"/>
      <c r="E285" s="4"/>
      <c r="F285" s="4"/>
      <c r="G285" s="4"/>
      <c r="H285" s="4"/>
      <c r="I285" s="4"/>
      <c r="J285" s="4"/>
      <c r="K285" s="4"/>
      <c r="L285" s="4"/>
    </row>
    <row r="286" spans="1:12" x14ac:dyDescent="0.2">
      <c r="A286" s="4"/>
      <c r="B286" s="4"/>
      <c r="C286" s="4"/>
      <c r="D286" s="4"/>
      <c r="E286" s="4"/>
      <c r="F286" s="4"/>
      <c r="G286" s="4"/>
      <c r="H286" s="4"/>
      <c r="I286" s="4"/>
      <c r="J286" s="4"/>
      <c r="K286" s="4"/>
      <c r="L286" s="4"/>
    </row>
    <row r="287" spans="1:12" x14ac:dyDescent="0.2">
      <c r="A287" s="4"/>
      <c r="B287" s="4"/>
      <c r="C287" s="4"/>
      <c r="D287" s="4"/>
      <c r="E287" s="4"/>
      <c r="F287" s="4"/>
      <c r="G287" s="4"/>
      <c r="H287" s="4"/>
      <c r="I287" s="4"/>
      <c r="J287" s="4"/>
      <c r="K287" s="4"/>
      <c r="L287" s="4"/>
    </row>
    <row r="288" spans="1:12" x14ac:dyDescent="0.2">
      <c r="A288" s="4"/>
      <c r="B288" s="4"/>
      <c r="C288" s="4"/>
      <c r="D288" s="4"/>
      <c r="E288" s="4"/>
      <c r="F288" s="4"/>
      <c r="G288" s="4"/>
      <c r="H288" s="4"/>
      <c r="I288" s="4"/>
      <c r="J288" s="4"/>
      <c r="K288" s="4"/>
      <c r="L288" s="4"/>
    </row>
    <row r="289" spans="1:12" x14ac:dyDescent="0.2">
      <c r="A289" s="4"/>
      <c r="B289" s="4"/>
      <c r="C289" s="4"/>
      <c r="D289" s="4"/>
      <c r="E289" s="4"/>
      <c r="F289" s="4"/>
      <c r="G289" s="4"/>
      <c r="H289" s="4"/>
      <c r="I289" s="4"/>
      <c r="J289" s="4"/>
      <c r="K289" s="4"/>
      <c r="L289" s="4"/>
    </row>
    <row r="290" spans="1:12" x14ac:dyDescent="0.2">
      <c r="A290" s="4"/>
      <c r="B290" s="4"/>
      <c r="C290" s="4"/>
      <c r="D290" s="4"/>
      <c r="E290" s="4"/>
      <c r="F290" s="4"/>
      <c r="G290" s="4"/>
      <c r="H290" s="4"/>
      <c r="I290" s="4"/>
      <c r="J290" s="4"/>
      <c r="K290" s="4"/>
      <c r="L290" s="4"/>
    </row>
    <row r="291" spans="1:12" x14ac:dyDescent="0.2">
      <c r="A291" s="4"/>
      <c r="B291" s="4"/>
      <c r="C291" s="4"/>
      <c r="D291" s="4"/>
      <c r="E291" s="4"/>
      <c r="F291" s="4"/>
      <c r="G291" s="4"/>
      <c r="H291" s="4"/>
      <c r="I291" s="4"/>
      <c r="J291" s="4"/>
      <c r="K291" s="4"/>
      <c r="L291" s="4"/>
    </row>
    <row r="292" spans="1:12" x14ac:dyDescent="0.2">
      <c r="A292" s="4"/>
      <c r="B292" s="4"/>
      <c r="C292" s="4"/>
      <c r="D292" s="4"/>
      <c r="E292" s="4"/>
      <c r="F292" s="4"/>
      <c r="G292" s="4"/>
      <c r="H292" s="4"/>
      <c r="I292" s="4"/>
      <c r="J292" s="4"/>
      <c r="K292" s="4"/>
      <c r="L292" s="4"/>
    </row>
    <row r="293" spans="1:12" x14ac:dyDescent="0.2">
      <c r="A293" s="4"/>
      <c r="B293" s="4"/>
      <c r="C293" s="4"/>
      <c r="D293" s="4"/>
      <c r="E293" s="4"/>
      <c r="F293" s="4"/>
      <c r="G293" s="4"/>
      <c r="H293" s="4"/>
      <c r="I293" s="4"/>
      <c r="J293" s="4"/>
      <c r="K293" s="4"/>
      <c r="L293" s="4"/>
    </row>
    <row r="294" spans="1:12" x14ac:dyDescent="0.2">
      <c r="A294" s="4"/>
      <c r="B294" s="4"/>
      <c r="C294" s="4"/>
      <c r="D294" s="4"/>
      <c r="E294" s="4"/>
      <c r="F294" s="4"/>
      <c r="G294" s="4"/>
      <c r="H294" s="4"/>
      <c r="I294" s="4"/>
      <c r="J294" s="4"/>
      <c r="K294" s="4"/>
      <c r="L294" s="4"/>
    </row>
    <row r="295" spans="1:12" x14ac:dyDescent="0.2">
      <c r="A295" s="4"/>
      <c r="B295" s="4"/>
      <c r="C295" s="4"/>
      <c r="D295" s="4"/>
      <c r="E295" s="4"/>
      <c r="F295" s="4"/>
      <c r="G295" s="4"/>
      <c r="H295" s="4"/>
      <c r="I295" s="4"/>
      <c r="J295" s="4"/>
      <c r="K295" s="4"/>
      <c r="L295" s="4"/>
    </row>
    <row r="296" spans="1:12" x14ac:dyDescent="0.2">
      <c r="A296" s="4"/>
      <c r="B296" s="4"/>
      <c r="C296" s="4"/>
      <c r="D296" s="4"/>
      <c r="E296" s="4"/>
      <c r="F296" s="4"/>
      <c r="G296" s="4"/>
      <c r="H296" s="4"/>
      <c r="I296" s="4"/>
      <c r="J296" s="4"/>
      <c r="K296" s="4"/>
      <c r="L296" s="4"/>
    </row>
    <row r="297" spans="1:12" x14ac:dyDescent="0.2">
      <c r="A297" s="4"/>
      <c r="B297" s="4"/>
      <c r="C297" s="4"/>
      <c r="D297" s="4"/>
      <c r="E297" s="4"/>
      <c r="F297" s="4"/>
      <c r="G297" s="4"/>
      <c r="H297" s="4"/>
      <c r="I297" s="4"/>
      <c r="J297" s="4"/>
      <c r="K297" s="4"/>
      <c r="L297" s="4"/>
    </row>
    <row r="298" spans="1:12" x14ac:dyDescent="0.2">
      <c r="A298" s="4"/>
      <c r="B298" s="4"/>
      <c r="C298" s="4"/>
      <c r="D298" s="4"/>
      <c r="E298" s="4"/>
      <c r="F298" s="4"/>
      <c r="G298" s="4"/>
      <c r="H298" s="4"/>
      <c r="I298" s="4"/>
      <c r="J298" s="4"/>
      <c r="K298" s="4"/>
      <c r="L298" s="4"/>
    </row>
    <row r="299" spans="1:12" x14ac:dyDescent="0.2">
      <c r="A299" s="4"/>
      <c r="B299" s="4"/>
      <c r="C299" s="4"/>
      <c r="D299" s="4"/>
      <c r="E299" s="4"/>
      <c r="F299" s="4"/>
      <c r="G299" s="4"/>
      <c r="H299" s="4"/>
      <c r="I299" s="4"/>
      <c r="J299" s="4"/>
      <c r="K299" s="4"/>
      <c r="L299" s="4"/>
    </row>
    <row r="300" spans="1:12" x14ac:dyDescent="0.2">
      <c r="A300" s="4"/>
      <c r="B300" s="4"/>
      <c r="C300" s="4"/>
      <c r="D300" s="4"/>
      <c r="E300" s="4"/>
      <c r="F300" s="4"/>
      <c r="G300" s="4"/>
      <c r="H300" s="4"/>
      <c r="I300" s="4"/>
      <c r="J300" s="4"/>
      <c r="K300" s="4"/>
      <c r="L300" s="4"/>
    </row>
    <row r="301" spans="1:12" x14ac:dyDescent="0.2">
      <c r="A301" s="4"/>
      <c r="B301" s="4"/>
      <c r="C301" s="4"/>
      <c r="D301" s="4"/>
      <c r="E301" s="4"/>
      <c r="F301" s="4"/>
      <c r="G301" s="4"/>
      <c r="H301" s="4"/>
      <c r="I301" s="4"/>
      <c r="J301" s="4"/>
      <c r="K301" s="4"/>
      <c r="L301" s="4"/>
    </row>
    <row r="302" spans="1:12" x14ac:dyDescent="0.2">
      <c r="A302" s="4"/>
      <c r="B302" s="4"/>
      <c r="C302" s="4"/>
      <c r="D302" s="4"/>
      <c r="E302" s="4"/>
      <c r="F302" s="4"/>
      <c r="G302" s="4"/>
      <c r="H302" s="4"/>
      <c r="I302" s="4"/>
      <c r="J302" s="4"/>
      <c r="K302" s="4"/>
      <c r="L302" s="4"/>
    </row>
    <row r="303" spans="1:12" x14ac:dyDescent="0.2">
      <c r="A303" s="4"/>
      <c r="B303" s="4"/>
      <c r="C303" s="4"/>
      <c r="D303" s="4"/>
      <c r="E303" s="4"/>
      <c r="F303" s="4"/>
      <c r="G303" s="4"/>
      <c r="H303" s="4"/>
      <c r="I303" s="4"/>
      <c r="J303" s="4"/>
      <c r="K303" s="4"/>
      <c r="L303" s="4"/>
    </row>
    <row r="304" spans="1:12" x14ac:dyDescent="0.2">
      <c r="A304" s="4"/>
      <c r="B304" s="4"/>
      <c r="C304" s="4"/>
      <c r="D304" s="4"/>
      <c r="E304" s="4"/>
      <c r="F304" s="4"/>
      <c r="G304" s="4"/>
      <c r="H304" s="4"/>
      <c r="I304" s="4"/>
      <c r="J304" s="4"/>
      <c r="K304" s="4"/>
      <c r="L304" s="4"/>
    </row>
    <row r="305" spans="1:12" x14ac:dyDescent="0.2">
      <c r="A305" s="4"/>
      <c r="B305" s="4"/>
      <c r="C305" s="4"/>
      <c r="D305" s="4"/>
      <c r="E305" s="4"/>
      <c r="F305" s="4"/>
      <c r="G305" s="4"/>
      <c r="H305" s="4"/>
      <c r="I305" s="4"/>
      <c r="J305" s="4"/>
      <c r="K305" s="4"/>
      <c r="L305" s="4"/>
    </row>
    <row r="306" spans="1:12" x14ac:dyDescent="0.2">
      <c r="A306" s="4"/>
      <c r="B306" s="4"/>
      <c r="C306" s="4"/>
      <c r="D306" s="4"/>
      <c r="E306" s="4"/>
      <c r="F306" s="4"/>
      <c r="G306" s="4"/>
      <c r="H306" s="4"/>
      <c r="I306" s="4"/>
      <c r="J306" s="4"/>
      <c r="K306" s="4"/>
      <c r="L306" s="4"/>
    </row>
    <row r="307" spans="1:12" x14ac:dyDescent="0.2">
      <c r="A307" s="4"/>
      <c r="B307" s="4"/>
      <c r="C307" s="4"/>
      <c r="D307" s="4"/>
      <c r="E307" s="4"/>
      <c r="F307" s="4"/>
      <c r="G307" s="4"/>
      <c r="H307" s="4"/>
      <c r="I307" s="4"/>
      <c r="J307" s="4"/>
      <c r="K307" s="4"/>
      <c r="L307" s="4"/>
    </row>
    <row r="308" spans="1:12" x14ac:dyDescent="0.2">
      <c r="A308" s="4"/>
      <c r="B308" s="4"/>
      <c r="C308" s="4"/>
      <c r="D308" s="4"/>
      <c r="E308" s="4"/>
      <c r="F308" s="4"/>
      <c r="G308" s="4"/>
      <c r="H308" s="4"/>
      <c r="I308" s="4"/>
      <c r="J308" s="4"/>
      <c r="K308" s="4"/>
      <c r="L308" s="4"/>
    </row>
    <row r="309" spans="1:12" x14ac:dyDescent="0.2">
      <c r="A309" s="4"/>
      <c r="B309" s="4"/>
      <c r="C309" s="4"/>
      <c r="D309" s="4"/>
      <c r="E309" s="4"/>
      <c r="F309" s="4"/>
      <c r="G309" s="4"/>
      <c r="H309" s="4"/>
      <c r="I309" s="4"/>
      <c r="J309" s="4"/>
      <c r="K309" s="4"/>
      <c r="L309" s="4"/>
    </row>
    <row r="310" spans="1:12" x14ac:dyDescent="0.2">
      <c r="A310" s="4"/>
      <c r="B310" s="4"/>
      <c r="C310" s="4"/>
      <c r="D310" s="4"/>
      <c r="E310" s="4"/>
      <c r="F310" s="4"/>
      <c r="G310" s="4"/>
      <c r="H310" s="4"/>
      <c r="I310" s="4"/>
      <c r="J310" s="4"/>
      <c r="K310" s="4"/>
      <c r="L310" s="4"/>
    </row>
    <row r="311" spans="1:12" x14ac:dyDescent="0.2">
      <c r="A311" s="4"/>
      <c r="B311" s="4"/>
      <c r="C311" s="4"/>
      <c r="D311" s="4"/>
      <c r="E311" s="4"/>
      <c r="F311" s="4"/>
      <c r="G311" s="4"/>
      <c r="H311" s="4"/>
      <c r="I311" s="4"/>
      <c r="J311" s="4"/>
      <c r="K311" s="4"/>
      <c r="L311" s="4"/>
    </row>
    <row r="312" spans="1:12" x14ac:dyDescent="0.2">
      <c r="A312" s="4"/>
      <c r="B312" s="4"/>
      <c r="C312" s="4"/>
      <c r="D312" s="4"/>
      <c r="E312" s="4"/>
      <c r="F312" s="4"/>
      <c r="G312" s="4"/>
      <c r="H312" s="4"/>
      <c r="I312" s="4"/>
      <c r="J312" s="4"/>
      <c r="K312" s="4"/>
      <c r="L312" s="4"/>
    </row>
    <row r="313" spans="1:12" x14ac:dyDescent="0.2">
      <c r="A313" s="4"/>
      <c r="B313" s="4"/>
      <c r="C313" s="4"/>
      <c r="D313" s="4"/>
      <c r="E313" s="4"/>
      <c r="F313" s="4"/>
      <c r="G313" s="4"/>
      <c r="H313" s="4"/>
      <c r="I313" s="4"/>
      <c r="J313" s="4"/>
      <c r="K313" s="4"/>
      <c r="L313" s="4"/>
    </row>
    <row r="314" spans="1:12" x14ac:dyDescent="0.2">
      <c r="A314" s="4"/>
      <c r="B314" s="4"/>
      <c r="C314" s="4"/>
      <c r="D314" s="4"/>
      <c r="E314" s="4"/>
      <c r="F314" s="4"/>
      <c r="G314" s="4"/>
      <c r="H314" s="4"/>
      <c r="I314" s="4"/>
      <c r="J314" s="4"/>
      <c r="K314" s="4"/>
      <c r="L314" s="4"/>
    </row>
    <row r="315" spans="1:12" x14ac:dyDescent="0.2">
      <c r="A315" s="4"/>
      <c r="B315" s="4"/>
      <c r="C315" s="4"/>
      <c r="D315" s="4"/>
      <c r="E315" s="4"/>
      <c r="F315" s="4"/>
      <c r="G315" s="4"/>
      <c r="H315" s="4"/>
      <c r="I315" s="4"/>
      <c r="J315" s="4"/>
      <c r="K315" s="4"/>
      <c r="L315" s="4"/>
    </row>
    <row r="316" spans="1:12" x14ac:dyDescent="0.2">
      <c r="A316" s="4"/>
      <c r="B316" s="4"/>
      <c r="C316" s="4"/>
      <c r="D316" s="4"/>
      <c r="E316" s="4"/>
      <c r="F316" s="4"/>
      <c r="G316" s="4"/>
      <c r="H316" s="4"/>
      <c r="I316" s="4"/>
      <c r="J316" s="4"/>
      <c r="K316" s="4"/>
      <c r="L316" s="4"/>
    </row>
    <row r="317" spans="1:12" x14ac:dyDescent="0.2">
      <c r="A317" s="4"/>
      <c r="B317" s="4"/>
      <c r="C317" s="4"/>
      <c r="D317" s="4"/>
      <c r="E317" s="4"/>
      <c r="F317" s="4"/>
      <c r="G317" s="4"/>
      <c r="H317" s="4"/>
      <c r="I317" s="4"/>
      <c r="J317" s="4"/>
      <c r="K317" s="4"/>
      <c r="L317" s="4"/>
    </row>
    <row r="318" spans="1:12" x14ac:dyDescent="0.2">
      <c r="A318" s="4"/>
      <c r="B318" s="4"/>
      <c r="C318" s="4"/>
      <c r="D318" s="4"/>
      <c r="E318" s="4"/>
      <c r="F318" s="4"/>
      <c r="G318" s="4"/>
      <c r="H318" s="4"/>
      <c r="I318" s="4"/>
      <c r="J318" s="4"/>
      <c r="K318" s="4"/>
      <c r="L318" s="4"/>
    </row>
    <row r="319" spans="1:12" x14ac:dyDescent="0.2">
      <c r="A319" s="4"/>
      <c r="B319" s="4"/>
      <c r="C319" s="4"/>
      <c r="D319" s="4"/>
      <c r="E319" s="4"/>
      <c r="F319" s="4"/>
      <c r="G319" s="4"/>
      <c r="H319" s="4"/>
      <c r="I319" s="4"/>
      <c r="J319" s="4"/>
      <c r="K319" s="4"/>
      <c r="L319" s="4"/>
    </row>
    <row r="320" spans="1:12" x14ac:dyDescent="0.2">
      <c r="A320" s="4"/>
      <c r="B320" s="4"/>
      <c r="C320" s="4"/>
      <c r="D320" s="4"/>
      <c r="E320" s="4"/>
      <c r="F320" s="4"/>
      <c r="G320" s="4"/>
      <c r="H320" s="4"/>
      <c r="I320" s="4"/>
      <c r="J320" s="4"/>
      <c r="K320" s="4"/>
      <c r="L320" s="4"/>
    </row>
    <row r="321" spans="1:12" x14ac:dyDescent="0.2">
      <c r="A321" s="4"/>
      <c r="B321" s="4"/>
      <c r="C321" s="4"/>
      <c r="D321" s="4"/>
      <c r="E321" s="4"/>
      <c r="F321" s="4"/>
      <c r="G321" s="4"/>
      <c r="H321" s="4"/>
      <c r="I321" s="4"/>
      <c r="J321" s="4"/>
      <c r="K321" s="4"/>
      <c r="L321" s="4"/>
    </row>
    <row r="322" spans="1:12" x14ac:dyDescent="0.2">
      <c r="A322" s="4"/>
      <c r="B322" s="4"/>
      <c r="C322" s="4"/>
      <c r="D322" s="4"/>
      <c r="E322" s="4"/>
      <c r="F322" s="4"/>
      <c r="G322" s="4"/>
      <c r="H322" s="4"/>
      <c r="I322" s="4"/>
      <c r="J322" s="4"/>
      <c r="K322" s="4"/>
      <c r="L322" s="4"/>
    </row>
    <row r="323" spans="1:12" x14ac:dyDescent="0.2">
      <c r="A323" s="4"/>
      <c r="B323" s="4"/>
      <c r="C323" s="4"/>
      <c r="D323" s="4"/>
      <c r="E323" s="4"/>
      <c r="F323" s="4"/>
      <c r="G323" s="4"/>
      <c r="H323" s="4"/>
      <c r="I323" s="4"/>
      <c r="J323" s="4"/>
      <c r="K323" s="4"/>
      <c r="L323" s="4"/>
    </row>
    <row r="324" spans="1:12" x14ac:dyDescent="0.2">
      <c r="A324" s="4"/>
      <c r="B324" s="4"/>
      <c r="C324" s="4"/>
      <c r="D324" s="4"/>
      <c r="E324" s="4"/>
      <c r="F324" s="4"/>
      <c r="G324" s="4"/>
      <c r="H324" s="4"/>
      <c r="I324" s="4"/>
      <c r="J324" s="4"/>
      <c r="K324" s="4"/>
      <c r="L324" s="4"/>
    </row>
    <row r="325" spans="1:12" x14ac:dyDescent="0.2">
      <c r="A325" s="4"/>
      <c r="B325" s="4"/>
      <c r="C325" s="4"/>
      <c r="D325" s="4"/>
      <c r="E325" s="4"/>
      <c r="F325" s="4"/>
      <c r="G325" s="4"/>
      <c r="H325" s="4"/>
      <c r="I325" s="4"/>
      <c r="J325" s="4"/>
      <c r="K325" s="4"/>
      <c r="L325" s="4"/>
    </row>
    <row r="326" spans="1:12" x14ac:dyDescent="0.2">
      <c r="A326" s="4"/>
      <c r="B326" s="4"/>
      <c r="C326" s="4"/>
      <c r="D326" s="4"/>
      <c r="E326" s="4"/>
      <c r="F326" s="4"/>
      <c r="G326" s="4"/>
      <c r="H326" s="4"/>
      <c r="I326" s="4"/>
      <c r="J326" s="4"/>
      <c r="K326" s="4"/>
      <c r="L326" s="4"/>
    </row>
    <row r="327" spans="1:12" x14ac:dyDescent="0.2">
      <c r="A327" s="4"/>
      <c r="B327" s="4"/>
      <c r="C327" s="4"/>
      <c r="D327" s="4"/>
      <c r="E327" s="4"/>
      <c r="F327" s="4"/>
      <c r="G327" s="4"/>
      <c r="H327" s="4"/>
      <c r="I327" s="4"/>
      <c r="J327" s="4"/>
      <c r="K327" s="4"/>
      <c r="L327" s="4"/>
    </row>
    <row r="328" spans="1:12" x14ac:dyDescent="0.2">
      <c r="A328" s="4"/>
      <c r="B328" s="4"/>
      <c r="C328" s="4"/>
      <c r="D328" s="4"/>
      <c r="E328" s="4"/>
      <c r="F328" s="4"/>
      <c r="G328" s="4"/>
      <c r="H328" s="4"/>
      <c r="I328" s="4"/>
      <c r="J328" s="4"/>
      <c r="K328" s="4"/>
      <c r="L328" s="4"/>
    </row>
    <row r="329" spans="1:12" x14ac:dyDescent="0.2">
      <c r="A329" s="4"/>
      <c r="B329" s="4"/>
      <c r="C329" s="4"/>
      <c r="D329" s="4"/>
      <c r="E329" s="4"/>
      <c r="F329" s="4"/>
      <c r="G329" s="4"/>
      <c r="H329" s="4"/>
      <c r="I329" s="4"/>
      <c r="J329" s="4"/>
      <c r="K329" s="4"/>
      <c r="L329" s="4"/>
    </row>
    <row r="330" spans="1:12" x14ac:dyDescent="0.2">
      <c r="A330" s="4"/>
      <c r="B330" s="4"/>
      <c r="C330" s="4"/>
      <c r="D330" s="4"/>
      <c r="E330" s="4"/>
      <c r="F330" s="4"/>
      <c r="G330" s="4"/>
      <c r="H330" s="4"/>
      <c r="I330" s="4"/>
      <c r="J330" s="4"/>
      <c r="K330" s="4"/>
      <c r="L330" s="4"/>
    </row>
    <row r="331" spans="1:12" x14ac:dyDescent="0.2">
      <c r="A331" s="4"/>
      <c r="B331" s="4"/>
      <c r="C331" s="4"/>
      <c r="D331" s="4"/>
      <c r="E331" s="4"/>
      <c r="F331" s="4"/>
      <c r="G331" s="4"/>
      <c r="H331" s="4"/>
      <c r="I331" s="4"/>
      <c r="J331" s="4"/>
      <c r="K331" s="4"/>
      <c r="L331" s="4"/>
    </row>
    <row r="332" spans="1:12" x14ac:dyDescent="0.2">
      <c r="A332" s="4"/>
      <c r="B332" s="4"/>
      <c r="C332" s="4"/>
      <c r="D332" s="4"/>
      <c r="E332" s="4"/>
      <c r="F332" s="4"/>
      <c r="G332" s="4"/>
      <c r="H332" s="4"/>
      <c r="I332" s="4"/>
      <c r="J332" s="4"/>
      <c r="K332" s="4"/>
      <c r="L332" s="4"/>
    </row>
    <row r="333" spans="1:12" x14ac:dyDescent="0.2">
      <c r="A333" s="4"/>
      <c r="B333" s="4"/>
      <c r="C333" s="4"/>
      <c r="D333" s="4"/>
      <c r="E333" s="4"/>
      <c r="F333" s="4"/>
      <c r="G333" s="4"/>
      <c r="H333" s="4"/>
      <c r="I333" s="4"/>
      <c r="J333" s="4"/>
      <c r="K333" s="4"/>
      <c r="L333" s="4"/>
    </row>
    <row r="334" spans="1:12" x14ac:dyDescent="0.2">
      <c r="A334" s="4"/>
      <c r="B334" s="4"/>
      <c r="C334" s="4"/>
      <c r="D334" s="4"/>
      <c r="E334" s="4"/>
      <c r="F334" s="4"/>
      <c r="G334" s="4"/>
      <c r="H334" s="4"/>
      <c r="I334" s="4"/>
      <c r="J334" s="4"/>
      <c r="K334" s="4"/>
      <c r="L334" s="4"/>
    </row>
    <row r="335" spans="1:12" x14ac:dyDescent="0.2">
      <c r="A335" s="4"/>
      <c r="B335" s="4"/>
      <c r="C335" s="4"/>
      <c r="D335" s="4"/>
      <c r="E335" s="4"/>
      <c r="F335" s="4"/>
      <c r="G335" s="4"/>
      <c r="H335" s="4"/>
      <c r="I335" s="4"/>
      <c r="J335" s="4"/>
      <c r="K335" s="4"/>
      <c r="L335" s="4"/>
    </row>
    <row r="336" spans="1:12" x14ac:dyDescent="0.2">
      <c r="A336" s="4"/>
      <c r="B336" s="4"/>
      <c r="C336" s="4"/>
      <c r="D336" s="4"/>
      <c r="E336" s="4"/>
      <c r="F336" s="4"/>
      <c r="G336" s="4"/>
      <c r="H336" s="4"/>
      <c r="I336" s="4"/>
      <c r="J336" s="4"/>
      <c r="K336" s="4"/>
      <c r="L336" s="4"/>
    </row>
    <row r="337" spans="1:12" x14ac:dyDescent="0.2">
      <c r="A337" s="4"/>
      <c r="B337" s="4"/>
      <c r="C337" s="4"/>
      <c r="D337" s="4"/>
      <c r="E337" s="4"/>
      <c r="F337" s="4"/>
      <c r="G337" s="4"/>
      <c r="H337" s="4"/>
      <c r="I337" s="4"/>
      <c r="J337" s="4"/>
      <c r="K337" s="4"/>
      <c r="L337" s="4"/>
    </row>
    <row r="338" spans="1:12" x14ac:dyDescent="0.2">
      <c r="A338" s="4"/>
      <c r="B338" s="4"/>
      <c r="C338" s="4"/>
      <c r="D338" s="4"/>
      <c r="E338" s="4"/>
      <c r="F338" s="4"/>
      <c r="G338" s="4"/>
      <c r="H338" s="4"/>
      <c r="I338" s="4"/>
      <c r="J338" s="4"/>
      <c r="K338" s="4"/>
      <c r="L338" s="4"/>
    </row>
    <row r="339" spans="1:12" x14ac:dyDescent="0.2">
      <c r="A339" s="4"/>
      <c r="B339" s="4"/>
      <c r="C339" s="4"/>
      <c r="D339" s="4"/>
      <c r="E339" s="4"/>
      <c r="F339" s="4"/>
      <c r="G339" s="4"/>
      <c r="H339" s="4"/>
      <c r="I339" s="4"/>
      <c r="J339" s="4"/>
      <c r="K339" s="4"/>
      <c r="L339" s="4"/>
    </row>
    <row r="340" spans="1:12" x14ac:dyDescent="0.2">
      <c r="A340" s="4"/>
      <c r="B340" s="4"/>
      <c r="C340" s="4"/>
      <c r="D340" s="4"/>
      <c r="E340" s="4"/>
      <c r="F340" s="4"/>
      <c r="G340" s="4"/>
      <c r="H340" s="4"/>
      <c r="I340" s="4"/>
      <c r="J340" s="4"/>
      <c r="K340" s="4"/>
      <c r="L340" s="4"/>
    </row>
    <row r="341" spans="1:12" x14ac:dyDescent="0.2">
      <c r="A341" s="4"/>
      <c r="B341" s="4"/>
      <c r="C341" s="4"/>
      <c r="D341" s="4"/>
      <c r="E341" s="4"/>
      <c r="F341" s="4"/>
      <c r="G341" s="4"/>
      <c r="H341" s="4"/>
      <c r="I341" s="4"/>
      <c r="J341" s="4"/>
      <c r="K341" s="4"/>
      <c r="L341" s="4"/>
    </row>
    <row r="342" spans="1:12" x14ac:dyDescent="0.2">
      <c r="A342" s="4"/>
      <c r="B342" s="4"/>
      <c r="C342" s="4"/>
      <c r="D342" s="4"/>
      <c r="E342" s="4"/>
      <c r="F342" s="4"/>
      <c r="G342" s="4"/>
      <c r="H342" s="4"/>
      <c r="I342" s="4"/>
      <c r="J342" s="4"/>
      <c r="K342" s="4"/>
      <c r="L342" s="4"/>
    </row>
    <row r="343" spans="1:12" x14ac:dyDescent="0.2">
      <c r="A343" s="4"/>
      <c r="B343" s="4"/>
      <c r="C343" s="4"/>
      <c r="D343" s="4"/>
      <c r="E343" s="4"/>
      <c r="F343" s="4"/>
      <c r="G343" s="4"/>
      <c r="H343" s="4"/>
      <c r="I343" s="4"/>
      <c r="J343" s="4"/>
      <c r="K343" s="4"/>
      <c r="L343" s="4"/>
    </row>
    <row r="344" spans="1:12" x14ac:dyDescent="0.2">
      <c r="A344" s="4"/>
      <c r="B344" s="4"/>
      <c r="C344" s="4"/>
      <c r="D344" s="4"/>
      <c r="E344" s="4"/>
      <c r="F344" s="4"/>
      <c r="G344" s="4"/>
      <c r="H344" s="4"/>
      <c r="I344" s="4"/>
      <c r="J344" s="4"/>
      <c r="K344" s="4"/>
      <c r="L344" s="4"/>
    </row>
    <row r="345" spans="1:12" x14ac:dyDescent="0.2">
      <c r="A345" s="4"/>
      <c r="B345" s="4"/>
      <c r="C345" s="4"/>
      <c r="D345" s="4"/>
      <c r="E345" s="4"/>
      <c r="F345" s="4"/>
      <c r="G345" s="4"/>
      <c r="H345" s="4"/>
      <c r="I345" s="4"/>
      <c r="J345" s="4"/>
      <c r="K345" s="4"/>
      <c r="L345" s="4"/>
    </row>
    <row r="346" spans="1:12" x14ac:dyDescent="0.2">
      <c r="A346" s="4"/>
      <c r="B346" s="4"/>
      <c r="C346" s="4"/>
      <c r="D346" s="4"/>
      <c r="E346" s="4"/>
      <c r="F346" s="4"/>
      <c r="G346" s="4"/>
      <c r="H346" s="4"/>
      <c r="I346" s="4"/>
      <c r="J346" s="4"/>
      <c r="K346" s="4"/>
      <c r="L346" s="4"/>
    </row>
    <row r="347" spans="1:12" x14ac:dyDescent="0.2">
      <c r="A347" s="4"/>
      <c r="B347" s="4"/>
      <c r="C347" s="4"/>
      <c r="D347" s="4"/>
      <c r="E347" s="4"/>
      <c r="F347" s="4"/>
      <c r="G347" s="4"/>
      <c r="H347" s="4"/>
      <c r="I347" s="4"/>
      <c r="J347" s="4"/>
      <c r="K347" s="4"/>
      <c r="L347" s="4"/>
    </row>
    <row r="348" spans="1:12" x14ac:dyDescent="0.2">
      <c r="A348" s="4"/>
      <c r="B348" s="4"/>
      <c r="C348" s="4"/>
      <c r="D348" s="4"/>
      <c r="E348" s="4"/>
      <c r="F348" s="4"/>
      <c r="G348" s="4"/>
      <c r="H348" s="4"/>
      <c r="I348" s="4"/>
      <c r="J348" s="4"/>
      <c r="K348" s="4"/>
      <c r="L348" s="4"/>
    </row>
  </sheetData>
  <phoneticPr fontId="2"/>
  <printOptions horizontalCentered="1" gridLines="1"/>
  <pageMargins left="0.7" right="0.7" top="0.75" bottom="0.75" header="0" footer="0"/>
  <pageSetup paperSize="9" fitToHeight="0" pageOrder="overThenDown" orientation="landscape" cellComments="atEnd"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70" zoomScaleNormal="70" workbookViewId="0">
      <selection activeCell="J30" sqref="J30"/>
    </sheetView>
  </sheetViews>
  <sheetFormatPr defaultRowHeight="12.75" x14ac:dyDescent="0.2"/>
  <sheetData/>
  <phoneticPr fontId="2"/>
  <pageMargins left="0.51181102362204722" right="0.51181102362204722" top="0.55118110236220474" bottom="0.55118110236220474" header="0.31496062992125984" footer="0.31496062992125984"/>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A5" sqref="A5:A6"/>
    </sheetView>
  </sheetViews>
  <sheetFormatPr defaultRowHeight="12.75" x14ac:dyDescent="0.2"/>
  <cols>
    <col min="1" max="1" width="63.7109375" customWidth="1"/>
    <col min="2" max="2" width="18.7109375" bestFit="1" customWidth="1"/>
    <col min="3" max="3" width="34.42578125" customWidth="1"/>
    <col min="4" max="4" width="5.7109375" customWidth="1"/>
    <col min="5" max="33" width="77.140625" bestFit="1" customWidth="1"/>
    <col min="34" max="34" width="5.7109375" customWidth="1"/>
  </cols>
  <sheetData>
    <row r="1" spans="1:2" x14ac:dyDescent="0.2">
      <c r="A1" s="58" t="s">
        <v>2</v>
      </c>
      <c r="B1" s="48" t="s">
        <v>13</v>
      </c>
    </row>
    <row r="3" spans="1:2" x14ac:dyDescent="0.2">
      <c r="A3" s="43" t="s">
        <v>209</v>
      </c>
      <c r="B3" s="46"/>
    </row>
    <row r="4" spans="1:2" x14ac:dyDescent="0.2">
      <c r="A4" s="43" t="s">
        <v>4</v>
      </c>
      <c r="B4" s="46" t="s">
        <v>210</v>
      </c>
    </row>
    <row r="5" spans="1:2" x14ac:dyDescent="0.2">
      <c r="A5" s="42" t="s">
        <v>14</v>
      </c>
      <c r="B5" s="46">
        <v>27</v>
      </c>
    </row>
    <row r="6" spans="1:2" x14ac:dyDescent="0.2">
      <c r="A6" s="44" t="s">
        <v>182</v>
      </c>
      <c r="B6" s="47">
        <v>2</v>
      </c>
    </row>
    <row r="7" spans="1:2" x14ac:dyDescent="0.2">
      <c r="A7" s="44" t="s">
        <v>156</v>
      </c>
      <c r="B7" s="47">
        <v>1</v>
      </c>
    </row>
    <row r="8" spans="1:2" x14ac:dyDescent="0.2">
      <c r="A8" s="44" t="s">
        <v>129</v>
      </c>
      <c r="B8" s="47">
        <v>1</v>
      </c>
    </row>
    <row r="9" spans="1:2" x14ac:dyDescent="0.2">
      <c r="A9" s="44" t="s">
        <v>28</v>
      </c>
      <c r="B9" s="47">
        <v>1</v>
      </c>
    </row>
    <row r="10" spans="1:2" x14ac:dyDescent="0.2">
      <c r="A10" s="44" t="s">
        <v>188</v>
      </c>
      <c r="B10" s="47">
        <v>1</v>
      </c>
    </row>
    <row r="11" spans="1:2" x14ac:dyDescent="0.2">
      <c r="A11" s="44" t="s">
        <v>174</v>
      </c>
      <c r="B11" s="47">
        <v>1</v>
      </c>
    </row>
    <row r="12" spans="1:2" x14ac:dyDescent="0.2">
      <c r="A12" s="44" t="s">
        <v>40</v>
      </c>
      <c r="B12" s="47">
        <v>1</v>
      </c>
    </row>
    <row r="13" spans="1:2" x14ac:dyDescent="0.2">
      <c r="A13" s="44" t="s">
        <v>25</v>
      </c>
      <c r="B13" s="47">
        <v>1</v>
      </c>
    </row>
    <row r="14" spans="1:2" x14ac:dyDescent="0.2">
      <c r="A14" s="44" t="s">
        <v>145</v>
      </c>
      <c r="B14" s="47">
        <v>1</v>
      </c>
    </row>
    <row r="15" spans="1:2" x14ac:dyDescent="0.2">
      <c r="A15" s="44" t="s">
        <v>99</v>
      </c>
      <c r="B15" s="47">
        <v>1</v>
      </c>
    </row>
    <row r="16" spans="1:2" x14ac:dyDescent="0.2">
      <c r="A16" s="44" t="s">
        <v>78</v>
      </c>
      <c r="B16" s="47">
        <v>1</v>
      </c>
    </row>
    <row r="17" spans="1:2" x14ac:dyDescent="0.2">
      <c r="A17" s="44" t="s">
        <v>189</v>
      </c>
      <c r="B17" s="47">
        <v>1</v>
      </c>
    </row>
    <row r="18" spans="1:2" x14ac:dyDescent="0.2">
      <c r="A18" s="45" t="s">
        <v>208</v>
      </c>
      <c r="B18" s="48">
        <v>40</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5"/>
  <sheetViews>
    <sheetView topLeftCell="A16" zoomScale="70" zoomScaleNormal="70" workbookViewId="0">
      <selection activeCell="M86" sqref="M86"/>
    </sheetView>
  </sheetViews>
  <sheetFormatPr defaultRowHeight="15.75" x14ac:dyDescent="0.2"/>
  <cols>
    <col min="1" max="1" width="1.140625" style="21" customWidth="1"/>
    <col min="2" max="2" width="5.7109375" style="21" customWidth="1"/>
    <col min="3" max="3" width="1.140625" style="21" customWidth="1"/>
    <col min="4" max="4" width="5.140625" style="21" bestFit="1" customWidth="1"/>
    <col min="5" max="5" width="57.28515625" style="21" bestFit="1" customWidth="1"/>
    <col min="6" max="6" width="10" style="21" customWidth="1"/>
    <col min="7" max="7" width="19" style="21" customWidth="1"/>
    <col min="8" max="11" width="9.42578125" style="21" customWidth="1"/>
    <col min="12" max="12" width="1.140625" style="21" customWidth="1"/>
    <col min="13" max="13" width="5.7109375" style="21" customWidth="1"/>
    <col min="14" max="16384" width="9.140625" style="21"/>
  </cols>
  <sheetData>
    <row r="1" spans="1:14" ht="9.75" customHeight="1" x14ac:dyDescent="0.2">
      <c r="A1" s="20"/>
      <c r="B1" s="20"/>
      <c r="C1" s="20"/>
      <c r="D1" s="20"/>
      <c r="E1" s="20"/>
      <c r="F1" s="20"/>
      <c r="G1" s="20"/>
      <c r="H1" s="20"/>
      <c r="I1" s="20"/>
      <c r="J1" s="20"/>
      <c r="K1" s="20"/>
      <c r="L1" s="20"/>
      <c r="M1" s="20"/>
      <c r="N1" s="20"/>
    </row>
    <row r="2" spans="1:14" ht="41.25" customHeight="1" x14ac:dyDescent="0.2">
      <c r="A2" s="20"/>
      <c r="B2" s="22"/>
      <c r="C2" s="23"/>
      <c r="D2" s="23"/>
      <c r="E2" s="23"/>
      <c r="F2" s="23"/>
      <c r="G2" s="23"/>
      <c r="H2" s="23"/>
      <c r="I2" s="23"/>
      <c r="J2" s="23"/>
      <c r="K2" s="23"/>
      <c r="L2" s="23"/>
      <c r="M2" s="24"/>
      <c r="N2" s="20"/>
    </row>
    <row r="3" spans="1:14" x14ac:dyDescent="0.2">
      <c r="A3" s="20"/>
      <c r="B3" s="25"/>
      <c r="C3" s="26"/>
      <c r="D3" s="61" t="s">
        <v>212</v>
      </c>
      <c r="E3" s="61"/>
      <c r="F3" s="26"/>
      <c r="G3" s="26"/>
      <c r="H3" s="26"/>
      <c r="I3" s="26"/>
      <c r="J3" s="26"/>
      <c r="K3" s="26"/>
      <c r="L3" s="26"/>
      <c r="M3" s="27"/>
      <c r="N3" s="20"/>
    </row>
    <row r="4" spans="1:14" x14ac:dyDescent="0.2">
      <c r="A4" s="20"/>
      <c r="B4" s="25"/>
      <c r="C4" s="26"/>
      <c r="D4" s="60"/>
      <c r="E4" s="60"/>
      <c r="F4" s="26"/>
      <c r="G4" s="26"/>
      <c r="H4" s="26"/>
      <c r="I4" s="26"/>
      <c r="J4" s="26"/>
      <c r="K4" s="26"/>
      <c r="L4" s="26"/>
      <c r="M4" s="27"/>
      <c r="N4" s="20"/>
    </row>
    <row r="5" spans="1:14" x14ac:dyDescent="0.2">
      <c r="A5" s="20"/>
      <c r="B5" s="25"/>
      <c r="C5" s="26"/>
      <c r="D5" s="26" t="s">
        <v>207</v>
      </c>
      <c r="E5" s="26"/>
      <c r="F5" s="26"/>
      <c r="G5" s="26"/>
      <c r="H5" s="26"/>
      <c r="I5" s="26"/>
      <c r="J5" s="26"/>
      <c r="K5" s="26"/>
      <c r="L5" s="26"/>
      <c r="M5" s="27"/>
      <c r="N5" s="20"/>
    </row>
    <row r="6" spans="1:14" x14ac:dyDescent="0.2">
      <c r="A6" s="20"/>
      <c r="B6" s="25"/>
      <c r="C6" s="26"/>
      <c r="D6" s="49" t="s">
        <v>201</v>
      </c>
      <c r="E6" s="50" t="s">
        <v>202</v>
      </c>
      <c r="F6" s="28" t="s">
        <v>203</v>
      </c>
      <c r="G6" s="54" t="s">
        <v>204</v>
      </c>
      <c r="H6" s="26"/>
      <c r="I6" s="26"/>
      <c r="J6" s="26"/>
      <c r="K6" s="26"/>
      <c r="L6" s="26"/>
      <c r="M6" s="27"/>
      <c r="N6" s="20"/>
    </row>
    <row r="7" spans="1:14" ht="18.75" customHeight="1" x14ac:dyDescent="0.2">
      <c r="A7" s="20"/>
      <c r="B7" s="25"/>
      <c r="C7" s="26"/>
      <c r="D7" s="29">
        <v>1</v>
      </c>
      <c r="E7" s="51" t="s">
        <v>7</v>
      </c>
      <c r="F7" s="30">
        <v>207</v>
      </c>
      <c r="G7" s="55">
        <f>F7/F$9</f>
        <v>0.83805668016194335</v>
      </c>
      <c r="H7" s="26"/>
      <c r="I7" s="26"/>
      <c r="J7" s="26"/>
      <c r="K7" s="26"/>
      <c r="L7" s="26"/>
      <c r="M7" s="27"/>
      <c r="N7" s="20"/>
    </row>
    <row r="8" spans="1:14" ht="18.75" customHeight="1" x14ac:dyDescent="0.2">
      <c r="A8" s="20"/>
      <c r="B8" s="25"/>
      <c r="C8" s="26"/>
      <c r="D8" s="31">
        <v>2</v>
      </c>
      <c r="E8" s="52" t="s">
        <v>13</v>
      </c>
      <c r="F8" s="32">
        <v>40</v>
      </c>
      <c r="G8" s="56">
        <f>F8/F$9</f>
        <v>0.16194331983805668</v>
      </c>
      <c r="H8" s="26"/>
      <c r="I8" s="26"/>
      <c r="J8" s="26"/>
      <c r="K8" s="26"/>
      <c r="L8" s="26"/>
      <c r="M8" s="27"/>
      <c r="N8" s="20"/>
    </row>
    <row r="9" spans="1:14" ht="18.75" customHeight="1" x14ac:dyDescent="0.2">
      <c r="A9" s="20"/>
      <c r="B9" s="25"/>
      <c r="C9" s="26"/>
      <c r="D9" s="35"/>
      <c r="E9" s="36" t="s">
        <v>206</v>
      </c>
      <c r="F9" s="37">
        <f>F7+F8</f>
        <v>247</v>
      </c>
      <c r="G9" s="57"/>
      <c r="H9" s="26"/>
      <c r="I9" s="26"/>
      <c r="J9" s="26"/>
      <c r="K9" s="26"/>
      <c r="L9" s="26"/>
      <c r="M9" s="27"/>
      <c r="N9" s="20"/>
    </row>
    <row r="10" spans="1:14" x14ac:dyDescent="0.2">
      <c r="A10" s="20"/>
      <c r="B10" s="25"/>
      <c r="C10" s="26"/>
      <c r="D10" s="26"/>
      <c r="E10" s="26"/>
      <c r="F10" s="26"/>
      <c r="G10" s="26"/>
      <c r="H10" s="26"/>
      <c r="I10" s="26"/>
      <c r="J10" s="26"/>
      <c r="K10" s="26"/>
      <c r="L10" s="26"/>
      <c r="M10" s="27"/>
      <c r="N10" s="20"/>
    </row>
    <row r="11" spans="1:14" x14ac:dyDescent="0.2">
      <c r="A11" s="20"/>
      <c r="B11" s="25"/>
      <c r="C11" s="26"/>
      <c r="D11" s="26" t="s">
        <v>211</v>
      </c>
      <c r="E11" s="26"/>
      <c r="F11" s="26"/>
      <c r="G11" s="26"/>
      <c r="H11" s="26"/>
      <c r="I11" s="26"/>
      <c r="J11" s="26"/>
      <c r="K11" s="26"/>
      <c r="L11" s="26"/>
      <c r="M11" s="27"/>
      <c r="N11" s="20"/>
    </row>
    <row r="12" spans="1:14" x14ac:dyDescent="0.2">
      <c r="A12" s="20"/>
      <c r="B12" s="25"/>
      <c r="C12" s="26"/>
      <c r="D12" s="49" t="s">
        <v>201</v>
      </c>
      <c r="E12" s="50" t="s">
        <v>202</v>
      </c>
      <c r="F12" s="28" t="s">
        <v>203</v>
      </c>
      <c r="G12" s="54" t="s">
        <v>204</v>
      </c>
      <c r="H12" s="26"/>
      <c r="I12" s="26"/>
      <c r="J12" s="26"/>
      <c r="K12" s="26"/>
      <c r="L12" s="26"/>
      <c r="M12" s="27"/>
      <c r="N12" s="20"/>
    </row>
    <row r="13" spans="1:14" x14ac:dyDescent="0.2">
      <c r="A13" s="20"/>
      <c r="B13" s="25"/>
      <c r="C13" s="26"/>
      <c r="D13" s="29"/>
      <c r="E13" s="51" t="s">
        <v>8</v>
      </c>
      <c r="F13" s="30">
        <v>122</v>
      </c>
      <c r="G13" s="55">
        <f t="shared" ref="G13:G17" si="0">F13/F$18</f>
        <v>0.58937198067632846</v>
      </c>
      <c r="H13" s="26"/>
      <c r="I13" s="26"/>
      <c r="J13" s="26"/>
      <c r="K13" s="26"/>
      <c r="L13" s="26"/>
      <c r="M13" s="27"/>
      <c r="N13" s="20"/>
    </row>
    <row r="14" spans="1:14" x14ac:dyDescent="0.2">
      <c r="A14" s="20"/>
      <c r="B14" s="25"/>
      <c r="C14" s="26"/>
      <c r="D14" s="31"/>
      <c r="E14" s="52" t="s">
        <v>19</v>
      </c>
      <c r="F14" s="32">
        <v>43</v>
      </c>
      <c r="G14" s="56">
        <f t="shared" si="0"/>
        <v>0.20772946859903382</v>
      </c>
      <c r="H14" s="26"/>
      <c r="I14" s="26"/>
      <c r="J14" s="26"/>
      <c r="K14" s="26"/>
      <c r="L14" s="26"/>
      <c r="M14" s="27"/>
      <c r="N14" s="20"/>
    </row>
    <row r="15" spans="1:14" x14ac:dyDescent="0.2">
      <c r="A15" s="20"/>
      <c r="B15" s="25"/>
      <c r="C15" s="26"/>
      <c r="D15" s="33"/>
      <c r="E15" s="53" t="s">
        <v>29</v>
      </c>
      <c r="F15" s="34">
        <v>13</v>
      </c>
      <c r="G15" s="59">
        <f t="shared" si="0"/>
        <v>6.280193236714976E-2</v>
      </c>
      <c r="H15" s="26"/>
      <c r="I15" s="26"/>
      <c r="J15" s="26"/>
      <c r="K15" s="26"/>
      <c r="L15" s="26"/>
      <c r="M15" s="27"/>
      <c r="N15" s="20"/>
    </row>
    <row r="16" spans="1:14" x14ac:dyDescent="0.2">
      <c r="A16" s="20"/>
      <c r="B16" s="25"/>
      <c r="C16" s="26"/>
      <c r="D16" s="31"/>
      <c r="E16" s="52" t="s">
        <v>10</v>
      </c>
      <c r="F16" s="32">
        <v>2</v>
      </c>
      <c r="G16" s="56">
        <f t="shared" si="0"/>
        <v>9.6618357487922701E-3</v>
      </c>
      <c r="H16" s="26"/>
      <c r="I16" s="26"/>
      <c r="J16" s="26"/>
      <c r="K16" s="26"/>
      <c r="L16" s="26"/>
      <c r="M16" s="27"/>
      <c r="N16" s="20"/>
    </row>
    <row r="17" spans="1:14" x14ac:dyDescent="0.2">
      <c r="A17" s="20"/>
      <c r="B17" s="25"/>
      <c r="C17" s="26"/>
      <c r="D17" s="33"/>
      <c r="E17" s="53" t="s">
        <v>205</v>
      </c>
      <c r="F17" s="34">
        <v>27</v>
      </c>
      <c r="G17" s="59">
        <f t="shared" si="0"/>
        <v>0.13043478260869565</v>
      </c>
      <c r="H17" s="26"/>
      <c r="I17" s="26"/>
      <c r="J17" s="26"/>
      <c r="K17" s="26"/>
      <c r="L17" s="26"/>
      <c r="M17" s="27"/>
      <c r="N17" s="20"/>
    </row>
    <row r="18" spans="1:14" ht="18.75" customHeight="1" x14ac:dyDescent="0.2">
      <c r="A18" s="20"/>
      <c r="B18" s="25"/>
      <c r="C18" s="26"/>
      <c r="D18" s="35"/>
      <c r="E18" s="36" t="s">
        <v>206</v>
      </c>
      <c r="F18" s="37">
        <f>SUM(F13:F17)</f>
        <v>207</v>
      </c>
      <c r="G18" s="57"/>
      <c r="H18" s="26"/>
      <c r="I18" s="26"/>
      <c r="J18" s="26"/>
      <c r="K18" s="26"/>
      <c r="L18" s="26"/>
      <c r="M18" s="27"/>
      <c r="N18" s="20"/>
    </row>
    <row r="19" spans="1:14" x14ac:dyDescent="0.2">
      <c r="A19" s="20"/>
      <c r="B19" s="25"/>
      <c r="C19" s="26"/>
      <c r="D19" s="26"/>
      <c r="E19" s="26"/>
      <c r="F19" s="26"/>
      <c r="G19" s="26"/>
      <c r="H19" s="26"/>
      <c r="I19" s="26"/>
      <c r="J19" s="26"/>
      <c r="K19" s="26"/>
      <c r="L19" s="26"/>
      <c r="M19" s="27"/>
      <c r="N19" s="20"/>
    </row>
    <row r="20" spans="1:14" x14ac:dyDescent="0.2">
      <c r="A20" s="20"/>
      <c r="B20" s="25"/>
      <c r="C20" s="26"/>
      <c r="D20" s="26"/>
      <c r="E20" s="26"/>
      <c r="F20" s="26"/>
      <c r="G20" s="26"/>
      <c r="H20" s="26"/>
      <c r="I20" s="26"/>
      <c r="J20" s="26"/>
      <c r="K20" s="26"/>
      <c r="L20" s="26"/>
      <c r="M20" s="27"/>
      <c r="N20" s="20"/>
    </row>
    <row r="21" spans="1:14" x14ac:dyDescent="0.2">
      <c r="A21" s="20"/>
      <c r="B21" s="25"/>
      <c r="C21" s="26"/>
      <c r="D21" s="26"/>
      <c r="E21" s="26"/>
      <c r="F21" s="26"/>
      <c r="G21" s="26"/>
      <c r="H21" s="26"/>
      <c r="I21" s="26"/>
      <c r="J21" s="26"/>
      <c r="K21" s="26"/>
      <c r="L21" s="26"/>
      <c r="M21" s="27"/>
      <c r="N21" s="20"/>
    </row>
    <row r="22" spans="1:14" x14ac:dyDescent="0.2">
      <c r="A22" s="20"/>
      <c r="B22" s="25"/>
      <c r="C22" s="26"/>
      <c r="D22" s="26"/>
      <c r="E22" s="26"/>
      <c r="F22" s="26"/>
      <c r="G22" s="26"/>
      <c r="H22" s="26"/>
      <c r="I22" s="26"/>
      <c r="J22" s="26"/>
      <c r="K22" s="26"/>
      <c r="L22" s="26"/>
      <c r="M22" s="27"/>
      <c r="N22" s="20"/>
    </row>
    <row r="23" spans="1:14" x14ac:dyDescent="0.2">
      <c r="A23" s="20"/>
      <c r="B23" s="25"/>
      <c r="C23" s="26"/>
      <c r="D23" s="26"/>
      <c r="E23" s="26"/>
      <c r="F23" s="26"/>
      <c r="G23" s="26"/>
      <c r="H23" s="26"/>
      <c r="I23" s="26"/>
      <c r="J23" s="26"/>
      <c r="K23" s="26"/>
      <c r="L23" s="26"/>
      <c r="M23" s="27"/>
      <c r="N23" s="20"/>
    </row>
    <row r="24" spans="1:14" x14ac:dyDescent="0.2">
      <c r="A24" s="20"/>
      <c r="B24" s="25"/>
      <c r="C24" s="26"/>
      <c r="D24" s="26"/>
      <c r="E24" s="26"/>
      <c r="F24" s="26"/>
      <c r="G24" s="26"/>
      <c r="H24" s="26"/>
      <c r="I24" s="26"/>
      <c r="J24" s="26"/>
      <c r="K24" s="26"/>
      <c r="L24" s="26"/>
      <c r="M24" s="27"/>
      <c r="N24" s="20"/>
    </row>
    <row r="25" spans="1:14" ht="18.75" customHeight="1" x14ac:dyDescent="0.2">
      <c r="A25" s="20"/>
      <c r="B25" s="25"/>
      <c r="C25" s="26"/>
      <c r="D25" s="26"/>
      <c r="E25" s="26"/>
      <c r="F25" s="26"/>
      <c r="G25" s="26"/>
      <c r="H25" s="26"/>
      <c r="I25" s="26"/>
      <c r="J25" s="26"/>
      <c r="K25" s="26"/>
      <c r="L25" s="26"/>
      <c r="M25" s="27"/>
      <c r="N25" s="20"/>
    </row>
    <row r="26" spans="1:14" ht="18.75" customHeight="1" x14ac:dyDescent="0.2">
      <c r="A26" s="20"/>
      <c r="B26" s="25"/>
      <c r="C26" s="26"/>
      <c r="D26" s="26"/>
      <c r="E26" s="26"/>
      <c r="F26" s="26"/>
      <c r="G26" s="26"/>
      <c r="H26" s="26"/>
      <c r="I26" s="26"/>
      <c r="J26" s="26"/>
      <c r="K26" s="26"/>
      <c r="L26" s="26"/>
      <c r="M26" s="27"/>
      <c r="N26" s="20"/>
    </row>
    <row r="27" spans="1:14" ht="18.75" customHeight="1" x14ac:dyDescent="0.2">
      <c r="A27" s="20"/>
      <c r="B27" s="25"/>
      <c r="C27" s="26"/>
      <c r="D27" s="26"/>
      <c r="E27" s="26"/>
      <c r="F27" s="26"/>
      <c r="G27" s="26"/>
      <c r="H27" s="26"/>
      <c r="I27" s="26"/>
      <c r="J27" s="26"/>
      <c r="K27" s="26"/>
      <c r="L27" s="26"/>
      <c r="M27" s="27"/>
      <c r="N27" s="20"/>
    </row>
    <row r="28" spans="1:14" ht="18.75" customHeight="1" x14ac:dyDescent="0.2">
      <c r="A28" s="20"/>
      <c r="B28" s="25"/>
      <c r="C28" s="26"/>
      <c r="D28" s="26"/>
      <c r="E28" s="26"/>
      <c r="F28" s="26"/>
      <c r="G28" s="26"/>
      <c r="H28" s="26"/>
      <c r="I28" s="26"/>
      <c r="J28" s="26"/>
      <c r="K28" s="26"/>
      <c r="L28" s="26"/>
      <c r="M28" s="27"/>
      <c r="N28" s="20"/>
    </row>
    <row r="29" spans="1:14" ht="18.75" customHeight="1" x14ac:dyDescent="0.2">
      <c r="A29" s="20"/>
      <c r="B29" s="25"/>
      <c r="C29" s="26"/>
      <c r="D29" s="26"/>
      <c r="E29" s="26"/>
      <c r="F29" s="26"/>
      <c r="G29" s="26"/>
      <c r="H29" s="26"/>
      <c r="I29" s="26"/>
      <c r="J29" s="26"/>
      <c r="K29" s="26"/>
      <c r="L29" s="26"/>
      <c r="M29" s="27"/>
      <c r="N29" s="20"/>
    </row>
    <row r="30" spans="1:14" x14ac:dyDescent="0.2">
      <c r="A30" s="20"/>
      <c r="B30" s="25"/>
      <c r="C30" s="26"/>
      <c r="D30" s="26"/>
      <c r="E30" s="26"/>
      <c r="F30" s="26"/>
      <c r="G30" s="26"/>
      <c r="H30" s="26"/>
      <c r="I30" s="26"/>
      <c r="J30" s="26"/>
      <c r="K30" s="26"/>
      <c r="L30" s="26"/>
      <c r="M30" s="27"/>
      <c r="N30" s="20"/>
    </row>
    <row r="31" spans="1:14" x14ac:dyDescent="0.2">
      <c r="A31" s="20"/>
      <c r="B31" s="25"/>
      <c r="C31" s="26"/>
      <c r="D31" s="26"/>
      <c r="E31" s="26"/>
      <c r="F31" s="26"/>
      <c r="G31" s="26"/>
      <c r="H31" s="26"/>
      <c r="I31" s="26"/>
      <c r="J31" s="26"/>
      <c r="K31" s="26"/>
      <c r="L31" s="26"/>
      <c r="M31" s="27"/>
      <c r="N31" s="20"/>
    </row>
    <row r="32" spans="1:14" ht="41.25" customHeight="1" x14ac:dyDescent="0.2">
      <c r="A32" s="20"/>
      <c r="B32" s="38"/>
      <c r="C32" s="39"/>
      <c r="D32" s="39"/>
      <c r="E32" s="39"/>
      <c r="F32" s="39"/>
      <c r="G32" s="39"/>
      <c r="H32" s="39"/>
      <c r="I32" s="39"/>
      <c r="J32" s="39"/>
      <c r="K32" s="39"/>
      <c r="L32" s="39"/>
      <c r="M32" s="40"/>
      <c r="N32" s="20"/>
    </row>
    <row r="33" spans="1:14" x14ac:dyDescent="0.2">
      <c r="A33" s="20"/>
      <c r="B33" s="20"/>
      <c r="C33" s="20"/>
      <c r="D33" s="20"/>
      <c r="E33" s="20"/>
      <c r="F33" s="20"/>
      <c r="G33" s="20"/>
      <c r="H33" s="20"/>
      <c r="I33" s="20"/>
      <c r="J33" s="20"/>
      <c r="K33" s="20"/>
      <c r="L33" s="20"/>
      <c r="M33" s="20"/>
      <c r="N33" s="20"/>
    </row>
    <row r="34" spans="1:14" ht="41.25" customHeight="1" x14ac:dyDescent="0.2">
      <c r="A34" s="20"/>
      <c r="B34" s="22"/>
      <c r="C34" s="23"/>
      <c r="D34" s="23"/>
      <c r="E34" s="23"/>
      <c r="F34" s="23"/>
      <c r="G34" s="23"/>
      <c r="H34" s="23"/>
      <c r="I34" s="23"/>
      <c r="J34" s="23"/>
      <c r="K34" s="23"/>
      <c r="L34" s="23"/>
      <c r="M34" s="24"/>
      <c r="N34" s="20"/>
    </row>
    <row r="35" spans="1:14" x14ac:dyDescent="0.2">
      <c r="A35" s="20"/>
      <c r="B35" s="25"/>
      <c r="C35" s="26"/>
      <c r="D35" s="26"/>
      <c r="E35" s="26"/>
      <c r="F35" s="26"/>
      <c r="G35" s="26"/>
      <c r="H35" s="26"/>
      <c r="I35" s="26"/>
      <c r="J35" s="26"/>
      <c r="K35" s="26"/>
      <c r="L35" s="26"/>
      <c r="M35" s="27"/>
      <c r="N35" s="20"/>
    </row>
    <row r="36" spans="1:14" x14ac:dyDescent="0.2">
      <c r="A36" s="20"/>
      <c r="B36" s="25"/>
      <c r="C36" s="26"/>
      <c r="D36" s="41"/>
      <c r="E36" s="41"/>
      <c r="F36" s="41"/>
      <c r="G36" s="41"/>
      <c r="H36" s="41"/>
      <c r="I36" s="41"/>
      <c r="J36" s="41"/>
      <c r="K36" s="41"/>
      <c r="L36" s="41"/>
      <c r="M36" s="27"/>
      <c r="N36" s="20"/>
    </row>
    <row r="37" spans="1:14" x14ac:dyDescent="0.2">
      <c r="A37" s="20"/>
      <c r="B37" s="25"/>
      <c r="C37" s="26"/>
      <c r="D37" s="41"/>
      <c r="E37" s="41"/>
      <c r="F37" s="41"/>
      <c r="G37" s="41"/>
      <c r="H37" s="41"/>
      <c r="I37" s="41"/>
      <c r="J37" s="41"/>
      <c r="K37" s="41"/>
      <c r="L37" s="41"/>
      <c r="M37" s="27"/>
      <c r="N37" s="20"/>
    </row>
    <row r="38" spans="1:14" x14ac:dyDescent="0.2">
      <c r="A38" s="20"/>
      <c r="B38" s="25"/>
      <c r="C38" s="26"/>
      <c r="D38" s="41"/>
      <c r="E38" s="41"/>
      <c r="F38" s="41"/>
      <c r="G38" s="41"/>
      <c r="H38" s="41"/>
      <c r="I38" s="41"/>
      <c r="J38" s="41"/>
      <c r="K38" s="41"/>
      <c r="L38" s="41"/>
      <c r="M38" s="27"/>
      <c r="N38" s="20"/>
    </row>
    <row r="39" spans="1:14" x14ac:dyDescent="0.2">
      <c r="A39" s="20"/>
      <c r="B39" s="25"/>
      <c r="C39" s="26"/>
      <c r="D39" s="41"/>
      <c r="E39" s="41"/>
      <c r="F39" s="41"/>
      <c r="G39" s="41"/>
      <c r="H39" s="41"/>
      <c r="I39" s="41"/>
      <c r="J39" s="41"/>
      <c r="K39" s="41"/>
      <c r="L39" s="41"/>
      <c r="M39" s="27"/>
      <c r="N39" s="20"/>
    </row>
    <row r="40" spans="1:14" ht="18.75" customHeight="1" x14ac:dyDescent="0.2">
      <c r="A40" s="20"/>
      <c r="B40" s="25"/>
      <c r="C40" s="26"/>
      <c r="D40" s="41"/>
      <c r="E40" s="41"/>
      <c r="F40" s="41"/>
      <c r="G40" s="41"/>
      <c r="H40" s="41"/>
      <c r="I40" s="41"/>
      <c r="J40" s="41"/>
      <c r="K40" s="41"/>
      <c r="L40" s="41"/>
      <c r="M40" s="27"/>
      <c r="N40" s="20"/>
    </row>
    <row r="41" spans="1:14" ht="18.75" customHeight="1" x14ac:dyDescent="0.2">
      <c r="A41" s="20"/>
      <c r="B41" s="25"/>
      <c r="C41" s="26"/>
      <c r="D41" s="41"/>
      <c r="E41" s="41"/>
      <c r="F41" s="41"/>
      <c r="G41" s="41"/>
      <c r="H41" s="41"/>
      <c r="I41" s="41"/>
      <c r="J41" s="41"/>
      <c r="K41" s="41"/>
      <c r="L41" s="41"/>
      <c r="M41" s="27"/>
      <c r="N41" s="20"/>
    </row>
    <row r="42" spans="1:14" ht="18.75" customHeight="1" x14ac:dyDescent="0.2">
      <c r="A42" s="20"/>
      <c r="B42" s="25"/>
      <c r="C42" s="26"/>
      <c r="D42" s="41"/>
      <c r="E42" s="41"/>
      <c r="F42" s="41"/>
      <c r="G42" s="41"/>
      <c r="H42" s="41"/>
      <c r="I42" s="41"/>
      <c r="J42" s="41"/>
      <c r="K42" s="41"/>
      <c r="L42" s="41"/>
      <c r="M42" s="27"/>
      <c r="N42" s="20"/>
    </row>
    <row r="43" spans="1:14" ht="18.75" customHeight="1" x14ac:dyDescent="0.2">
      <c r="A43" s="20"/>
      <c r="B43" s="25"/>
      <c r="C43" s="26"/>
      <c r="D43" s="41"/>
      <c r="E43" s="41"/>
      <c r="F43" s="41"/>
      <c r="G43" s="41"/>
      <c r="H43" s="41"/>
      <c r="I43" s="41"/>
      <c r="J43" s="41"/>
      <c r="K43" s="41"/>
      <c r="L43" s="41"/>
      <c r="M43" s="27"/>
      <c r="N43" s="20"/>
    </row>
    <row r="44" spans="1:14" ht="18.75" customHeight="1" x14ac:dyDescent="0.2">
      <c r="A44" s="20"/>
      <c r="B44" s="25"/>
      <c r="C44" s="26"/>
      <c r="D44" s="41"/>
      <c r="E44" s="41"/>
      <c r="F44" s="41"/>
      <c r="G44" s="41"/>
      <c r="H44" s="41"/>
      <c r="I44" s="41"/>
      <c r="J44" s="41"/>
      <c r="K44" s="41"/>
      <c r="L44" s="41"/>
      <c r="M44" s="27"/>
      <c r="N44" s="20"/>
    </row>
    <row r="45" spans="1:14" ht="18.75" customHeight="1" x14ac:dyDescent="0.2">
      <c r="A45" s="20"/>
      <c r="B45" s="25"/>
      <c r="C45" s="26"/>
      <c r="D45" s="41"/>
      <c r="E45" s="41"/>
      <c r="F45" s="41"/>
      <c r="G45" s="41"/>
      <c r="H45" s="41"/>
      <c r="I45" s="41"/>
      <c r="J45" s="41"/>
      <c r="K45" s="41"/>
      <c r="L45" s="41"/>
      <c r="M45" s="27"/>
      <c r="N45" s="20"/>
    </row>
    <row r="46" spans="1:14" ht="18.75" customHeight="1" x14ac:dyDescent="0.2">
      <c r="A46" s="20"/>
      <c r="B46" s="25"/>
      <c r="C46" s="26"/>
      <c r="D46" s="41"/>
      <c r="E46" s="41"/>
      <c r="F46" s="41"/>
      <c r="G46" s="41"/>
      <c r="H46" s="41"/>
      <c r="I46" s="41"/>
      <c r="J46" s="41"/>
      <c r="K46" s="41"/>
      <c r="L46" s="41"/>
      <c r="M46" s="27"/>
      <c r="N46" s="20"/>
    </row>
    <row r="47" spans="1:14" ht="18.75" customHeight="1" x14ac:dyDescent="0.2">
      <c r="A47" s="20"/>
      <c r="B47" s="25"/>
      <c r="C47" s="26"/>
      <c r="D47" s="41"/>
      <c r="E47" s="41"/>
      <c r="F47" s="41"/>
      <c r="G47" s="41"/>
      <c r="H47" s="41"/>
      <c r="I47" s="41"/>
      <c r="J47" s="41"/>
      <c r="K47" s="41"/>
      <c r="L47" s="41"/>
      <c r="M47" s="27"/>
      <c r="N47" s="20"/>
    </row>
    <row r="48" spans="1:14" ht="18.75" customHeight="1" x14ac:dyDescent="0.2">
      <c r="A48" s="20"/>
      <c r="B48" s="25"/>
      <c r="C48" s="26"/>
      <c r="D48" s="41"/>
      <c r="E48" s="41"/>
      <c r="F48" s="41"/>
      <c r="G48" s="41"/>
      <c r="H48" s="41"/>
      <c r="I48" s="41"/>
      <c r="J48" s="41"/>
      <c r="K48" s="41"/>
      <c r="L48" s="41"/>
      <c r="M48" s="27"/>
      <c r="N48" s="20"/>
    </row>
    <row r="49" spans="1:14" ht="18.75" customHeight="1" x14ac:dyDescent="0.2">
      <c r="A49" s="20"/>
      <c r="B49" s="25"/>
      <c r="C49" s="26"/>
      <c r="D49" s="41"/>
      <c r="E49" s="41"/>
      <c r="F49" s="41"/>
      <c r="G49" s="41"/>
      <c r="H49" s="41"/>
      <c r="I49" s="41"/>
      <c r="J49" s="41"/>
      <c r="K49" s="41"/>
      <c r="L49" s="41"/>
      <c r="M49" s="27"/>
      <c r="N49" s="20"/>
    </row>
    <row r="50" spans="1:14" ht="18.75" customHeight="1" x14ac:dyDescent="0.2">
      <c r="A50" s="20"/>
      <c r="B50" s="25"/>
      <c r="C50" s="26"/>
      <c r="D50" s="41"/>
      <c r="E50" s="41"/>
      <c r="F50" s="41"/>
      <c r="G50" s="41"/>
      <c r="H50" s="41"/>
      <c r="I50" s="41"/>
      <c r="J50" s="41"/>
      <c r="K50" s="41"/>
      <c r="L50" s="41"/>
      <c r="M50" s="27"/>
      <c r="N50" s="20"/>
    </row>
    <row r="51" spans="1:14" x14ac:dyDescent="0.2">
      <c r="A51" s="20"/>
      <c r="B51" s="25"/>
      <c r="C51" s="26"/>
      <c r="D51" s="41"/>
      <c r="E51" s="41"/>
      <c r="F51" s="41"/>
      <c r="G51" s="41"/>
      <c r="H51" s="41"/>
      <c r="I51" s="41"/>
      <c r="J51" s="41"/>
      <c r="K51" s="41"/>
      <c r="L51" s="41"/>
      <c r="M51" s="27"/>
      <c r="N51" s="20"/>
    </row>
    <row r="52" spans="1:14" x14ac:dyDescent="0.2">
      <c r="A52" s="20"/>
      <c r="B52" s="25"/>
      <c r="C52" s="26"/>
      <c r="D52" s="41"/>
      <c r="E52" s="41"/>
      <c r="F52" s="41"/>
      <c r="G52" s="41"/>
      <c r="H52" s="41"/>
      <c r="I52" s="41"/>
      <c r="J52" s="41"/>
      <c r="K52" s="41"/>
      <c r="L52" s="41"/>
      <c r="M52" s="27"/>
      <c r="N52" s="20"/>
    </row>
    <row r="53" spans="1:14" x14ac:dyDescent="0.2">
      <c r="A53" s="20"/>
      <c r="B53" s="25"/>
      <c r="C53" s="26"/>
      <c r="D53" s="41"/>
      <c r="E53" s="41"/>
      <c r="F53" s="41"/>
      <c r="G53" s="41"/>
      <c r="H53" s="41"/>
      <c r="I53" s="41"/>
      <c r="J53" s="41"/>
      <c r="K53" s="41"/>
      <c r="L53" s="41"/>
      <c r="M53" s="27"/>
      <c r="N53" s="20"/>
    </row>
    <row r="54" spans="1:14" x14ac:dyDescent="0.2">
      <c r="A54" s="20"/>
      <c r="B54" s="25"/>
      <c r="C54" s="26"/>
      <c r="D54" s="41"/>
      <c r="E54" s="41"/>
      <c r="F54" s="41"/>
      <c r="G54" s="41"/>
      <c r="H54" s="41"/>
      <c r="I54" s="41"/>
      <c r="J54" s="41"/>
      <c r="K54" s="41"/>
      <c r="L54" s="41"/>
      <c r="M54" s="27"/>
      <c r="N54" s="20"/>
    </row>
    <row r="55" spans="1:14" x14ac:dyDescent="0.2">
      <c r="A55" s="20"/>
      <c r="B55" s="25"/>
      <c r="C55" s="26"/>
      <c r="D55" s="41"/>
      <c r="E55" s="41"/>
      <c r="F55" s="41"/>
      <c r="G55" s="41"/>
      <c r="H55" s="41"/>
      <c r="I55" s="41"/>
      <c r="J55" s="41"/>
      <c r="K55" s="41"/>
      <c r="L55" s="41"/>
      <c r="M55" s="27"/>
      <c r="N55" s="20"/>
    </row>
    <row r="56" spans="1:14" ht="18.75" customHeight="1" x14ac:dyDescent="0.2">
      <c r="A56" s="20"/>
      <c r="B56" s="25"/>
      <c r="C56" s="26"/>
      <c r="D56" s="41"/>
      <c r="E56" s="41"/>
      <c r="F56" s="41"/>
      <c r="G56" s="41"/>
      <c r="H56" s="41"/>
      <c r="I56" s="41"/>
      <c r="J56" s="41"/>
      <c r="K56" s="41"/>
      <c r="L56" s="41"/>
      <c r="M56" s="27"/>
      <c r="N56" s="20"/>
    </row>
    <row r="57" spans="1:14" ht="18.75" customHeight="1" x14ac:dyDescent="0.2">
      <c r="A57" s="20"/>
      <c r="B57" s="25"/>
      <c r="C57" s="26"/>
      <c r="D57" s="41"/>
      <c r="E57" s="41"/>
      <c r="F57" s="41"/>
      <c r="G57" s="41"/>
      <c r="H57" s="41"/>
      <c r="I57" s="41"/>
      <c r="J57" s="41"/>
      <c r="K57" s="41"/>
      <c r="L57" s="41"/>
      <c r="M57" s="27"/>
      <c r="N57" s="20"/>
    </row>
    <row r="58" spans="1:14" ht="18.75" customHeight="1" x14ac:dyDescent="0.2">
      <c r="A58" s="20"/>
      <c r="B58" s="25"/>
      <c r="C58" s="26"/>
      <c r="D58" s="41"/>
      <c r="E58" s="41"/>
      <c r="F58" s="41"/>
      <c r="G58" s="41"/>
      <c r="H58" s="41"/>
      <c r="I58" s="41"/>
      <c r="J58" s="41"/>
      <c r="K58" s="41"/>
      <c r="L58" s="41"/>
      <c r="M58" s="27"/>
      <c r="N58" s="20"/>
    </row>
    <row r="59" spans="1:14" ht="18.75" customHeight="1" x14ac:dyDescent="0.2">
      <c r="A59" s="20"/>
      <c r="B59" s="25"/>
      <c r="C59" s="26"/>
      <c r="D59" s="41"/>
      <c r="E59" s="41"/>
      <c r="F59" s="41"/>
      <c r="G59" s="41"/>
      <c r="H59" s="41"/>
      <c r="I59" s="41"/>
      <c r="J59" s="41"/>
      <c r="K59" s="41"/>
      <c r="L59" s="41"/>
      <c r="M59" s="27"/>
      <c r="N59" s="20"/>
    </row>
    <row r="60" spans="1:14" ht="18.75" customHeight="1" x14ac:dyDescent="0.2">
      <c r="A60" s="20"/>
      <c r="B60" s="25"/>
      <c r="C60" s="26"/>
      <c r="D60" s="41"/>
      <c r="E60" s="41"/>
      <c r="F60" s="41"/>
      <c r="G60" s="41"/>
      <c r="H60" s="41"/>
      <c r="I60" s="41"/>
      <c r="J60" s="41"/>
      <c r="K60" s="41"/>
      <c r="L60" s="41"/>
      <c r="M60" s="27"/>
      <c r="N60" s="20"/>
    </row>
    <row r="61" spans="1:14" x14ac:dyDescent="0.2">
      <c r="A61" s="20"/>
      <c r="B61" s="25"/>
      <c r="C61" s="26"/>
      <c r="D61" s="41"/>
      <c r="E61" s="41"/>
      <c r="F61" s="41"/>
      <c r="G61" s="41"/>
      <c r="H61" s="41"/>
      <c r="I61" s="41"/>
      <c r="J61" s="41"/>
      <c r="K61" s="41"/>
      <c r="L61" s="41"/>
      <c r="M61" s="27"/>
      <c r="N61" s="20"/>
    </row>
    <row r="62" spans="1:14" x14ac:dyDescent="0.2">
      <c r="A62" s="20"/>
      <c r="B62" s="25"/>
      <c r="C62" s="26"/>
      <c r="D62" s="26"/>
      <c r="E62" s="26"/>
      <c r="F62" s="26"/>
      <c r="G62" s="26"/>
      <c r="H62" s="26"/>
      <c r="I62" s="26"/>
      <c r="J62" s="26"/>
      <c r="K62" s="26"/>
      <c r="L62" s="26"/>
      <c r="M62" s="27"/>
      <c r="N62" s="20"/>
    </row>
    <row r="63" spans="1:14" ht="41.25" customHeight="1" x14ac:dyDescent="0.2">
      <c r="A63" s="20"/>
      <c r="B63" s="38"/>
      <c r="C63" s="39"/>
      <c r="D63" s="39"/>
      <c r="E63" s="39"/>
      <c r="F63" s="39"/>
      <c r="G63" s="39"/>
      <c r="H63" s="39"/>
      <c r="I63" s="39"/>
      <c r="J63" s="39"/>
      <c r="K63" s="39"/>
      <c r="L63" s="39"/>
      <c r="M63" s="40"/>
      <c r="N63" s="20"/>
    </row>
    <row r="64" spans="1:14" x14ac:dyDescent="0.2">
      <c r="A64" s="20"/>
      <c r="B64" s="20"/>
      <c r="C64" s="20"/>
      <c r="D64" s="20"/>
      <c r="E64" s="20"/>
      <c r="F64" s="20"/>
      <c r="G64" s="20"/>
      <c r="H64" s="20"/>
      <c r="I64" s="20"/>
      <c r="J64" s="20"/>
      <c r="K64" s="20"/>
      <c r="L64" s="20"/>
      <c r="M64" s="20"/>
      <c r="N64" s="20"/>
    </row>
    <row r="65" spans="1:14" ht="41.25" customHeight="1" x14ac:dyDescent="0.2">
      <c r="A65" s="20"/>
      <c r="B65" s="22"/>
      <c r="C65" s="23"/>
      <c r="D65" s="23"/>
      <c r="E65" s="23"/>
      <c r="F65" s="23"/>
      <c r="G65" s="23"/>
      <c r="H65" s="23"/>
      <c r="I65" s="23"/>
      <c r="J65" s="23"/>
      <c r="K65" s="23"/>
      <c r="L65" s="23"/>
      <c r="M65" s="24"/>
      <c r="N65" s="20"/>
    </row>
    <row r="66" spans="1:14" x14ac:dyDescent="0.2">
      <c r="A66" s="20"/>
      <c r="B66" s="25"/>
      <c r="C66" s="26"/>
      <c r="D66" s="26"/>
      <c r="E66" s="26"/>
      <c r="F66" s="26"/>
      <c r="G66" s="26"/>
      <c r="H66" s="26"/>
      <c r="I66" s="26"/>
      <c r="J66" s="26"/>
      <c r="K66" s="26"/>
      <c r="L66" s="26"/>
      <c r="M66" s="27"/>
      <c r="N66" s="20"/>
    </row>
    <row r="67" spans="1:14" x14ac:dyDescent="0.2">
      <c r="A67" s="20"/>
      <c r="B67" s="25"/>
      <c r="C67" s="26"/>
      <c r="D67" s="41"/>
      <c r="E67" s="41"/>
      <c r="F67" s="41"/>
      <c r="G67" s="41"/>
      <c r="H67" s="41"/>
      <c r="I67" s="41"/>
      <c r="J67" s="41"/>
      <c r="K67" s="41"/>
      <c r="L67" s="41"/>
      <c r="M67" s="27"/>
      <c r="N67" s="20"/>
    </row>
    <row r="68" spans="1:14" x14ac:dyDescent="0.2">
      <c r="A68" s="20"/>
      <c r="B68" s="25"/>
      <c r="C68" s="26"/>
      <c r="D68" s="41"/>
      <c r="E68" s="41"/>
      <c r="F68" s="41"/>
      <c r="G68" s="41"/>
      <c r="H68" s="41"/>
      <c r="I68" s="41"/>
      <c r="J68" s="41"/>
      <c r="K68" s="41"/>
      <c r="L68" s="41"/>
      <c r="M68" s="27"/>
      <c r="N68" s="20"/>
    </row>
    <row r="69" spans="1:14" x14ac:dyDescent="0.2">
      <c r="A69" s="20"/>
      <c r="B69" s="25"/>
      <c r="C69" s="26"/>
      <c r="D69" s="41"/>
      <c r="E69" s="41"/>
      <c r="F69" s="41"/>
      <c r="G69" s="41"/>
      <c r="H69" s="41"/>
      <c r="I69" s="41"/>
      <c r="J69" s="41"/>
      <c r="K69" s="41"/>
      <c r="L69" s="41"/>
      <c r="M69" s="27"/>
      <c r="N69" s="20"/>
    </row>
    <row r="70" spans="1:14" x14ac:dyDescent="0.2">
      <c r="A70" s="20"/>
      <c r="B70" s="25"/>
      <c r="C70" s="26"/>
      <c r="D70" s="41"/>
      <c r="E70" s="41"/>
      <c r="F70" s="41"/>
      <c r="G70" s="41"/>
      <c r="H70" s="41"/>
      <c r="I70" s="41"/>
      <c r="J70" s="41"/>
      <c r="K70" s="41"/>
      <c r="L70" s="41"/>
      <c r="M70" s="27"/>
      <c r="N70" s="20"/>
    </row>
    <row r="71" spans="1:14" ht="18.75" customHeight="1" x14ac:dyDescent="0.2">
      <c r="A71" s="20"/>
      <c r="B71" s="25"/>
      <c r="C71" s="26"/>
      <c r="D71" s="41"/>
      <c r="E71" s="41"/>
      <c r="F71" s="41"/>
      <c r="G71" s="41"/>
      <c r="H71" s="41"/>
      <c r="I71" s="41"/>
      <c r="J71" s="41"/>
      <c r="K71" s="41"/>
      <c r="L71" s="41"/>
      <c r="M71" s="27"/>
      <c r="N71" s="20"/>
    </row>
    <row r="72" spans="1:14" ht="18.75" customHeight="1" x14ac:dyDescent="0.2">
      <c r="A72" s="20"/>
      <c r="B72" s="25"/>
      <c r="C72" s="26"/>
      <c r="D72" s="41"/>
      <c r="E72" s="41"/>
      <c r="F72" s="41"/>
      <c r="G72" s="41"/>
      <c r="H72" s="41"/>
      <c r="I72" s="41"/>
      <c r="J72" s="41"/>
      <c r="K72" s="41"/>
      <c r="L72" s="41"/>
      <c r="M72" s="27"/>
      <c r="N72" s="20"/>
    </row>
    <row r="73" spans="1:14" ht="18.75" customHeight="1" x14ac:dyDescent="0.2">
      <c r="A73" s="20"/>
      <c r="B73" s="25"/>
      <c r="C73" s="26"/>
      <c r="D73" s="41"/>
      <c r="E73" s="41"/>
      <c r="F73" s="41"/>
      <c r="G73" s="41"/>
      <c r="H73" s="41"/>
      <c r="I73" s="41"/>
      <c r="J73" s="41"/>
      <c r="K73" s="41"/>
      <c r="L73" s="41"/>
      <c r="M73" s="27"/>
      <c r="N73" s="20"/>
    </row>
    <row r="74" spans="1:14" ht="18.75" customHeight="1" x14ac:dyDescent="0.2">
      <c r="A74" s="20"/>
      <c r="B74" s="25"/>
      <c r="C74" s="26"/>
      <c r="D74" s="41"/>
      <c r="E74" s="41"/>
      <c r="F74" s="41"/>
      <c r="G74" s="41"/>
      <c r="H74" s="41"/>
      <c r="I74" s="41"/>
      <c r="J74" s="41"/>
      <c r="K74" s="41"/>
      <c r="L74" s="41"/>
      <c r="M74" s="27"/>
      <c r="N74" s="20"/>
    </row>
    <row r="75" spans="1:14" ht="18.75" customHeight="1" x14ac:dyDescent="0.2">
      <c r="A75" s="20"/>
      <c r="B75" s="25"/>
      <c r="C75" s="26"/>
      <c r="D75" s="41"/>
      <c r="E75" s="41"/>
      <c r="F75" s="41"/>
      <c r="G75" s="41"/>
      <c r="H75" s="41"/>
      <c r="I75" s="41"/>
      <c r="J75" s="41"/>
      <c r="K75" s="41"/>
      <c r="L75" s="41"/>
      <c r="M75" s="27"/>
      <c r="N75" s="20"/>
    </row>
    <row r="76" spans="1:14" ht="18.75" customHeight="1" x14ac:dyDescent="0.2">
      <c r="A76" s="20"/>
      <c r="B76" s="25"/>
      <c r="C76" s="26"/>
      <c r="D76" s="41"/>
      <c r="E76" s="41"/>
      <c r="F76" s="41"/>
      <c r="G76" s="41"/>
      <c r="H76" s="41"/>
      <c r="I76" s="41"/>
      <c r="J76" s="41"/>
      <c r="K76" s="41"/>
      <c r="L76" s="41"/>
      <c r="M76" s="27"/>
      <c r="N76" s="20"/>
    </row>
    <row r="77" spans="1:14" ht="18.75" customHeight="1" x14ac:dyDescent="0.2">
      <c r="A77" s="20"/>
      <c r="B77" s="25"/>
      <c r="C77" s="26"/>
      <c r="D77" s="41"/>
      <c r="E77" s="41"/>
      <c r="F77" s="41"/>
      <c r="G77" s="41"/>
      <c r="H77" s="41"/>
      <c r="I77" s="41"/>
      <c r="J77" s="41"/>
      <c r="K77" s="41"/>
      <c r="L77" s="41"/>
      <c r="M77" s="27"/>
      <c r="N77" s="20"/>
    </row>
    <row r="78" spans="1:14" ht="18.75" customHeight="1" x14ac:dyDescent="0.2">
      <c r="A78" s="20"/>
      <c r="B78" s="25"/>
      <c r="C78" s="26"/>
      <c r="D78" s="41"/>
      <c r="E78" s="41"/>
      <c r="F78" s="41"/>
      <c r="G78" s="41"/>
      <c r="H78" s="41"/>
      <c r="I78" s="41"/>
      <c r="J78" s="41"/>
      <c r="K78" s="41"/>
      <c r="L78" s="41"/>
      <c r="M78" s="27"/>
      <c r="N78" s="20"/>
    </row>
    <row r="79" spans="1:14" ht="18.75" customHeight="1" x14ac:dyDescent="0.2">
      <c r="A79" s="20"/>
      <c r="B79" s="25"/>
      <c r="C79" s="26"/>
      <c r="D79" s="41"/>
      <c r="E79" s="41"/>
      <c r="F79" s="41"/>
      <c r="G79" s="41"/>
      <c r="H79" s="41"/>
      <c r="I79" s="41"/>
      <c r="J79" s="41"/>
      <c r="K79" s="41"/>
      <c r="L79" s="41"/>
      <c r="M79" s="27"/>
      <c r="N79" s="20"/>
    </row>
    <row r="80" spans="1:14" ht="18.75" customHeight="1" x14ac:dyDescent="0.2">
      <c r="A80" s="20"/>
      <c r="B80" s="25"/>
      <c r="C80" s="26"/>
      <c r="D80" s="41"/>
      <c r="E80" s="41"/>
      <c r="F80" s="41"/>
      <c r="G80" s="41"/>
      <c r="H80" s="41"/>
      <c r="I80" s="41"/>
      <c r="J80" s="41"/>
      <c r="K80" s="41"/>
      <c r="L80" s="41"/>
      <c r="M80" s="27"/>
      <c r="N80" s="20"/>
    </row>
    <row r="81" spans="1:14" ht="18.75" customHeight="1" x14ac:dyDescent="0.2">
      <c r="A81" s="20"/>
      <c r="B81" s="25"/>
      <c r="C81" s="26"/>
      <c r="D81" s="41"/>
      <c r="E81" s="41"/>
      <c r="F81" s="41"/>
      <c r="G81" s="41"/>
      <c r="H81" s="41"/>
      <c r="I81" s="41"/>
      <c r="J81" s="41"/>
      <c r="K81" s="41"/>
      <c r="L81" s="41"/>
      <c r="M81" s="27"/>
      <c r="N81" s="20"/>
    </row>
    <row r="82" spans="1:14" x14ac:dyDescent="0.2">
      <c r="A82" s="20"/>
      <c r="B82" s="25"/>
      <c r="C82" s="26"/>
      <c r="D82" s="41"/>
      <c r="E82" s="41"/>
      <c r="F82" s="41"/>
      <c r="G82" s="41"/>
      <c r="H82" s="41"/>
      <c r="I82" s="41"/>
      <c r="J82" s="41"/>
      <c r="K82" s="41"/>
      <c r="L82" s="41"/>
      <c r="M82" s="27"/>
      <c r="N82" s="20"/>
    </row>
    <row r="83" spans="1:14" x14ac:dyDescent="0.2">
      <c r="A83" s="20"/>
      <c r="B83" s="25"/>
      <c r="C83" s="26"/>
      <c r="D83" s="41"/>
      <c r="E83" s="41"/>
      <c r="F83" s="41"/>
      <c r="G83" s="41"/>
      <c r="H83" s="41"/>
      <c r="I83" s="41"/>
      <c r="J83" s="41"/>
      <c r="K83" s="41"/>
      <c r="L83" s="41"/>
      <c r="M83" s="27"/>
      <c r="N83" s="20"/>
    </row>
    <row r="84" spans="1:14" x14ac:dyDescent="0.2">
      <c r="A84" s="20"/>
      <c r="B84" s="25"/>
      <c r="C84" s="26"/>
      <c r="D84" s="41"/>
      <c r="E84" s="41"/>
      <c r="F84" s="41"/>
      <c r="G84" s="41"/>
      <c r="H84" s="41"/>
      <c r="I84" s="41"/>
      <c r="J84" s="41"/>
      <c r="K84" s="41"/>
      <c r="L84" s="41"/>
      <c r="M84" s="27"/>
      <c r="N84" s="20"/>
    </row>
    <row r="85" spans="1:14" x14ac:dyDescent="0.2">
      <c r="A85" s="20"/>
      <c r="B85" s="25"/>
      <c r="C85" s="26"/>
      <c r="D85" s="41"/>
      <c r="E85" s="41"/>
      <c r="F85" s="41"/>
      <c r="G85" s="41"/>
      <c r="H85" s="41"/>
      <c r="I85" s="41"/>
      <c r="J85" s="41"/>
      <c r="K85" s="41"/>
      <c r="L85" s="41"/>
      <c r="M85" s="27"/>
      <c r="N85" s="20"/>
    </row>
    <row r="86" spans="1:14" x14ac:dyDescent="0.2">
      <c r="A86" s="20"/>
      <c r="B86" s="25"/>
      <c r="C86" s="26"/>
      <c r="D86" s="41"/>
      <c r="E86" s="41"/>
      <c r="F86" s="41"/>
      <c r="G86" s="41"/>
      <c r="H86" s="41"/>
      <c r="I86" s="41"/>
      <c r="J86" s="41"/>
      <c r="K86" s="41"/>
      <c r="L86" s="41"/>
      <c r="M86" s="27"/>
      <c r="N86" s="20"/>
    </row>
    <row r="87" spans="1:14" ht="18.75" customHeight="1" x14ac:dyDescent="0.2">
      <c r="A87" s="20"/>
      <c r="B87" s="25"/>
      <c r="C87" s="26"/>
      <c r="D87" s="41"/>
      <c r="E87" s="41"/>
      <c r="F87" s="41"/>
      <c r="G87" s="41"/>
      <c r="H87" s="41"/>
      <c r="I87" s="41"/>
      <c r="J87" s="41"/>
      <c r="K87" s="41"/>
      <c r="L87" s="41"/>
      <c r="M87" s="27"/>
      <c r="N87" s="20"/>
    </row>
    <row r="88" spans="1:14" ht="18.75" customHeight="1" x14ac:dyDescent="0.2">
      <c r="A88" s="20"/>
      <c r="B88" s="25"/>
      <c r="C88" s="26"/>
      <c r="D88" s="41"/>
      <c r="E88" s="41"/>
      <c r="F88" s="41"/>
      <c r="G88" s="41"/>
      <c r="H88" s="41"/>
      <c r="I88" s="41"/>
      <c r="J88" s="41"/>
      <c r="K88" s="41"/>
      <c r="L88" s="41"/>
      <c r="M88" s="27"/>
      <c r="N88" s="20"/>
    </row>
    <row r="89" spans="1:14" ht="18.75" customHeight="1" x14ac:dyDescent="0.2">
      <c r="A89" s="20"/>
      <c r="B89" s="25"/>
      <c r="C89" s="26"/>
      <c r="D89" s="41"/>
      <c r="E89" s="41"/>
      <c r="F89" s="41"/>
      <c r="G89" s="41"/>
      <c r="H89" s="41"/>
      <c r="I89" s="41"/>
      <c r="J89" s="41"/>
      <c r="K89" s="41"/>
      <c r="L89" s="41"/>
      <c r="M89" s="27"/>
      <c r="N89" s="20"/>
    </row>
    <row r="90" spans="1:14" ht="18.75" customHeight="1" x14ac:dyDescent="0.2">
      <c r="A90" s="20"/>
      <c r="B90" s="25"/>
      <c r="C90" s="26"/>
      <c r="D90" s="41"/>
      <c r="E90" s="41"/>
      <c r="F90" s="41"/>
      <c r="G90" s="41"/>
      <c r="H90" s="41"/>
      <c r="I90" s="41"/>
      <c r="J90" s="41"/>
      <c r="K90" s="41"/>
      <c r="L90" s="41"/>
      <c r="M90" s="27"/>
      <c r="N90" s="20"/>
    </row>
    <row r="91" spans="1:14" ht="18.75" customHeight="1" x14ac:dyDescent="0.2">
      <c r="A91" s="20"/>
      <c r="B91" s="25"/>
      <c r="C91" s="26"/>
      <c r="D91" s="41"/>
      <c r="E91" s="41"/>
      <c r="F91" s="41"/>
      <c r="G91" s="41"/>
      <c r="H91" s="41"/>
      <c r="I91" s="41"/>
      <c r="J91" s="41"/>
      <c r="K91" s="41"/>
      <c r="L91" s="41"/>
      <c r="M91" s="27"/>
      <c r="N91" s="20"/>
    </row>
    <row r="92" spans="1:14" x14ac:dyDescent="0.2">
      <c r="A92" s="20"/>
      <c r="B92" s="25"/>
      <c r="C92" s="26"/>
      <c r="D92" s="41"/>
      <c r="E92" s="41"/>
      <c r="F92" s="41"/>
      <c r="G92" s="41"/>
      <c r="H92" s="41"/>
      <c r="I92" s="41"/>
      <c r="J92" s="41"/>
      <c r="K92" s="41"/>
      <c r="L92" s="41"/>
      <c r="M92" s="27"/>
      <c r="N92" s="20"/>
    </row>
    <row r="93" spans="1:14" x14ac:dyDescent="0.2">
      <c r="A93" s="20"/>
      <c r="B93" s="25"/>
      <c r="C93" s="26"/>
      <c r="D93" s="26"/>
      <c r="E93" s="26"/>
      <c r="F93" s="26"/>
      <c r="G93" s="26"/>
      <c r="H93" s="26"/>
      <c r="I93" s="26"/>
      <c r="J93" s="26"/>
      <c r="K93" s="26"/>
      <c r="L93" s="26"/>
      <c r="M93" s="27"/>
      <c r="N93" s="20"/>
    </row>
    <row r="94" spans="1:14" ht="41.25" customHeight="1" x14ac:dyDescent="0.2">
      <c r="A94" s="20"/>
      <c r="B94" s="38"/>
      <c r="C94" s="39"/>
      <c r="D94" s="39"/>
      <c r="E94" s="39"/>
      <c r="F94" s="39"/>
      <c r="G94" s="39"/>
      <c r="H94" s="39"/>
      <c r="I94" s="39"/>
      <c r="J94" s="39"/>
      <c r="K94" s="39"/>
      <c r="L94" s="39"/>
      <c r="M94" s="40"/>
      <c r="N94" s="20"/>
    </row>
    <row r="95" spans="1:14" x14ac:dyDescent="0.2">
      <c r="A95" s="20"/>
      <c r="B95" s="20"/>
      <c r="C95" s="20"/>
      <c r="D95" s="20"/>
      <c r="E95" s="20"/>
      <c r="F95" s="20"/>
      <c r="G95" s="20"/>
      <c r="H95" s="20"/>
      <c r="I95" s="20"/>
      <c r="J95" s="20"/>
      <c r="K95" s="20"/>
      <c r="L95" s="20"/>
      <c r="M95" s="20"/>
      <c r="N95" s="20"/>
    </row>
  </sheetData>
  <mergeCells count="1">
    <mergeCell ref="D3:E3"/>
  </mergeCells>
  <phoneticPr fontId="2"/>
  <conditionalFormatting sqref="G7:G8">
    <cfRule type="dataBar" priority="4">
      <dataBar>
        <cfvo type="num" val="0"/>
        <cfvo type="num" val="1.2"/>
        <color rgb="FFFF555A"/>
      </dataBar>
      <extLst>
        <ext xmlns:x14="http://schemas.microsoft.com/office/spreadsheetml/2009/9/main" uri="{B025F937-C7B1-47D3-B67F-A62EFF666E3E}">
          <x14:id>{5CE02ECB-DE27-43A9-9BB9-ED9A5607A4D1}</x14:id>
        </ext>
      </extLst>
    </cfRule>
  </conditionalFormatting>
  <conditionalFormatting sqref="G13">
    <cfRule type="dataBar" priority="1">
      <dataBar>
        <cfvo type="num" val="0"/>
        <cfvo type="num" val="1.2"/>
        <color rgb="FFFF555A"/>
      </dataBar>
      <extLst>
        <ext xmlns:x14="http://schemas.microsoft.com/office/spreadsheetml/2009/9/main" uri="{B025F937-C7B1-47D3-B67F-A62EFF666E3E}">
          <x14:id>{7D56AAE0-E983-4622-9120-9D25B116FEF3}</x14:id>
        </ext>
      </extLst>
    </cfRule>
  </conditionalFormatting>
  <conditionalFormatting sqref="G14:G16">
    <cfRule type="dataBar" priority="3">
      <dataBar>
        <cfvo type="num" val="0"/>
        <cfvo type="num" val="1.2"/>
        <color rgb="FFFF555A"/>
      </dataBar>
      <extLst>
        <ext xmlns:x14="http://schemas.microsoft.com/office/spreadsheetml/2009/9/main" uri="{B025F937-C7B1-47D3-B67F-A62EFF666E3E}">
          <x14:id>{09FA4A61-294B-4571-9E9A-E88D5CCE220D}</x14:id>
        </ext>
      </extLst>
    </cfRule>
  </conditionalFormatting>
  <conditionalFormatting sqref="G17">
    <cfRule type="dataBar" priority="2">
      <dataBar>
        <cfvo type="num" val="0"/>
        <cfvo type="num" val="1.2"/>
        <color rgb="FFFF555A"/>
      </dataBar>
      <extLst>
        <ext xmlns:x14="http://schemas.microsoft.com/office/spreadsheetml/2009/9/main" uri="{B025F937-C7B1-47D3-B67F-A62EFF666E3E}">
          <x14:id>{009AA5F4-00AB-4505-A2E3-62E82FA68A9B}</x14:id>
        </ext>
      </extLst>
    </cfRule>
  </conditionalFormatting>
  <printOptions horizontalCentered="1"/>
  <pageMargins left="0.51181102362204722" right="0.51181102362204722" top="0.74803149606299213" bottom="0.74803149606299213" header="0.31496062992125984" footer="0.31496062992125984"/>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5CE02ECB-DE27-43A9-9BB9-ED9A5607A4D1}">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G7:G8</xm:sqref>
        </x14:conditionalFormatting>
        <x14:conditionalFormatting xmlns:xm="http://schemas.microsoft.com/office/excel/2006/main">
          <x14:cfRule type="dataBar" id="{7D56AAE0-E983-4622-9120-9D25B116FEF3}">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G13</xm:sqref>
        </x14:conditionalFormatting>
        <x14:conditionalFormatting xmlns:xm="http://schemas.microsoft.com/office/excel/2006/main">
          <x14:cfRule type="dataBar" id="{09FA4A61-294B-4571-9E9A-E88D5CCE220D}">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G14:G16</xm:sqref>
        </x14:conditionalFormatting>
        <x14:conditionalFormatting xmlns:xm="http://schemas.microsoft.com/office/excel/2006/main">
          <x14:cfRule type="dataBar" id="{009AA5F4-00AB-4505-A2E3-62E82FA68A9B}">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G17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フォームの回答</vt:lpstr>
      <vt:lpstr>Sheet1</vt:lpstr>
      <vt:lpstr>pv</vt:lpstr>
      <vt:lpstr>見せ方を変えたの</vt:lpstr>
      <vt:lpstr>見せ方を変えたの!Print_Area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德田 隆義</dc:creator>
  <cp:lastModifiedBy>法文 佐藤</cp:lastModifiedBy>
  <cp:lastPrinted>2025-01-20T09:26:59Z</cp:lastPrinted>
  <dcterms:modified xsi:type="dcterms:W3CDTF">2026-01-20T07:31:25Z</dcterms:modified>
</cp:coreProperties>
</file>