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boe01\share\德田隆義の作業用フォルダ\■フレホリ分析報告用の素材\"/>
    </mc:Choice>
  </mc:AlternateContent>
  <bookViews>
    <workbookView xWindow="0" yWindow="0" windowWidth="20490" windowHeight="7530" tabRatio="373" activeTab="2"/>
  </bookViews>
  <sheets>
    <sheet name="フォームの回答" sheetId="1" r:id="rId1"/>
    <sheet name="Sheet1" sheetId="2" r:id="rId2"/>
    <sheet name="整えたの" sheetId="3" r:id="rId3"/>
  </sheets>
  <definedNames>
    <definedName name="_xlnm.Print_Area" localSheetId="2">整えたの!$C$3:$L$29,整えたの!$C$33:$L$61,整えたの!$C$65:$L$92,整えたの!$C$96:$L$123,整えたの!$C$127:$L$154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7" i="3" l="1"/>
  <c r="G78" i="3"/>
  <c r="G79" i="3"/>
  <c r="G80" i="3"/>
  <c r="G81" i="3"/>
  <c r="G82" i="3"/>
  <c r="R970" i="1"/>
  <c r="R971" i="1"/>
  <c r="R567" i="1"/>
  <c r="R15" i="1"/>
  <c r="R808" i="1"/>
  <c r="R863" i="1"/>
  <c r="R997" i="1"/>
  <c r="R880" i="1"/>
  <c r="R1041" i="1"/>
  <c r="R289" i="1"/>
  <c r="R802" i="1"/>
  <c r="R11" i="1"/>
  <c r="R234" i="1"/>
  <c r="R792" i="1"/>
  <c r="R801" i="1"/>
  <c r="R538" i="1"/>
  <c r="R640" i="1"/>
  <c r="R877" i="1"/>
  <c r="R556" i="1"/>
  <c r="R368" i="1"/>
  <c r="R31" i="1"/>
  <c r="R181" i="1"/>
  <c r="R482" i="1"/>
  <c r="R535" i="1"/>
  <c r="R20" i="1"/>
  <c r="R215" i="1"/>
  <c r="R920" i="1"/>
  <c r="R202" i="1"/>
  <c r="R209" i="1"/>
  <c r="R786" i="1"/>
  <c r="R620" i="1"/>
  <c r="R935" i="1"/>
  <c r="R604" i="1"/>
  <c r="R693" i="1"/>
  <c r="R505" i="1"/>
  <c r="R933" i="1"/>
  <c r="R911" i="1"/>
  <c r="R891" i="1"/>
  <c r="R1025" i="1"/>
  <c r="R23" i="1"/>
  <c r="R782" i="1"/>
  <c r="R3" i="1"/>
  <c r="R481" i="1"/>
  <c r="R489" i="1"/>
  <c r="R48" i="1"/>
  <c r="R50" i="1"/>
  <c r="R1059" i="1"/>
  <c r="R52" i="1"/>
  <c r="R56" i="1"/>
  <c r="R59" i="1"/>
  <c r="R61" i="1"/>
  <c r="R501" i="1"/>
  <c r="R468" i="1"/>
  <c r="R67" i="1"/>
  <c r="R503" i="1"/>
  <c r="R71" i="1"/>
  <c r="R506" i="1"/>
  <c r="R1053" i="1"/>
  <c r="R509" i="1"/>
  <c r="R467" i="1"/>
  <c r="R890" i="1"/>
  <c r="R514" i="1"/>
  <c r="R515" i="1"/>
  <c r="R83" i="1"/>
  <c r="R516" i="1"/>
  <c r="R517" i="1"/>
  <c r="R966" i="1"/>
  <c r="R851" i="1"/>
  <c r="R870" i="1"/>
  <c r="R785" i="1"/>
  <c r="R96" i="1"/>
  <c r="R97" i="1"/>
  <c r="R1048" i="1"/>
  <c r="R972" i="1"/>
  <c r="R539" i="1"/>
  <c r="R115" i="1"/>
  <c r="R541" i="1"/>
  <c r="R545" i="1"/>
  <c r="R125" i="1"/>
  <c r="R546" i="1"/>
  <c r="R127" i="1"/>
  <c r="R128" i="1"/>
  <c r="R823" i="1"/>
  <c r="R772" i="1"/>
  <c r="R788" i="1"/>
  <c r="R139" i="1"/>
  <c r="R887" i="1"/>
  <c r="R564" i="1"/>
  <c r="R885" i="1"/>
  <c r="R830" i="1"/>
  <c r="R150" i="1"/>
  <c r="R571" i="1"/>
  <c r="R164" i="1"/>
  <c r="R168" i="1"/>
  <c r="R169" i="1"/>
  <c r="R170" i="1"/>
  <c r="R577" i="1"/>
  <c r="R578" i="1"/>
  <c r="R178" i="1"/>
  <c r="R763" i="1"/>
  <c r="R798" i="1"/>
  <c r="R580" i="1"/>
  <c r="R189" i="1"/>
  <c r="R582" i="1"/>
  <c r="R192" i="1"/>
  <c r="R193" i="1"/>
  <c r="R195" i="1"/>
  <c r="R1055" i="1"/>
  <c r="R590" i="1"/>
  <c r="R231" i="1"/>
  <c r="R600" i="1"/>
  <c r="R601" i="1"/>
  <c r="R611" i="1"/>
  <c r="R951" i="1"/>
  <c r="R771" i="1"/>
  <c r="R247" i="1"/>
  <c r="R991" i="1"/>
  <c r="R252" i="1"/>
  <c r="R257" i="1"/>
  <c r="R258" i="1"/>
  <c r="R622" i="1"/>
  <c r="R852" i="1"/>
  <c r="R625" i="1"/>
  <c r="R1042" i="1"/>
  <c r="R626" i="1"/>
  <c r="R630" i="1"/>
  <c r="R272" i="1"/>
  <c r="R632" i="1"/>
  <c r="R635" i="1"/>
  <c r="R636" i="1"/>
  <c r="R848" i="1"/>
  <c r="R1058" i="1"/>
  <c r="R1064" i="1"/>
  <c r="R645" i="1"/>
  <c r="R290" i="1"/>
  <c r="R291" i="1"/>
  <c r="R1086" i="1"/>
  <c r="R648" i="1"/>
  <c r="R979" i="1"/>
  <c r="R297" i="1"/>
  <c r="R655" i="1"/>
  <c r="R305" i="1"/>
  <c r="R1012" i="1"/>
  <c r="R958" i="1"/>
  <c r="R662" i="1"/>
  <c r="R316" i="1"/>
  <c r="R664" i="1"/>
  <c r="R320" i="1"/>
  <c r="R321" i="1"/>
  <c r="R323" i="1"/>
  <c r="R799" i="1"/>
  <c r="R329" i="1"/>
  <c r="R681" i="1"/>
  <c r="R892" i="1"/>
  <c r="R343" i="1"/>
  <c r="R1003" i="1"/>
  <c r="R344" i="1"/>
  <c r="R686" i="1"/>
  <c r="R347" i="1"/>
  <c r="R349" i="1"/>
  <c r="R352" i="1"/>
  <c r="R691" i="1"/>
  <c r="R692" i="1"/>
  <c r="R359" i="1"/>
  <c r="R832" i="1"/>
  <c r="R694" i="1"/>
  <c r="R696" i="1"/>
  <c r="R363" i="1"/>
  <c r="R364" i="1"/>
  <c r="R366" i="1"/>
  <c r="R369" i="1"/>
  <c r="R370" i="1"/>
  <c r="R954" i="1"/>
  <c r="R377" i="1"/>
  <c r="R380" i="1"/>
  <c r="R700" i="1"/>
  <c r="R701" i="1"/>
  <c r="R382" i="1"/>
  <c r="R386" i="1"/>
  <c r="R707" i="1"/>
  <c r="R850" i="1"/>
  <c r="R831" i="1"/>
  <c r="R709" i="1"/>
  <c r="R995" i="1"/>
  <c r="R390" i="1"/>
  <c r="R1065" i="1"/>
  <c r="R401" i="1"/>
  <c r="R1034" i="1"/>
  <c r="R723" i="1"/>
  <c r="R727" i="1"/>
  <c r="R769" i="1"/>
  <c r="R919" i="1"/>
  <c r="R961" i="1"/>
  <c r="R425" i="1"/>
  <c r="R1002" i="1"/>
  <c r="R741" i="1"/>
  <c r="R431" i="1"/>
  <c r="R744" i="1"/>
  <c r="R893" i="1"/>
  <c r="R436" i="1"/>
  <c r="R750" i="1"/>
  <c r="R753" i="1"/>
  <c r="R443" i="1"/>
  <c r="R447" i="1"/>
  <c r="R448" i="1"/>
  <c r="R460" i="1"/>
  <c r="R946" i="1"/>
  <c r="R712" i="1"/>
  <c r="R809" i="1"/>
  <c r="R1028" i="1"/>
  <c r="R659" i="1"/>
  <c r="R1051" i="1"/>
  <c r="R494" i="1"/>
  <c r="R60" i="1"/>
  <c r="R1001" i="1"/>
  <c r="R558" i="1"/>
  <c r="R917" i="1"/>
  <c r="R614" i="1"/>
  <c r="R1082" i="1"/>
  <c r="R639" i="1"/>
  <c r="R789" i="1"/>
  <c r="R440" i="1"/>
  <c r="R695" i="1"/>
  <c r="R825" i="1"/>
  <c r="R922" i="1"/>
  <c r="R929" i="1"/>
  <c r="R472" i="1"/>
  <c r="R473" i="1"/>
  <c r="R882" i="1"/>
  <c r="R962" i="1"/>
  <c r="R1026" i="1"/>
  <c r="R500" i="1"/>
  <c r="R996" i="1"/>
  <c r="R75" i="1"/>
  <c r="R936" i="1"/>
  <c r="R525" i="1"/>
  <c r="R923" i="1"/>
  <c r="R92" i="1"/>
  <c r="R99" i="1"/>
  <c r="R1071" i="1"/>
  <c r="R112" i="1"/>
  <c r="R116" i="1"/>
  <c r="R1054" i="1"/>
  <c r="R1088" i="1"/>
  <c r="R1038" i="1"/>
  <c r="R1063" i="1"/>
  <c r="R155" i="1"/>
  <c r="R574" i="1"/>
  <c r="R575" i="1"/>
  <c r="R760" i="1"/>
  <c r="R182" i="1"/>
  <c r="R190" i="1"/>
  <c r="R581" i="1"/>
  <c r="R199" i="1"/>
  <c r="R989" i="1"/>
  <c r="R1014" i="1"/>
  <c r="R845" i="1"/>
  <c r="R602" i="1"/>
  <c r="R236" i="1"/>
  <c r="R912" i="1"/>
  <c r="R764" i="1"/>
  <c r="R616" i="1"/>
  <c r="R905" i="1"/>
  <c r="R1084" i="1"/>
  <c r="R1050" i="1"/>
  <c r="R269" i="1"/>
  <c r="R628" i="1"/>
  <c r="R629" i="1"/>
  <c r="R280" i="1"/>
  <c r="R282" i="1"/>
  <c r="R1015" i="1"/>
  <c r="R1031" i="1"/>
  <c r="R813" i="1"/>
  <c r="R296" i="1"/>
  <c r="R654" i="1"/>
  <c r="R302" i="1"/>
  <c r="R657" i="1"/>
  <c r="R1036" i="1"/>
  <c r="R930" i="1"/>
  <c r="R671" i="1"/>
  <c r="R672" i="1"/>
  <c r="R678" i="1"/>
  <c r="R1069" i="1"/>
  <c r="R684" i="1"/>
  <c r="R910" i="1"/>
  <c r="R685" i="1"/>
  <c r="R350" i="1"/>
  <c r="R797" i="1"/>
  <c r="R886" i="1"/>
  <c r="R378" i="1"/>
  <c r="R385" i="1"/>
  <c r="R402" i="1"/>
  <c r="R1024" i="1"/>
  <c r="R429" i="1"/>
  <c r="R747" i="1"/>
  <c r="R1057" i="1"/>
  <c r="R57" i="1"/>
  <c r="R955" i="1"/>
  <c r="R487" i="1"/>
  <c r="R1081" i="1"/>
  <c r="R550" i="1"/>
  <c r="R1045" i="1"/>
  <c r="R7" i="1"/>
  <c r="R248" i="1"/>
  <c r="R624" i="1"/>
  <c r="R875" i="1"/>
  <c r="R794" i="1"/>
  <c r="R884" i="1"/>
  <c r="R667" i="1"/>
  <c r="R690" i="1"/>
  <c r="R409" i="1"/>
  <c r="R1047" i="1"/>
  <c r="R504" i="1"/>
  <c r="R803" i="1"/>
  <c r="R871" i="1"/>
  <c r="R827" i="1"/>
  <c r="R552" i="1"/>
  <c r="R562" i="1"/>
  <c r="R1046" i="1"/>
  <c r="R1020" i="1"/>
  <c r="R865" i="1"/>
  <c r="R1067" i="1"/>
  <c r="R796" i="1"/>
  <c r="R703" i="1"/>
  <c r="R735" i="1"/>
  <c r="R864" i="1"/>
  <c r="R643" i="1"/>
  <c r="R720" i="1"/>
  <c r="R907" i="1"/>
  <c r="R16" i="1"/>
  <c r="R33" i="1"/>
  <c r="R34" i="1"/>
  <c r="R485" i="1"/>
  <c r="R49" i="1"/>
  <c r="R54" i="1"/>
  <c r="R62" i="1"/>
  <c r="R507" i="1"/>
  <c r="R74" i="1"/>
  <c r="R512" i="1"/>
  <c r="R524" i="1"/>
  <c r="R916" i="1"/>
  <c r="R534" i="1"/>
  <c r="R536" i="1"/>
  <c r="R942" i="1"/>
  <c r="R1016" i="1"/>
  <c r="R762" i="1"/>
  <c r="R131" i="1"/>
  <c r="R817" i="1"/>
  <c r="R568" i="1"/>
  <c r="R173" i="1"/>
  <c r="R194" i="1"/>
  <c r="R312" i="1"/>
  <c r="R317" i="1"/>
  <c r="R676" i="1"/>
  <c r="R683" i="1"/>
  <c r="R345" i="1"/>
  <c r="R421" i="1"/>
  <c r="R435" i="1"/>
  <c r="R453" i="1"/>
  <c r="R557" i="1"/>
  <c r="R399" i="1"/>
  <c r="R627" i="1"/>
  <c r="R44" i="1"/>
  <c r="R949" i="1"/>
  <c r="R594" i="1"/>
  <c r="R748" i="1"/>
  <c r="R174" i="1"/>
  <c r="R387" i="1"/>
  <c r="R584" i="1"/>
  <c r="R1073" i="1"/>
  <c r="R663" i="1"/>
  <c r="R474" i="1"/>
  <c r="R25" i="1"/>
  <c r="R28" i="1"/>
  <c r="R837" i="1"/>
  <c r="R496" i="1"/>
  <c r="R945" i="1"/>
  <c r="R80" i="1"/>
  <c r="R113" i="1"/>
  <c r="R560" i="1"/>
  <c r="R200" i="1"/>
  <c r="R207" i="1"/>
  <c r="R217" i="1"/>
  <c r="R898" i="1"/>
  <c r="R244" i="1"/>
  <c r="R619" i="1"/>
  <c r="R998" i="1"/>
  <c r="R656" i="1"/>
  <c r="R665" i="1"/>
  <c r="R319" i="1"/>
  <c r="R776" i="1"/>
  <c r="R878" i="1"/>
  <c r="R361" i="1"/>
  <c r="R375" i="1"/>
  <c r="R381" i="1"/>
  <c r="R710" i="1"/>
  <c r="R814" i="1"/>
  <c r="R718" i="1"/>
  <c r="R410" i="1"/>
  <c r="R844" i="1"/>
  <c r="R1039" i="1"/>
  <c r="R959" i="1"/>
  <c r="R454" i="1"/>
  <c r="R824" i="1"/>
  <c r="R1027" i="1"/>
  <c r="R1072" i="1"/>
  <c r="R835" i="1"/>
  <c r="R1017" i="1"/>
  <c r="R1060" i="1"/>
  <c r="R313" i="1"/>
  <c r="R730" i="1"/>
  <c r="R219" i="1"/>
  <c r="R418" i="1"/>
  <c r="R666" i="1"/>
  <c r="R816" i="1"/>
  <c r="R307" i="1"/>
  <c r="R6" i="1"/>
  <c r="R39" i="1"/>
  <c r="R471" i="1"/>
  <c r="R21" i="1"/>
  <c r="R956" i="1"/>
  <c r="R869" i="1"/>
  <c r="R29" i="1"/>
  <c r="R37" i="1"/>
  <c r="R948" i="1"/>
  <c r="R38" i="1"/>
  <c r="R483" i="1"/>
  <c r="R486" i="1"/>
  <c r="R47" i="1"/>
  <c r="R818" i="1"/>
  <c r="R497" i="1"/>
  <c r="R498" i="1"/>
  <c r="R499" i="1"/>
  <c r="R63" i="1"/>
  <c r="R502" i="1"/>
  <c r="R914" i="1"/>
  <c r="R78" i="1"/>
  <c r="R774" i="1"/>
  <c r="R520" i="1"/>
  <c r="R1019" i="1"/>
  <c r="R85" i="1"/>
  <c r="R526" i="1"/>
  <c r="R528" i="1"/>
  <c r="R902" i="1"/>
  <c r="R529" i="1"/>
  <c r="R530" i="1"/>
  <c r="R101" i="1"/>
  <c r="R105" i="1"/>
  <c r="R952" i="1"/>
  <c r="R533" i="1"/>
  <c r="R544" i="1"/>
  <c r="R121" i="1"/>
  <c r="R122" i="1"/>
  <c r="R899" i="1"/>
  <c r="R547" i="1"/>
  <c r="R549" i="1"/>
  <c r="R133" i="1"/>
  <c r="R138" i="1"/>
  <c r="R565" i="1"/>
  <c r="R146" i="1"/>
  <c r="R147" i="1"/>
  <c r="R950" i="1"/>
  <c r="R1035" i="1"/>
  <c r="R161" i="1"/>
  <c r="R172" i="1"/>
  <c r="R583" i="1"/>
  <c r="R906" i="1"/>
  <c r="R587" i="1"/>
  <c r="R205" i="1"/>
  <c r="R924" i="1"/>
  <c r="R223" i="1"/>
  <c r="R229" i="1"/>
  <c r="R784" i="1"/>
  <c r="R833" i="1"/>
  <c r="R605" i="1"/>
  <c r="R606" i="1"/>
  <c r="R239" i="1"/>
  <c r="R242" i="1"/>
  <c r="R909" i="1"/>
  <c r="R615" i="1"/>
  <c r="R874" i="1"/>
  <c r="R621" i="1"/>
  <c r="R1056" i="1"/>
  <c r="R633" i="1"/>
  <c r="R279" i="1"/>
  <c r="R281" i="1"/>
  <c r="R903" i="1"/>
  <c r="R284" i="1"/>
  <c r="R644" i="1"/>
  <c r="R928" i="1"/>
  <c r="R810" i="1"/>
  <c r="R860" i="1"/>
  <c r="R304" i="1"/>
  <c r="R311" i="1"/>
  <c r="R660" i="1"/>
  <c r="R670" i="1"/>
  <c r="R326" i="1"/>
  <c r="R674" i="1"/>
  <c r="R336" i="1"/>
  <c r="R900" i="1"/>
  <c r="R342" i="1"/>
  <c r="R1044" i="1"/>
  <c r="R982" i="1"/>
  <c r="R767" i="1"/>
  <c r="R931" i="1"/>
  <c r="R353" i="1"/>
  <c r="R847" i="1"/>
  <c r="R376" i="1"/>
  <c r="R790" i="1"/>
  <c r="R702" i="1"/>
  <c r="R706" i="1"/>
  <c r="R388" i="1"/>
  <c r="R389" i="1"/>
  <c r="R921" i="1"/>
  <c r="R717" i="1"/>
  <c r="R976" i="1"/>
  <c r="R1007" i="1"/>
  <c r="R408" i="1"/>
  <c r="R1022" i="1"/>
  <c r="R411" i="1"/>
  <c r="R413" i="1"/>
  <c r="R728" i="1"/>
  <c r="R416" i="1"/>
  <c r="R732" i="1"/>
  <c r="R13" i="1"/>
  <c r="R739" i="1"/>
  <c r="R740" i="1"/>
  <c r="R775" i="1"/>
  <c r="R746" i="1"/>
  <c r="R434" i="1"/>
  <c r="R754" i="1"/>
  <c r="R811" i="1"/>
  <c r="R758" i="1"/>
  <c r="R947" i="1"/>
  <c r="R927" i="1"/>
  <c r="R493" i="1"/>
  <c r="R855" i="1"/>
  <c r="R253" i="1"/>
  <c r="R331" i="1"/>
  <c r="R901" i="1"/>
  <c r="R1033" i="1"/>
  <c r="R722" i="1"/>
  <c r="R1043" i="1"/>
  <c r="R492" i="1"/>
  <c r="R866" i="1"/>
  <c r="R941" i="1"/>
  <c r="R876" i="1"/>
  <c r="R469" i="1"/>
  <c r="R18" i="1"/>
  <c r="R24" i="1"/>
  <c r="R868" i="1"/>
  <c r="R35" i="1"/>
  <c r="R5" i="1"/>
  <c r="R40" i="1"/>
  <c r="R491" i="1"/>
  <c r="R508" i="1"/>
  <c r="R82" i="1"/>
  <c r="R853" i="1"/>
  <c r="R840" i="1"/>
  <c r="R521" i="1"/>
  <c r="R522" i="1"/>
  <c r="R84" i="1"/>
  <c r="R523" i="1"/>
  <c r="R102" i="1"/>
  <c r="R106" i="1"/>
  <c r="R108" i="1"/>
  <c r="R109" i="1"/>
  <c r="R537" i="1"/>
  <c r="R872" i="1"/>
  <c r="R114" i="1"/>
  <c r="R542" i="1"/>
  <c r="R1040" i="1"/>
  <c r="R779" i="1"/>
  <c r="R857" i="1"/>
  <c r="R129" i="1"/>
  <c r="R130" i="1"/>
  <c r="R132" i="1"/>
  <c r="R888" i="1"/>
  <c r="R134" i="1"/>
  <c r="R135" i="1"/>
  <c r="R993" i="1"/>
  <c r="R142" i="1"/>
  <c r="R145" i="1"/>
  <c r="R849" i="1"/>
  <c r="R957" i="1"/>
  <c r="R186" i="1"/>
  <c r="R191" i="1"/>
  <c r="R1049" i="1"/>
  <c r="R208" i="1"/>
  <c r="R820" i="1"/>
  <c r="R214" i="1"/>
  <c r="R842" i="1"/>
  <c r="R232" i="1"/>
  <c r="R1074" i="1"/>
  <c r="R1011" i="1"/>
  <c r="R264" i="1"/>
  <c r="R278" i="1"/>
  <c r="R1077" i="1"/>
  <c r="R960" i="1"/>
  <c r="R839" i="1"/>
  <c r="R653" i="1"/>
  <c r="R1032" i="1"/>
  <c r="R1076" i="1"/>
  <c r="R324" i="1"/>
  <c r="R675" i="1"/>
  <c r="R964" i="1"/>
  <c r="R339" i="1"/>
  <c r="R807" i="1"/>
  <c r="R1052" i="1"/>
  <c r="R687" i="1"/>
  <c r="R357" i="1"/>
  <c r="R699" i="1"/>
  <c r="R704" i="1"/>
  <c r="R829" i="1"/>
  <c r="R713" i="1"/>
  <c r="R714" i="1"/>
  <c r="R396" i="1"/>
  <c r="R397" i="1"/>
  <c r="R1009" i="1"/>
  <c r="R973" i="1"/>
  <c r="R854" i="1"/>
  <c r="R742" i="1"/>
  <c r="R432" i="1"/>
  <c r="R433" i="1"/>
  <c r="R749" i="1"/>
  <c r="R441" i="1"/>
  <c r="R449" i="1"/>
  <c r="R757" i="1"/>
  <c r="R859" i="1"/>
  <c r="R4" i="1"/>
  <c r="R513" i="1"/>
  <c r="R118" i="1"/>
  <c r="R162" i="1"/>
  <c r="R937" i="1"/>
  <c r="R780" i="1"/>
  <c r="R1070" i="1"/>
  <c r="R913" i="1"/>
  <c r="R715" i="1"/>
  <c r="R733" i="1"/>
  <c r="R592" i="1"/>
  <c r="R879" i="1"/>
  <c r="R1008" i="1"/>
  <c r="R211" i="1"/>
  <c r="R137" i="1"/>
  <c r="R285" i="1"/>
  <c r="R76" i="1"/>
  <c r="R585" i="1"/>
  <c r="R637" i="1"/>
  <c r="R650" i="1"/>
  <c r="R726" i="1"/>
  <c r="R569" i="1"/>
  <c r="R873" i="1"/>
  <c r="R658" i="1"/>
  <c r="R867" i="1"/>
  <c r="R64" i="1"/>
  <c r="R563" i="1"/>
  <c r="R883" i="1"/>
  <c r="R1010" i="1"/>
  <c r="R348" i="1"/>
  <c r="R821" i="1"/>
  <c r="R815" i="1"/>
  <c r="R478" i="1"/>
  <c r="R30" i="1"/>
  <c r="R119" i="1"/>
  <c r="R595" i="1"/>
  <c r="R598" i="1"/>
  <c r="R1083" i="1"/>
  <c r="R367" i="1"/>
  <c r="R400" i="1"/>
  <c r="R793" i="1"/>
  <c r="R969" i="1"/>
  <c r="R721" i="1"/>
  <c r="R9" i="1"/>
  <c r="R743" i="1"/>
  <c r="R609" i="1"/>
  <c r="R978" i="1"/>
  <c r="R791" i="1"/>
  <c r="R617" i="1"/>
  <c r="R612" i="1"/>
  <c r="R1029" i="1"/>
  <c r="R777" i="1"/>
  <c r="R828" i="1"/>
  <c r="R91" i="1"/>
  <c r="R270" i="1"/>
  <c r="R218" i="1"/>
  <c r="R623" i="1"/>
  <c r="R918" i="1"/>
  <c r="R456" i="1"/>
  <c r="R894" i="1"/>
  <c r="R230" i="1"/>
  <c r="R975" i="1"/>
  <c r="R444" i="1"/>
  <c r="R716" i="1"/>
  <c r="R1013" i="1"/>
  <c r="R1085" i="1"/>
  <c r="R394" i="1"/>
  <c r="R795" i="1"/>
  <c r="R17" i="1"/>
  <c r="R787" i="1"/>
  <c r="R470" i="1"/>
  <c r="R856" i="1"/>
  <c r="R19" i="1"/>
  <c r="R944" i="1"/>
  <c r="R22" i="1"/>
  <c r="R475" i="1"/>
  <c r="R476" i="1"/>
  <c r="R26" i="1"/>
  <c r="R477" i="1"/>
  <c r="R479" i="1"/>
  <c r="R27" i="1"/>
  <c r="R480" i="1"/>
  <c r="R32" i="1"/>
  <c r="R36" i="1"/>
  <c r="R805" i="1"/>
  <c r="R968" i="1"/>
  <c r="R484" i="1"/>
  <c r="R41" i="1"/>
  <c r="R42" i="1"/>
  <c r="R43" i="1"/>
  <c r="R45" i="1"/>
  <c r="R988" i="1"/>
  <c r="R46" i="1"/>
  <c r="R488" i="1"/>
  <c r="R490" i="1"/>
  <c r="R51" i="1"/>
  <c r="R53" i="1"/>
  <c r="R495" i="1"/>
  <c r="R55" i="1"/>
  <c r="R463" i="1"/>
  <c r="R58" i="1"/>
  <c r="R843" i="1"/>
  <c r="R65" i="1"/>
  <c r="R66" i="1"/>
  <c r="R1066" i="1"/>
  <c r="R68" i="1"/>
  <c r="R69" i="1"/>
  <c r="R70" i="1"/>
  <c r="R953" i="1"/>
  <c r="R72" i="1"/>
  <c r="R73" i="1"/>
  <c r="R761" i="1"/>
  <c r="R1075" i="1"/>
  <c r="R778" i="1"/>
  <c r="R510" i="1"/>
  <c r="R77" i="1"/>
  <c r="R861" i="1"/>
  <c r="R79" i="1"/>
  <c r="R511" i="1"/>
  <c r="R81" i="1"/>
  <c r="R518" i="1"/>
  <c r="R519" i="1"/>
  <c r="R86" i="1"/>
  <c r="R527" i="1"/>
  <c r="R87" i="1"/>
  <c r="R88" i="1"/>
  <c r="R89" i="1"/>
  <c r="R90" i="1"/>
  <c r="R465" i="1"/>
  <c r="R93" i="1"/>
  <c r="R94" i="1"/>
  <c r="R531" i="1"/>
  <c r="R95" i="1"/>
  <c r="R98" i="1"/>
  <c r="R100" i="1"/>
  <c r="R1021" i="1"/>
  <c r="R103" i="1"/>
  <c r="R532" i="1"/>
  <c r="R104" i="1"/>
  <c r="R1000" i="1"/>
  <c r="R107" i="1"/>
  <c r="R926" i="1"/>
  <c r="R466" i="1"/>
  <c r="R838" i="1"/>
  <c r="R110" i="1"/>
  <c r="R111" i="1"/>
  <c r="R540" i="1"/>
  <c r="R117" i="1"/>
  <c r="R543" i="1"/>
  <c r="R120" i="1"/>
  <c r="R963" i="1"/>
  <c r="R123" i="1"/>
  <c r="R124" i="1"/>
  <c r="R908" i="1"/>
  <c r="R548" i="1"/>
  <c r="R126" i="1"/>
  <c r="R940" i="1"/>
  <c r="R834" i="1"/>
  <c r="R14" i="1"/>
  <c r="R551" i="1"/>
  <c r="R553" i="1"/>
  <c r="R554" i="1"/>
  <c r="R555" i="1"/>
  <c r="R925" i="1"/>
  <c r="R461" i="1"/>
  <c r="R559" i="1"/>
  <c r="R136" i="1"/>
  <c r="R846" i="1"/>
  <c r="R770" i="1"/>
  <c r="R561" i="1"/>
  <c r="R140" i="1"/>
  <c r="R141" i="1"/>
  <c r="R143" i="1"/>
  <c r="R566" i="1"/>
  <c r="R144" i="1"/>
  <c r="R148" i="1"/>
  <c r="R149" i="1"/>
  <c r="R836" i="1"/>
  <c r="R151" i="1"/>
  <c r="R152" i="1"/>
  <c r="R153" i="1"/>
  <c r="R154" i="1"/>
  <c r="R570" i="1"/>
  <c r="R156" i="1"/>
  <c r="R157" i="1"/>
  <c r="R158" i="1"/>
  <c r="R572" i="1"/>
  <c r="R819" i="1"/>
  <c r="R159" i="1"/>
  <c r="R160" i="1"/>
  <c r="R573" i="1"/>
  <c r="R163" i="1"/>
  <c r="R165" i="1"/>
  <c r="R939" i="1"/>
  <c r="R166" i="1"/>
  <c r="R167" i="1"/>
  <c r="R171" i="1"/>
  <c r="R576" i="1"/>
  <c r="R896" i="1"/>
  <c r="R462" i="1"/>
  <c r="R175" i="1"/>
  <c r="R176" i="1"/>
  <c r="R1062" i="1"/>
  <c r="R177" i="1"/>
  <c r="R806" i="1"/>
  <c r="R179" i="1"/>
  <c r="R180" i="1"/>
  <c r="R579" i="1"/>
  <c r="R183" i="1"/>
  <c r="R184" i="1"/>
  <c r="R1023" i="1"/>
  <c r="R185" i="1"/>
  <c r="R187" i="1"/>
  <c r="R1037" i="1"/>
  <c r="R188" i="1"/>
  <c r="R897" i="1"/>
  <c r="R934" i="1"/>
  <c r="R858" i="1"/>
  <c r="R938" i="1"/>
  <c r="R586" i="1"/>
  <c r="R588" i="1"/>
  <c r="R196" i="1"/>
  <c r="R589" i="1"/>
  <c r="R197" i="1"/>
  <c r="R1078" i="1"/>
  <c r="R591" i="1"/>
  <c r="R198" i="1"/>
  <c r="R593" i="1"/>
  <c r="R201" i="1"/>
  <c r="R203" i="1"/>
  <c r="R204" i="1"/>
  <c r="R206" i="1"/>
  <c r="R596" i="1"/>
  <c r="R1030" i="1"/>
  <c r="R210" i="1"/>
  <c r="R212" i="1"/>
  <c r="R213" i="1"/>
  <c r="R216" i="1"/>
  <c r="R220" i="1"/>
  <c r="R597" i="1"/>
  <c r="R221" i="1"/>
  <c r="R804" i="1"/>
  <c r="R222" i="1"/>
  <c r="R224" i="1"/>
  <c r="R225" i="1"/>
  <c r="R599" i="1"/>
  <c r="R226" i="1"/>
  <c r="R227" i="1"/>
  <c r="R228" i="1"/>
  <c r="R233" i="1"/>
  <c r="R986" i="1"/>
  <c r="R603" i="1"/>
  <c r="R235" i="1"/>
  <c r="R607" i="1"/>
  <c r="R237" i="1"/>
  <c r="R608" i="1"/>
  <c r="R610" i="1"/>
  <c r="R238" i="1"/>
  <c r="R862" i="1"/>
  <c r="R240" i="1"/>
  <c r="R241" i="1"/>
  <c r="R781" i="1"/>
  <c r="R243" i="1"/>
  <c r="R765" i="1"/>
  <c r="R245" i="1"/>
  <c r="R246" i="1"/>
  <c r="R999" i="1"/>
  <c r="R249" i="1"/>
  <c r="R250" i="1"/>
  <c r="R613" i="1"/>
  <c r="R1005" i="1"/>
  <c r="R251" i="1"/>
  <c r="R254" i="1"/>
  <c r="R2" i="1"/>
  <c r="R255" i="1"/>
  <c r="R256" i="1"/>
  <c r="R618" i="1"/>
  <c r="R783" i="1"/>
  <c r="R259" i="1"/>
  <c r="R260" i="1"/>
  <c r="R261" i="1"/>
  <c r="R262" i="1"/>
  <c r="R985" i="1"/>
  <c r="R263" i="1"/>
  <c r="R265" i="1"/>
  <c r="R266" i="1"/>
  <c r="R267" i="1"/>
  <c r="R268" i="1"/>
  <c r="R271" i="1"/>
  <c r="R631" i="1"/>
  <c r="R984" i="1"/>
  <c r="R273" i="1"/>
  <c r="R274" i="1"/>
  <c r="R275" i="1"/>
  <c r="R276" i="1"/>
  <c r="R277" i="1"/>
  <c r="R634" i="1"/>
  <c r="R464" i="1"/>
  <c r="R812" i="1"/>
  <c r="R638" i="1"/>
  <c r="R283" i="1"/>
  <c r="R286" i="1"/>
  <c r="R641" i="1"/>
  <c r="R642" i="1"/>
  <c r="R287" i="1"/>
  <c r="R288" i="1"/>
  <c r="R292" i="1"/>
  <c r="R293" i="1"/>
  <c r="R646" i="1"/>
  <c r="R647" i="1"/>
  <c r="R294" i="1"/>
  <c r="R649" i="1"/>
  <c r="R295" i="1"/>
  <c r="R298" i="1"/>
  <c r="R651" i="1"/>
  <c r="R299" i="1"/>
  <c r="R300" i="1"/>
  <c r="R652" i="1"/>
  <c r="R301" i="1"/>
  <c r="R303" i="1"/>
  <c r="R1080" i="1"/>
  <c r="R306" i="1"/>
  <c r="R308" i="1"/>
  <c r="R309" i="1"/>
  <c r="R310" i="1"/>
  <c r="R661" i="1"/>
  <c r="R314" i="1"/>
  <c r="R315" i="1"/>
  <c r="R992" i="1"/>
  <c r="R318" i="1"/>
  <c r="R668" i="1"/>
  <c r="R766" i="1"/>
  <c r="R669" i="1"/>
  <c r="R841" i="1"/>
  <c r="R822" i="1"/>
  <c r="R987" i="1"/>
  <c r="R889" i="1"/>
  <c r="R322" i="1"/>
  <c r="R325" i="1"/>
  <c r="R673" i="1"/>
  <c r="R327" i="1"/>
  <c r="R328" i="1"/>
  <c r="R330" i="1"/>
  <c r="R332" i="1"/>
  <c r="R333" i="1"/>
  <c r="R334" i="1"/>
  <c r="R335" i="1"/>
  <c r="R677" i="1"/>
  <c r="R679" i="1"/>
  <c r="R337" i="1"/>
  <c r="R338" i="1"/>
  <c r="R340" i="1"/>
  <c r="R974" i="1"/>
  <c r="R680" i="1"/>
  <c r="R10" i="1"/>
  <c r="R682" i="1"/>
  <c r="R341" i="1"/>
  <c r="R915" i="1"/>
  <c r="R346" i="1"/>
  <c r="R977" i="1"/>
  <c r="R932" i="1"/>
  <c r="R351" i="1"/>
  <c r="R980" i="1"/>
  <c r="R354" i="1"/>
  <c r="R943" i="1"/>
  <c r="R355" i="1"/>
  <c r="R688" i="1"/>
  <c r="R689" i="1"/>
  <c r="R356" i="1"/>
  <c r="R895" i="1"/>
  <c r="R358" i="1"/>
  <c r="R360" i="1"/>
  <c r="R362" i="1"/>
  <c r="R1068" i="1"/>
  <c r="R697" i="1"/>
  <c r="R698" i="1"/>
  <c r="R768" i="1"/>
  <c r="R1018" i="1"/>
  <c r="R365" i="1"/>
  <c r="R990" i="1"/>
  <c r="R371" i="1"/>
  <c r="R372" i="1"/>
  <c r="R373" i="1"/>
  <c r="R374" i="1"/>
  <c r="R379" i="1"/>
  <c r="R383" i="1"/>
  <c r="R705" i="1"/>
  <c r="R384" i="1"/>
  <c r="R708" i="1"/>
  <c r="R711" i="1"/>
  <c r="R904" i="1"/>
  <c r="R800" i="1"/>
  <c r="R391" i="1"/>
  <c r="R392" i="1"/>
  <c r="R393" i="1"/>
  <c r="R395" i="1"/>
  <c r="R12" i="1"/>
  <c r="R398" i="1"/>
  <c r="R719" i="1"/>
  <c r="R981" i="1"/>
  <c r="R403" i="1"/>
  <c r="R404" i="1"/>
  <c r="R405" i="1"/>
  <c r="R406" i="1"/>
  <c r="R407" i="1"/>
  <c r="R965" i="1"/>
  <c r="R412" i="1"/>
  <c r="R724" i="1"/>
  <c r="R725" i="1"/>
  <c r="R414" i="1"/>
  <c r="R415" i="1"/>
  <c r="R729" i="1"/>
  <c r="R417" i="1"/>
  <c r="R8" i="1"/>
  <c r="R731" i="1"/>
  <c r="R967" i="1"/>
  <c r="R419" i="1"/>
  <c r="R983" i="1"/>
  <c r="R420" i="1"/>
  <c r="R881" i="1"/>
  <c r="R734" i="1"/>
  <c r="R422" i="1"/>
  <c r="R423" i="1"/>
  <c r="R424" i="1"/>
  <c r="R1087" i="1"/>
  <c r="R426" i="1"/>
  <c r="R736" i="1"/>
  <c r="R427" i="1"/>
  <c r="R428" i="1"/>
  <c r="R737" i="1"/>
  <c r="R738" i="1"/>
  <c r="R430" i="1"/>
  <c r="R745" i="1"/>
  <c r="R759" i="1"/>
  <c r="R1004" i="1"/>
  <c r="R994" i="1"/>
  <c r="R1079" i="1"/>
  <c r="R437" i="1"/>
  <c r="R438" i="1"/>
  <c r="R439" i="1"/>
  <c r="R751" i="1"/>
  <c r="R752" i="1"/>
  <c r="R442" i="1"/>
  <c r="R1006" i="1"/>
  <c r="R445" i="1"/>
  <c r="R755" i="1"/>
  <c r="R826" i="1"/>
  <c r="R446" i="1"/>
  <c r="R450" i="1"/>
  <c r="R451" i="1"/>
  <c r="R452" i="1"/>
  <c r="R756" i="1"/>
  <c r="R455" i="1"/>
  <c r="R457" i="1"/>
  <c r="R458" i="1"/>
  <c r="R1061" i="1"/>
  <c r="R459" i="1"/>
  <c r="R773" i="1"/>
  <c r="Q970" i="1"/>
  <c r="Q971" i="1"/>
  <c r="Q567" i="1"/>
  <c r="Q15" i="1"/>
  <c r="Q808" i="1"/>
  <c r="Q863" i="1"/>
  <c r="Q997" i="1"/>
  <c r="Q880" i="1"/>
  <c r="Q1041" i="1"/>
  <c r="Q289" i="1"/>
  <c r="Q802" i="1"/>
  <c r="Q11" i="1"/>
  <c r="Q234" i="1"/>
  <c r="Q792" i="1"/>
  <c r="Q801" i="1"/>
  <c r="Q538" i="1"/>
  <c r="Q640" i="1"/>
  <c r="Q877" i="1"/>
  <c r="Q556" i="1"/>
  <c r="Q368" i="1"/>
  <c r="Q31" i="1"/>
  <c r="Q181" i="1"/>
  <c r="Q482" i="1"/>
  <c r="Q535" i="1"/>
  <c r="Q20" i="1"/>
  <c r="Q215" i="1"/>
  <c r="Q920" i="1"/>
  <c r="Q202" i="1"/>
  <c r="Q209" i="1"/>
  <c r="Q786" i="1"/>
  <c r="Q620" i="1"/>
  <c r="Q935" i="1"/>
  <c r="Q604" i="1"/>
  <c r="Q693" i="1"/>
  <c r="Q505" i="1"/>
  <c r="Q933" i="1"/>
  <c r="Q911" i="1"/>
  <c r="Q891" i="1"/>
  <c r="Q1025" i="1"/>
  <c r="Q23" i="1"/>
  <c r="Q782" i="1"/>
  <c r="Q3" i="1"/>
  <c r="Q481" i="1"/>
  <c r="Q489" i="1"/>
  <c r="Q48" i="1"/>
  <c r="Q50" i="1"/>
  <c r="Q1059" i="1"/>
  <c r="Q52" i="1"/>
  <c r="Q56" i="1"/>
  <c r="Q59" i="1"/>
  <c r="Q61" i="1"/>
  <c r="Q501" i="1"/>
  <c r="Q468" i="1"/>
  <c r="Q67" i="1"/>
  <c r="Q503" i="1"/>
  <c r="Q71" i="1"/>
  <c r="Q506" i="1"/>
  <c r="Q1053" i="1"/>
  <c r="Q509" i="1"/>
  <c r="Q467" i="1"/>
  <c r="Q890" i="1"/>
  <c r="Q514" i="1"/>
  <c r="Q515" i="1"/>
  <c r="Q83" i="1"/>
  <c r="Q516" i="1"/>
  <c r="Q517" i="1"/>
  <c r="Q966" i="1"/>
  <c r="Q851" i="1"/>
  <c r="Q870" i="1"/>
  <c r="Q785" i="1"/>
  <c r="Q96" i="1"/>
  <c r="Q97" i="1"/>
  <c r="Q1048" i="1"/>
  <c r="Q972" i="1"/>
  <c r="Q539" i="1"/>
  <c r="Q115" i="1"/>
  <c r="Q541" i="1"/>
  <c r="Q545" i="1"/>
  <c r="Q125" i="1"/>
  <c r="Q546" i="1"/>
  <c r="Q127" i="1"/>
  <c r="Q128" i="1"/>
  <c r="Q823" i="1"/>
  <c r="Q772" i="1"/>
  <c r="Q788" i="1"/>
  <c r="Q139" i="1"/>
  <c r="Q887" i="1"/>
  <c r="Q564" i="1"/>
  <c r="Q885" i="1"/>
  <c r="Q830" i="1"/>
  <c r="Q150" i="1"/>
  <c r="Q571" i="1"/>
  <c r="Q164" i="1"/>
  <c r="Q168" i="1"/>
  <c r="Q169" i="1"/>
  <c r="Q170" i="1"/>
  <c r="Q577" i="1"/>
  <c r="Q578" i="1"/>
  <c r="Q178" i="1"/>
  <c r="Q763" i="1"/>
  <c r="Q798" i="1"/>
  <c r="Q580" i="1"/>
  <c r="Q189" i="1"/>
  <c r="Q582" i="1"/>
  <c r="Q192" i="1"/>
  <c r="Q193" i="1"/>
  <c r="Q195" i="1"/>
  <c r="Q1055" i="1"/>
  <c r="Q590" i="1"/>
  <c r="Q231" i="1"/>
  <c r="Q600" i="1"/>
  <c r="Q601" i="1"/>
  <c r="Q611" i="1"/>
  <c r="Q951" i="1"/>
  <c r="Q771" i="1"/>
  <c r="Q247" i="1"/>
  <c r="Q991" i="1"/>
  <c r="Q252" i="1"/>
  <c r="Q257" i="1"/>
  <c r="Q258" i="1"/>
  <c r="Q622" i="1"/>
  <c r="Q852" i="1"/>
  <c r="Q625" i="1"/>
  <c r="Q1042" i="1"/>
  <c r="Q626" i="1"/>
  <c r="Q630" i="1"/>
  <c r="Q272" i="1"/>
  <c r="Q632" i="1"/>
  <c r="Q635" i="1"/>
  <c r="Q636" i="1"/>
  <c r="Q848" i="1"/>
  <c r="Q1058" i="1"/>
  <c r="Q1064" i="1"/>
  <c r="Q645" i="1"/>
  <c r="Q290" i="1"/>
  <c r="Q291" i="1"/>
  <c r="Q1086" i="1"/>
  <c r="Q648" i="1"/>
  <c r="Q979" i="1"/>
  <c r="Q297" i="1"/>
  <c r="Q655" i="1"/>
  <c r="Q305" i="1"/>
  <c r="Q1012" i="1"/>
  <c r="Q958" i="1"/>
  <c r="Q662" i="1"/>
  <c r="Q316" i="1"/>
  <c r="Q664" i="1"/>
  <c r="Q320" i="1"/>
  <c r="Q321" i="1"/>
  <c r="Q323" i="1"/>
  <c r="Q799" i="1"/>
  <c r="Q329" i="1"/>
  <c r="Q681" i="1"/>
  <c r="Q892" i="1"/>
  <c r="Q343" i="1"/>
  <c r="Q1003" i="1"/>
  <c r="Q344" i="1"/>
  <c r="Q686" i="1"/>
  <c r="Q347" i="1"/>
  <c r="Q349" i="1"/>
  <c r="Q352" i="1"/>
  <c r="Q691" i="1"/>
  <c r="Q692" i="1"/>
  <c r="Q359" i="1"/>
  <c r="Q832" i="1"/>
  <c r="Q694" i="1"/>
  <c r="Q696" i="1"/>
  <c r="Q363" i="1"/>
  <c r="Q364" i="1"/>
  <c r="Q366" i="1"/>
  <c r="Q369" i="1"/>
  <c r="Q370" i="1"/>
  <c r="Q954" i="1"/>
  <c r="Q377" i="1"/>
  <c r="Q380" i="1"/>
  <c r="Q700" i="1"/>
  <c r="Q701" i="1"/>
  <c r="Q382" i="1"/>
  <c r="Q386" i="1"/>
  <c r="Q707" i="1"/>
  <c r="Q850" i="1"/>
  <c r="Q831" i="1"/>
  <c r="Q709" i="1"/>
  <c r="Q995" i="1"/>
  <c r="Q390" i="1"/>
  <c r="Q1065" i="1"/>
  <c r="Q401" i="1"/>
  <c r="Q1034" i="1"/>
  <c r="Q723" i="1"/>
  <c r="Q727" i="1"/>
  <c r="Q769" i="1"/>
  <c r="Q919" i="1"/>
  <c r="Q961" i="1"/>
  <c r="Q425" i="1"/>
  <c r="Q1002" i="1"/>
  <c r="Q741" i="1"/>
  <c r="Q431" i="1"/>
  <c r="Q744" i="1"/>
  <c r="Q893" i="1"/>
  <c r="Q436" i="1"/>
  <c r="Q750" i="1"/>
  <c r="Q753" i="1"/>
  <c r="Q443" i="1"/>
  <c r="Q447" i="1"/>
  <c r="Q448" i="1"/>
  <c r="Q460" i="1"/>
  <c r="Q946" i="1"/>
  <c r="Q712" i="1"/>
  <c r="Q809" i="1"/>
  <c r="Q1028" i="1"/>
  <c r="Q659" i="1"/>
  <c r="Q1051" i="1"/>
  <c r="Q494" i="1"/>
  <c r="Q60" i="1"/>
  <c r="Q1001" i="1"/>
  <c r="Q558" i="1"/>
  <c r="Q917" i="1"/>
  <c r="Q614" i="1"/>
  <c r="Q1082" i="1"/>
  <c r="Q639" i="1"/>
  <c r="Q789" i="1"/>
  <c r="Q440" i="1"/>
  <c r="Q695" i="1"/>
  <c r="Q825" i="1"/>
  <c r="Q922" i="1"/>
  <c r="Q929" i="1"/>
  <c r="Q472" i="1"/>
  <c r="Q473" i="1"/>
  <c r="Q882" i="1"/>
  <c r="Q962" i="1"/>
  <c r="Q1026" i="1"/>
  <c r="Q500" i="1"/>
  <c r="Q996" i="1"/>
  <c r="Q75" i="1"/>
  <c r="Q936" i="1"/>
  <c r="Q525" i="1"/>
  <c r="Q923" i="1"/>
  <c r="Q92" i="1"/>
  <c r="Q99" i="1"/>
  <c r="Q1071" i="1"/>
  <c r="Q112" i="1"/>
  <c r="Q116" i="1"/>
  <c r="Q1054" i="1"/>
  <c r="Q1088" i="1"/>
  <c r="Q1038" i="1"/>
  <c r="Q1063" i="1"/>
  <c r="Q155" i="1"/>
  <c r="Q574" i="1"/>
  <c r="Q575" i="1"/>
  <c r="Q760" i="1"/>
  <c r="Q182" i="1"/>
  <c r="Q190" i="1"/>
  <c r="Q581" i="1"/>
  <c r="Q199" i="1"/>
  <c r="Q989" i="1"/>
  <c r="Q1014" i="1"/>
  <c r="Q845" i="1"/>
  <c r="Q602" i="1"/>
  <c r="Q236" i="1"/>
  <c r="Q912" i="1"/>
  <c r="Q764" i="1"/>
  <c r="Q616" i="1"/>
  <c r="Q905" i="1"/>
  <c r="Q1084" i="1"/>
  <c r="Q1050" i="1"/>
  <c r="Q269" i="1"/>
  <c r="Q628" i="1"/>
  <c r="Q629" i="1"/>
  <c r="Q280" i="1"/>
  <c r="Q282" i="1"/>
  <c r="Q1015" i="1"/>
  <c r="Q1031" i="1"/>
  <c r="Q813" i="1"/>
  <c r="Q296" i="1"/>
  <c r="Q654" i="1"/>
  <c r="Q302" i="1"/>
  <c r="Q657" i="1"/>
  <c r="Q1036" i="1"/>
  <c r="Q930" i="1"/>
  <c r="Q671" i="1"/>
  <c r="Q672" i="1"/>
  <c r="Q678" i="1"/>
  <c r="Q1069" i="1"/>
  <c r="Q684" i="1"/>
  <c r="Q910" i="1"/>
  <c r="Q685" i="1"/>
  <c r="Q350" i="1"/>
  <c r="Q797" i="1"/>
  <c r="Q886" i="1"/>
  <c r="Q378" i="1"/>
  <c r="Q385" i="1"/>
  <c r="Q402" i="1"/>
  <c r="Q1024" i="1"/>
  <c r="Q429" i="1"/>
  <c r="Q747" i="1"/>
  <c r="Q1057" i="1"/>
  <c r="Q57" i="1"/>
  <c r="Q955" i="1"/>
  <c r="Q487" i="1"/>
  <c r="Q1081" i="1"/>
  <c r="Q550" i="1"/>
  <c r="Q1045" i="1"/>
  <c r="Q7" i="1"/>
  <c r="Q248" i="1"/>
  <c r="Q624" i="1"/>
  <c r="Q875" i="1"/>
  <c r="Q794" i="1"/>
  <c r="Q884" i="1"/>
  <c r="Q667" i="1"/>
  <c r="Q690" i="1"/>
  <c r="Q409" i="1"/>
  <c r="Q1047" i="1"/>
  <c r="Q504" i="1"/>
  <c r="Q803" i="1"/>
  <c r="Q871" i="1"/>
  <c r="Q827" i="1"/>
  <c r="Q552" i="1"/>
  <c r="Q562" i="1"/>
  <c r="Q1046" i="1"/>
  <c r="Q1020" i="1"/>
  <c r="Q865" i="1"/>
  <c r="Q1067" i="1"/>
  <c r="Q796" i="1"/>
  <c r="Q703" i="1"/>
  <c r="Q735" i="1"/>
  <c r="Q864" i="1"/>
  <c r="Q643" i="1"/>
  <c r="Q720" i="1"/>
  <c r="Q907" i="1"/>
  <c r="Q16" i="1"/>
  <c r="Q33" i="1"/>
  <c r="Q34" i="1"/>
  <c r="Q485" i="1"/>
  <c r="Q49" i="1"/>
  <c r="Q54" i="1"/>
  <c r="Q62" i="1"/>
  <c r="Q507" i="1"/>
  <c r="Q74" i="1"/>
  <c r="Q512" i="1"/>
  <c r="Q524" i="1"/>
  <c r="Q916" i="1"/>
  <c r="Q534" i="1"/>
  <c r="Q536" i="1"/>
  <c r="Q942" i="1"/>
  <c r="Q1016" i="1"/>
  <c r="Q762" i="1"/>
  <c r="Q131" i="1"/>
  <c r="Q817" i="1"/>
  <c r="Q568" i="1"/>
  <c r="Q173" i="1"/>
  <c r="Q194" i="1"/>
  <c r="Q312" i="1"/>
  <c r="Q317" i="1"/>
  <c r="Q676" i="1"/>
  <c r="Q683" i="1"/>
  <c r="Q345" i="1"/>
  <c r="Q421" i="1"/>
  <c r="Q435" i="1"/>
  <c r="Q453" i="1"/>
  <c r="Q557" i="1"/>
  <c r="Q399" i="1"/>
  <c r="Q627" i="1"/>
  <c r="Q44" i="1"/>
  <c r="Q949" i="1"/>
  <c r="Q594" i="1"/>
  <c r="Q748" i="1"/>
  <c r="Q174" i="1"/>
  <c r="Q387" i="1"/>
  <c r="Q584" i="1"/>
  <c r="Q1073" i="1"/>
  <c r="Q663" i="1"/>
  <c r="Q474" i="1"/>
  <c r="Q25" i="1"/>
  <c r="Q28" i="1"/>
  <c r="Q837" i="1"/>
  <c r="Q496" i="1"/>
  <c r="Q945" i="1"/>
  <c r="Q80" i="1"/>
  <c r="Q113" i="1"/>
  <c r="Q560" i="1"/>
  <c r="Q200" i="1"/>
  <c r="Q207" i="1"/>
  <c r="Q217" i="1"/>
  <c r="Q898" i="1"/>
  <c r="Q244" i="1"/>
  <c r="Q619" i="1"/>
  <c r="Q998" i="1"/>
  <c r="Q656" i="1"/>
  <c r="Q665" i="1"/>
  <c r="Q319" i="1"/>
  <c r="Q776" i="1"/>
  <c r="Q878" i="1"/>
  <c r="Q361" i="1"/>
  <c r="Q375" i="1"/>
  <c r="Q381" i="1"/>
  <c r="Q710" i="1"/>
  <c r="Q814" i="1"/>
  <c r="Q718" i="1"/>
  <c r="Q410" i="1"/>
  <c r="Q844" i="1"/>
  <c r="Q1039" i="1"/>
  <c r="Q959" i="1"/>
  <c r="Q454" i="1"/>
  <c r="Q824" i="1"/>
  <c r="Q1027" i="1"/>
  <c r="Q1072" i="1"/>
  <c r="Q835" i="1"/>
  <c r="Q1017" i="1"/>
  <c r="Q1060" i="1"/>
  <c r="Q313" i="1"/>
  <c r="Q730" i="1"/>
  <c r="Q219" i="1"/>
  <c r="Q418" i="1"/>
  <c r="Q666" i="1"/>
  <c r="Q816" i="1"/>
  <c r="Q307" i="1"/>
  <c r="Q6" i="1"/>
  <c r="Q39" i="1"/>
  <c r="Q471" i="1"/>
  <c r="Q21" i="1"/>
  <c r="Q956" i="1"/>
  <c r="Q869" i="1"/>
  <c r="Q29" i="1"/>
  <c r="Q37" i="1"/>
  <c r="Q948" i="1"/>
  <c r="Q38" i="1"/>
  <c r="Q483" i="1"/>
  <c r="Q486" i="1"/>
  <c r="Q47" i="1"/>
  <c r="Q818" i="1"/>
  <c r="Q497" i="1"/>
  <c r="Q498" i="1"/>
  <c r="Q499" i="1"/>
  <c r="Q63" i="1"/>
  <c r="Q502" i="1"/>
  <c r="Q914" i="1"/>
  <c r="Q78" i="1"/>
  <c r="Q774" i="1"/>
  <c r="Q520" i="1"/>
  <c r="Q1019" i="1"/>
  <c r="Q85" i="1"/>
  <c r="Q526" i="1"/>
  <c r="Q528" i="1"/>
  <c r="Q902" i="1"/>
  <c r="Q529" i="1"/>
  <c r="Q530" i="1"/>
  <c r="Q101" i="1"/>
  <c r="Q105" i="1"/>
  <c r="Q952" i="1"/>
  <c r="Q533" i="1"/>
  <c r="Q544" i="1"/>
  <c r="Q121" i="1"/>
  <c r="Q122" i="1"/>
  <c r="Q899" i="1"/>
  <c r="Q547" i="1"/>
  <c r="Q549" i="1"/>
  <c r="Q133" i="1"/>
  <c r="Q138" i="1"/>
  <c r="Q565" i="1"/>
  <c r="Q146" i="1"/>
  <c r="Q147" i="1"/>
  <c r="Q950" i="1"/>
  <c r="Q1035" i="1"/>
  <c r="Q161" i="1"/>
  <c r="Q172" i="1"/>
  <c r="Q583" i="1"/>
  <c r="Q906" i="1"/>
  <c r="Q587" i="1"/>
  <c r="Q205" i="1"/>
  <c r="Q924" i="1"/>
  <c r="Q223" i="1"/>
  <c r="Q229" i="1"/>
  <c r="Q784" i="1"/>
  <c r="Q833" i="1"/>
  <c r="Q605" i="1"/>
  <c r="Q606" i="1"/>
  <c r="Q239" i="1"/>
  <c r="Q242" i="1"/>
  <c r="Q909" i="1"/>
  <c r="Q615" i="1"/>
  <c r="Q874" i="1"/>
  <c r="Q621" i="1"/>
  <c r="Q1056" i="1"/>
  <c r="Q633" i="1"/>
  <c r="Q279" i="1"/>
  <c r="Q281" i="1"/>
  <c r="Q903" i="1"/>
  <c r="Q284" i="1"/>
  <c r="Q644" i="1"/>
  <c r="Q928" i="1"/>
  <c r="Q810" i="1"/>
  <c r="Q860" i="1"/>
  <c r="Q304" i="1"/>
  <c r="Q311" i="1"/>
  <c r="Q660" i="1"/>
  <c r="Q670" i="1"/>
  <c r="Q326" i="1"/>
  <c r="Q674" i="1"/>
  <c r="Q336" i="1"/>
  <c r="Q900" i="1"/>
  <c r="Q342" i="1"/>
  <c r="Q1044" i="1"/>
  <c r="Q982" i="1"/>
  <c r="Q767" i="1"/>
  <c r="Q931" i="1"/>
  <c r="Q353" i="1"/>
  <c r="Q847" i="1"/>
  <c r="Q376" i="1"/>
  <c r="Q790" i="1"/>
  <c r="Q702" i="1"/>
  <c r="Q706" i="1"/>
  <c r="Q388" i="1"/>
  <c r="Q389" i="1"/>
  <c r="Q921" i="1"/>
  <c r="Q717" i="1"/>
  <c r="Q976" i="1"/>
  <c r="Q1007" i="1"/>
  <c r="Q408" i="1"/>
  <c r="Q1022" i="1"/>
  <c r="Q411" i="1"/>
  <c r="Q413" i="1"/>
  <c r="Q728" i="1"/>
  <c r="Q416" i="1"/>
  <c r="Q732" i="1"/>
  <c r="Q13" i="1"/>
  <c r="Q739" i="1"/>
  <c r="Q740" i="1"/>
  <c r="Q775" i="1"/>
  <c r="Q746" i="1"/>
  <c r="Q434" i="1"/>
  <c r="Q754" i="1"/>
  <c r="Q811" i="1"/>
  <c r="Q758" i="1"/>
  <c r="Q947" i="1"/>
  <c r="Q927" i="1"/>
  <c r="Q493" i="1"/>
  <c r="Q855" i="1"/>
  <c r="Q253" i="1"/>
  <c r="Q331" i="1"/>
  <c r="Q901" i="1"/>
  <c r="Q1033" i="1"/>
  <c r="Q722" i="1"/>
  <c r="Q1043" i="1"/>
  <c r="Q492" i="1"/>
  <c r="Q866" i="1"/>
  <c r="Q941" i="1"/>
  <c r="Q876" i="1"/>
  <c r="Q469" i="1"/>
  <c r="Q18" i="1"/>
  <c r="Q24" i="1"/>
  <c r="Q868" i="1"/>
  <c r="Q35" i="1"/>
  <c r="Q5" i="1"/>
  <c r="Q40" i="1"/>
  <c r="Q491" i="1"/>
  <c r="Q508" i="1"/>
  <c r="Q82" i="1"/>
  <c r="Q853" i="1"/>
  <c r="Q840" i="1"/>
  <c r="Q521" i="1"/>
  <c r="Q522" i="1"/>
  <c r="Q84" i="1"/>
  <c r="Q523" i="1"/>
  <c r="Q102" i="1"/>
  <c r="Q106" i="1"/>
  <c r="Q108" i="1"/>
  <c r="Q109" i="1"/>
  <c r="Q537" i="1"/>
  <c r="Q872" i="1"/>
  <c r="Q114" i="1"/>
  <c r="Q542" i="1"/>
  <c r="Q1040" i="1"/>
  <c r="Q779" i="1"/>
  <c r="Q857" i="1"/>
  <c r="Q129" i="1"/>
  <c r="Q130" i="1"/>
  <c r="Q132" i="1"/>
  <c r="Q888" i="1"/>
  <c r="Q134" i="1"/>
  <c r="Q135" i="1"/>
  <c r="Q993" i="1"/>
  <c r="Q142" i="1"/>
  <c r="Q145" i="1"/>
  <c r="Q849" i="1"/>
  <c r="Q957" i="1"/>
  <c r="Q186" i="1"/>
  <c r="Q191" i="1"/>
  <c r="Q1049" i="1"/>
  <c r="Q208" i="1"/>
  <c r="Q820" i="1"/>
  <c r="Q214" i="1"/>
  <c r="Q842" i="1"/>
  <c r="Q232" i="1"/>
  <c r="Q1074" i="1"/>
  <c r="Q1011" i="1"/>
  <c r="Q264" i="1"/>
  <c r="Q278" i="1"/>
  <c r="Q1077" i="1"/>
  <c r="Q960" i="1"/>
  <c r="Q839" i="1"/>
  <c r="Q653" i="1"/>
  <c r="Q1032" i="1"/>
  <c r="Q1076" i="1"/>
  <c r="Q324" i="1"/>
  <c r="Q675" i="1"/>
  <c r="Q964" i="1"/>
  <c r="Q339" i="1"/>
  <c r="Q807" i="1"/>
  <c r="Q1052" i="1"/>
  <c r="Q687" i="1"/>
  <c r="Q357" i="1"/>
  <c r="Q699" i="1"/>
  <c r="Q704" i="1"/>
  <c r="Q829" i="1"/>
  <c r="Q713" i="1"/>
  <c r="Q714" i="1"/>
  <c r="Q396" i="1"/>
  <c r="Q397" i="1"/>
  <c r="Q1009" i="1"/>
  <c r="Q973" i="1"/>
  <c r="Q854" i="1"/>
  <c r="Q742" i="1"/>
  <c r="Q432" i="1"/>
  <c r="Q433" i="1"/>
  <c r="Q749" i="1"/>
  <c r="Q441" i="1"/>
  <c r="Q449" i="1"/>
  <c r="Q757" i="1"/>
  <c r="Q859" i="1"/>
  <c r="Q4" i="1"/>
  <c r="Q513" i="1"/>
  <c r="Q118" i="1"/>
  <c r="Q162" i="1"/>
  <c r="Q937" i="1"/>
  <c r="Q780" i="1"/>
  <c r="Q1070" i="1"/>
  <c r="Q913" i="1"/>
  <c r="Q715" i="1"/>
  <c r="Q733" i="1"/>
  <c r="Q592" i="1"/>
  <c r="Q879" i="1"/>
  <c r="Q1008" i="1"/>
  <c r="Q211" i="1"/>
  <c r="Q137" i="1"/>
  <c r="Q285" i="1"/>
  <c r="Q76" i="1"/>
  <c r="Q585" i="1"/>
  <c r="Q637" i="1"/>
  <c r="Q650" i="1"/>
  <c r="Q726" i="1"/>
  <c r="Q569" i="1"/>
  <c r="Q873" i="1"/>
  <c r="Q658" i="1"/>
  <c r="Q867" i="1"/>
  <c r="Q64" i="1"/>
  <c r="Q563" i="1"/>
  <c r="Q883" i="1"/>
  <c r="Q1010" i="1"/>
  <c r="Q348" i="1"/>
  <c r="Q821" i="1"/>
  <c r="Q815" i="1"/>
  <c r="Q478" i="1"/>
  <c r="Q30" i="1"/>
  <c r="Q119" i="1"/>
  <c r="Q595" i="1"/>
  <c r="Q598" i="1"/>
  <c r="Q1083" i="1"/>
  <c r="Q367" i="1"/>
  <c r="Q400" i="1"/>
  <c r="Q793" i="1"/>
  <c r="Q969" i="1"/>
  <c r="Q721" i="1"/>
  <c r="Q9" i="1"/>
  <c r="Q743" i="1"/>
  <c r="Q609" i="1"/>
  <c r="Q978" i="1"/>
  <c r="Q791" i="1"/>
  <c r="Q617" i="1"/>
  <c r="Q612" i="1"/>
  <c r="Q1029" i="1"/>
  <c r="Q777" i="1"/>
  <c r="Q828" i="1"/>
  <c r="Q91" i="1"/>
  <c r="Q270" i="1"/>
  <c r="Q218" i="1"/>
  <c r="Q623" i="1"/>
  <c r="Q918" i="1"/>
  <c r="Q456" i="1"/>
  <c r="Q894" i="1"/>
  <c r="Q230" i="1"/>
  <c r="Q975" i="1"/>
  <c r="Q444" i="1"/>
  <c r="Q716" i="1"/>
  <c r="Q1013" i="1"/>
  <c r="Q1085" i="1"/>
  <c r="Q394" i="1"/>
  <c r="Q795" i="1"/>
  <c r="Q17" i="1"/>
  <c r="Q787" i="1"/>
  <c r="Q470" i="1"/>
  <c r="Q856" i="1"/>
  <c r="Q19" i="1"/>
  <c r="Q944" i="1"/>
  <c r="Q22" i="1"/>
  <c r="Q475" i="1"/>
  <c r="Q476" i="1"/>
  <c r="Q26" i="1"/>
  <c r="Q477" i="1"/>
  <c r="Q479" i="1"/>
  <c r="Q27" i="1"/>
  <c r="Q480" i="1"/>
  <c r="Q32" i="1"/>
  <c r="Q36" i="1"/>
  <c r="Q805" i="1"/>
  <c r="Q968" i="1"/>
  <c r="Q484" i="1"/>
  <c r="Q41" i="1"/>
  <c r="Q42" i="1"/>
  <c r="Q43" i="1"/>
  <c r="Q45" i="1"/>
  <c r="Q988" i="1"/>
  <c r="Q46" i="1"/>
  <c r="Q488" i="1"/>
  <c r="Q490" i="1"/>
  <c r="Q51" i="1"/>
  <c r="Q53" i="1"/>
  <c r="Q495" i="1"/>
  <c r="Q55" i="1"/>
  <c r="Q463" i="1"/>
  <c r="Q58" i="1"/>
  <c r="Q843" i="1"/>
  <c r="Q65" i="1"/>
  <c r="Q66" i="1"/>
  <c r="Q1066" i="1"/>
  <c r="Q68" i="1"/>
  <c r="Q69" i="1"/>
  <c r="Q70" i="1"/>
  <c r="Q953" i="1"/>
  <c r="Q72" i="1"/>
  <c r="Q73" i="1"/>
  <c r="Q761" i="1"/>
  <c r="Q1075" i="1"/>
  <c r="Q778" i="1"/>
  <c r="Q510" i="1"/>
  <c r="Q77" i="1"/>
  <c r="Q861" i="1"/>
  <c r="Q79" i="1"/>
  <c r="Q511" i="1"/>
  <c r="Q81" i="1"/>
  <c r="Q518" i="1"/>
  <c r="Q519" i="1"/>
  <c r="Q86" i="1"/>
  <c r="Q527" i="1"/>
  <c r="Q87" i="1"/>
  <c r="Q88" i="1"/>
  <c r="Q89" i="1"/>
  <c r="Q90" i="1"/>
  <c r="Q465" i="1"/>
  <c r="Q93" i="1"/>
  <c r="Q94" i="1"/>
  <c r="Q531" i="1"/>
  <c r="Q95" i="1"/>
  <c r="Q98" i="1"/>
  <c r="Q100" i="1"/>
  <c r="Q1021" i="1"/>
  <c r="Q103" i="1"/>
  <c r="Q532" i="1"/>
  <c r="Q104" i="1"/>
  <c r="Q1000" i="1"/>
  <c r="Q107" i="1"/>
  <c r="Q926" i="1"/>
  <c r="Q466" i="1"/>
  <c r="Q838" i="1"/>
  <c r="Q110" i="1"/>
  <c r="Q111" i="1"/>
  <c r="Q540" i="1"/>
  <c r="Q117" i="1"/>
  <c r="Q543" i="1"/>
  <c r="Q120" i="1"/>
  <c r="Q963" i="1"/>
  <c r="Q123" i="1"/>
  <c r="Q124" i="1"/>
  <c r="Q908" i="1"/>
  <c r="Q548" i="1"/>
  <c r="Q126" i="1"/>
  <c r="Q940" i="1"/>
  <c r="Q834" i="1"/>
  <c r="Q14" i="1"/>
  <c r="Q551" i="1"/>
  <c r="Q553" i="1"/>
  <c r="Q554" i="1"/>
  <c r="Q555" i="1"/>
  <c r="Q925" i="1"/>
  <c r="Q461" i="1"/>
  <c r="Q559" i="1"/>
  <c r="Q136" i="1"/>
  <c r="Q846" i="1"/>
  <c r="Q770" i="1"/>
  <c r="Q561" i="1"/>
  <c r="Q140" i="1"/>
  <c r="Q141" i="1"/>
  <c r="Q143" i="1"/>
  <c r="Q566" i="1"/>
  <c r="Q144" i="1"/>
  <c r="Q148" i="1"/>
  <c r="Q149" i="1"/>
  <c r="Q836" i="1"/>
  <c r="Q151" i="1"/>
  <c r="Q152" i="1"/>
  <c r="Q153" i="1"/>
  <c r="Q154" i="1"/>
  <c r="Q570" i="1"/>
  <c r="Q156" i="1"/>
  <c r="Q157" i="1"/>
  <c r="Q158" i="1"/>
  <c r="Q572" i="1"/>
  <c r="Q819" i="1"/>
  <c r="Q159" i="1"/>
  <c r="Q160" i="1"/>
  <c r="Q573" i="1"/>
  <c r="Q163" i="1"/>
  <c r="Q165" i="1"/>
  <c r="Q939" i="1"/>
  <c r="Q166" i="1"/>
  <c r="Q167" i="1"/>
  <c r="Q171" i="1"/>
  <c r="Q576" i="1"/>
  <c r="Q896" i="1"/>
  <c r="Q462" i="1"/>
  <c r="Q175" i="1"/>
  <c r="Q176" i="1"/>
  <c r="Q1062" i="1"/>
  <c r="Q177" i="1"/>
  <c r="Q806" i="1"/>
  <c r="Q179" i="1"/>
  <c r="Q180" i="1"/>
  <c r="Q579" i="1"/>
  <c r="Q183" i="1"/>
  <c r="Q184" i="1"/>
  <c r="Q1023" i="1"/>
  <c r="Q185" i="1"/>
  <c r="Q187" i="1"/>
  <c r="Q1037" i="1"/>
  <c r="Q188" i="1"/>
  <c r="Q897" i="1"/>
  <c r="Q934" i="1"/>
  <c r="Q858" i="1"/>
  <c r="Q938" i="1"/>
  <c r="Q586" i="1"/>
  <c r="Q588" i="1"/>
  <c r="Q196" i="1"/>
  <c r="Q589" i="1"/>
  <c r="Q197" i="1"/>
  <c r="Q1078" i="1"/>
  <c r="Q591" i="1"/>
  <c r="Q198" i="1"/>
  <c r="Q593" i="1"/>
  <c r="Q201" i="1"/>
  <c r="Q203" i="1"/>
  <c r="Q204" i="1"/>
  <c r="Q206" i="1"/>
  <c r="Q596" i="1"/>
  <c r="Q1030" i="1"/>
  <c r="Q210" i="1"/>
  <c r="Q212" i="1"/>
  <c r="Q213" i="1"/>
  <c r="Q216" i="1"/>
  <c r="Q220" i="1"/>
  <c r="Q597" i="1"/>
  <c r="Q221" i="1"/>
  <c r="Q804" i="1"/>
  <c r="Q222" i="1"/>
  <c r="Q224" i="1"/>
  <c r="Q225" i="1"/>
  <c r="Q599" i="1"/>
  <c r="Q226" i="1"/>
  <c r="Q227" i="1"/>
  <c r="Q228" i="1"/>
  <c r="Q233" i="1"/>
  <c r="Q986" i="1"/>
  <c r="Q603" i="1"/>
  <c r="Q235" i="1"/>
  <c r="Q607" i="1"/>
  <c r="Q237" i="1"/>
  <c r="Q608" i="1"/>
  <c r="Q610" i="1"/>
  <c r="Q238" i="1"/>
  <c r="Q862" i="1"/>
  <c r="Q240" i="1"/>
  <c r="Q241" i="1"/>
  <c r="Q781" i="1"/>
  <c r="Q243" i="1"/>
  <c r="Q765" i="1"/>
  <c r="Q245" i="1"/>
  <c r="Q246" i="1"/>
  <c r="Q999" i="1"/>
  <c r="Q249" i="1"/>
  <c r="Q250" i="1"/>
  <c r="Q613" i="1"/>
  <c r="Q1005" i="1"/>
  <c r="Q251" i="1"/>
  <c r="Q254" i="1"/>
  <c r="Q2" i="1"/>
  <c r="Q255" i="1"/>
  <c r="Q256" i="1"/>
  <c r="Q618" i="1"/>
  <c r="Q783" i="1"/>
  <c r="Q259" i="1"/>
  <c r="Q260" i="1"/>
  <c r="Q261" i="1"/>
  <c r="Q262" i="1"/>
  <c r="Q985" i="1"/>
  <c r="Q263" i="1"/>
  <c r="Q265" i="1"/>
  <c r="Q266" i="1"/>
  <c r="Q267" i="1"/>
  <c r="Q268" i="1"/>
  <c r="Q271" i="1"/>
  <c r="Q631" i="1"/>
  <c r="Q984" i="1"/>
  <c r="Q273" i="1"/>
  <c r="Q274" i="1"/>
  <c r="Q275" i="1"/>
  <c r="Q276" i="1"/>
  <c r="Q277" i="1"/>
  <c r="Q634" i="1"/>
  <c r="Q464" i="1"/>
  <c r="Q812" i="1"/>
  <c r="Q638" i="1"/>
  <c r="Q283" i="1"/>
  <c r="Q286" i="1"/>
  <c r="Q641" i="1"/>
  <c r="Q642" i="1"/>
  <c r="Q287" i="1"/>
  <c r="Q288" i="1"/>
  <c r="Q292" i="1"/>
  <c r="Q293" i="1"/>
  <c r="Q646" i="1"/>
  <c r="Q647" i="1"/>
  <c r="Q294" i="1"/>
  <c r="Q649" i="1"/>
  <c r="Q295" i="1"/>
  <c r="Q298" i="1"/>
  <c r="Q651" i="1"/>
  <c r="Q299" i="1"/>
  <c r="Q300" i="1"/>
  <c r="Q652" i="1"/>
  <c r="Q301" i="1"/>
  <c r="Q303" i="1"/>
  <c r="Q1080" i="1"/>
  <c r="Q306" i="1"/>
  <c r="Q308" i="1"/>
  <c r="Q309" i="1"/>
  <c r="Q310" i="1"/>
  <c r="Q661" i="1"/>
  <c r="Q314" i="1"/>
  <c r="Q315" i="1"/>
  <c r="Q992" i="1"/>
  <c r="Q318" i="1"/>
  <c r="Q668" i="1"/>
  <c r="Q766" i="1"/>
  <c r="Q669" i="1"/>
  <c r="Q841" i="1"/>
  <c r="Q822" i="1"/>
  <c r="Q987" i="1"/>
  <c r="Q889" i="1"/>
  <c r="Q322" i="1"/>
  <c r="Q325" i="1"/>
  <c r="Q673" i="1"/>
  <c r="Q327" i="1"/>
  <c r="Q328" i="1"/>
  <c r="Q330" i="1"/>
  <c r="Q332" i="1"/>
  <c r="Q333" i="1"/>
  <c r="Q334" i="1"/>
  <c r="Q335" i="1"/>
  <c r="Q677" i="1"/>
  <c r="Q679" i="1"/>
  <c r="Q337" i="1"/>
  <c r="Q338" i="1"/>
  <c r="Q340" i="1"/>
  <c r="Q974" i="1"/>
  <c r="Q680" i="1"/>
  <c r="Q10" i="1"/>
  <c r="Q682" i="1"/>
  <c r="Q341" i="1"/>
  <c r="Q915" i="1"/>
  <c r="Q346" i="1"/>
  <c r="Q977" i="1"/>
  <c r="Q932" i="1"/>
  <c r="Q351" i="1"/>
  <c r="Q980" i="1"/>
  <c r="Q354" i="1"/>
  <c r="Q943" i="1"/>
  <c r="Q355" i="1"/>
  <c r="Q688" i="1"/>
  <c r="Q689" i="1"/>
  <c r="Q356" i="1"/>
  <c r="Q895" i="1"/>
  <c r="Q358" i="1"/>
  <c r="Q360" i="1"/>
  <c r="Q362" i="1"/>
  <c r="Q1068" i="1"/>
  <c r="Q697" i="1"/>
  <c r="Q698" i="1"/>
  <c r="Q768" i="1"/>
  <c r="Q1018" i="1"/>
  <c r="Q365" i="1"/>
  <c r="Q990" i="1"/>
  <c r="Q371" i="1"/>
  <c r="Q372" i="1"/>
  <c r="Q373" i="1"/>
  <c r="Q374" i="1"/>
  <c r="Q379" i="1"/>
  <c r="Q383" i="1"/>
  <c r="Q705" i="1"/>
  <c r="Q384" i="1"/>
  <c r="Q708" i="1"/>
  <c r="Q711" i="1"/>
  <c r="Q904" i="1"/>
  <c r="Q800" i="1"/>
  <c r="Q391" i="1"/>
  <c r="Q392" i="1"/>
  <c r="Q393" i="1"/>
  <c r="Q395" i="1"/>
  <c r="Q12" i="1"/>
  <c r="Q398" i="1"/>
  <c r="Q719" i="1"/>
  <c r="Q981" i="1"/>
  <c r="Q403" i="1"/>
  <c r="Q404" i="1"/>
  <c r="Q405" i="1"/>
  <c r="Q406" i="1"/>
  <c r="Q407" i="1"/>
  <c r="Q965" i="1"/>
  <c r="Q412" i="1"/>
  <c r="Q724" i="1"/>
  <c r="Q725" i="1"/>
  <c r="Q414" i="1"/>
  <c r="Q415" i="1"/>
  <c r="Q729" i="1"/>
  <c r="Q417" i="1"/>
  <c r="Q8" i="1"/>
  <c r="Q731" i="1"/>
  <c r="Q967" i="1"/>
  <c r="Q419" i="1"/>
  <c r="Q983" i="1"/>
  <c r="Q420" i="1"/>
  <c r="Q881" i="1"/>
  <c r="Q734" i="1"/>
  <c r="Q422" i="1"/>
  <c r="Q423" i="1"/>
  <c r="Q424" i="1"/>
  <c r="Q1087" i="1"/>
  <c r="Q426" i="1"/>
  <c r="Q736" i="1"/>
  <c r="Q427" i="1"/>
  <c r="Q428" i="1"/>
  <c r="Q737" i="1"/>
  <c r="Q738" i="1"/>
  <c r="Q430" i="1"/>
  <c r="Q745" i="1"/>
  <c r="Q759" i="1"/>
  <c r="Q1004" i="1"/>
  <c r="Q994" i="1"/>
  <c r="Q1079" i="1"/>
  <c r="Q437" i="1"/>
  <c r="Q438" i="1"/>
  <c r="Q439" i="1"/>
  <c r="Q751" i="1"/>
  <c r="Q752" i="1"/>
  <c r="Q442" i="1"/>
  <c r="Q1006" i="1"/>
  <c r="Q445" i="1"/>
  <c r="Q755" i="1"/>
  <c r="Q826" i="1"/>
  <c r="Q446" i="1"/>
  <c r="Q450" i="1"/>
  <c r="Q451" i="1"/>
  <c r="Q452" i="1"/>
  <c r="Q756" i="1"/>
  <c r="Q455" i="1"/>
  <c r="Q457" i="1"/>
  <c r="Q458" i="1"/>
  <c r="Q1061" i="1"/>
  <c r="Q459" i="1"/>
  <c r="Q773" i="1"/>
  <c r="P970" i="1"/>
  <c r="P971" i="1"/>
  <c r="P567" i="1"/>
  <c r="P15" i="1"/>
  <c r="P808" i="1"/>
  <c r="P863" i="1"/>
  <c r="P997" i="1"/>
  <c r="P880" i="1"/>
  <c r="P1041" i="1"/>
  <c r="P289" i="1"/>
  <c r="P802" i="1"/>
  <c r="P11" i="1"/>
  <c r="P234" i="1"/>
  <c r="P792" i="1"/>
  <c r="P801" i="1"/>
  <c r="P538" i="1"/>
  <c r="P640" i="1"/>
  <c r="P877" i="1"/>
  <c r="P556" i="1"/>
  <c r="P368" i="1"/>
  <c r="P31" i="1"/>
  <c r="P181" i="1"/>
  <c r="P482" i="1"/>
  <c r="P535" i="1"/>
  <c r="P20" i="1"/>
  <c r="P215" i="1"/>
  <c r="P920" i="1"/>
  <c r="P202" i="1"/>
  <c r="P209" i="1"/>
  <c r="P786" i="1"/>
  <c r="P620" i="1"/>
  <c r="P935" i="1"/>
  <c r="P604" i="1"/>
  <c r="P693" i="1"/>
  <c r="P505" i="1"/>
  <c r="P933" i="1"/>
  <c r="P911" i="1"/>
  <c r="P891" i="1"/>
  <c r="P1025" i="1"/>
  <c r="P23" i="1"/>
  <c r="P782" i="1"/>
  <c r="P3" i="1"/>
  <c r="P481" i="1"/>
  <c r="P489" i="1"/>
  <c r="P48" i="1"/>
  <c r="P50" i="1"/>
  <c r="P1059" i="1"/>
  <c r="P52" i="1"/>
  <c r="P56" i="1"/>
  <c r="P59" i="1"/>
  <c r="P61" i="1"/>
  <c r="P501" i="1"/>
  <c r="P468" i="1"/>
  <c r="P67" i="1"/>
  <c r="P503" i="1"/>
  <c r="P71" i="1"/>
  <c r="P506" i="1"/>
  <c r="P1053" i="1"/>
  <c r="P509" i="1"/>
  <c r="P467" i="1"/>
  <c r="P890" i="1"/>
  <c r="P514" i="1"/>
  <c r="P515" i="1"/>
  <c r="P83" i="1"/>
  <c r="P516" i="1"/>
  <c r="P517" i="1"/>
  <c r="P966" i="1"/>
  <c r="P851" i="1"/>
  <c r="P870" i="1"/>
  <c r="P785" i="1"/>
  <c r="P96" i="1"/>
  <c r="P97" i="1"/>
  <c r="P1048" i="1"/>
  <c r="P972" i="1"/>
  <c r="P539" i="1"/>
  <c r="P115" i="1"/>
  <c r="P541" i="1"/>
  <c r="P545" i="1"/>
  <c r="P125" i="1"/>
  <c r="P546" i="1"/>
  <c r="P127" i="1"/>
  <c r="P128" i="1"/>
  <c r="P823" i="1"/>
  <c r="P772" i="1"/>
  <c r="P788" i="1"/>
  <c r="P139" i="1"/>
  <c r="P887" i="1"/>
  <c r="P564" i="1"/>
  <c r="P885" i="1"/>
  <c r="P830" i="1"/>
  <c r="P150" i="1"/>
  <c r="P571" i="1"/>
  <c r="P164" i="1"/>
  <c r="P168" i="1"/>
  <c r="P169" i="1"/>
  <c r="P170" i="1"/>
  <c r="P577" i="1"/>
  <c r="P578" i="1"/>
  <c r="P178" i="1"/>
  <c r="P763" i="1"/>
  <c r="P798" i="1"/>
  <c r="P580" i="1"/>
  <c r="P189" i="1"/>
  <c r="P582" i="1"/>
  <c r="P192" i="1"/>
  <c r="P193" i="1"/>
  <c r="P195" i="1"/>
  <c r="P1055" i="1"/>
  <c r="P590" i="1"/>
  <c r="P231" i="1"/>
  <c r="P600" i="1"/>
  <c r="P601" i="1"/>
  <c r="P611" i="1"/>
  <c r="P951" i="1"/>
  <c r="P771" i="1"/>
  <c r="P247" i="1"/>
  <c r="P991" i="1"/>
  <c r="P252" i="1"/>
  <c r="P257" i="1"/>
  <c r="P258" i="1"/>
  <c r="P622" i="1"/>
  <c r="P852" i="1"/>
  <c r="P625" i="1"/>
  <c r="P1042" i="1"/>
  <c r="P626" i="1"/>
  <c r="P630" i="1"/>
  <c r="P272" i="1"/>
  <c r="P632" i="1"/>
  <c r="P635" i="1"/>
  <c r="P636" i="1"/>
  <c r="P848" i="1"/>
  <c r="P1058" i="1"/>
  <c r="P1064" i="1"/>
  <c r="P645" i="1"/>
  <c r="P290" i="1"/>
  <c r="P291" i="1"/>
  <c r="P1086" i="1"/>
  <c r="P648" i="1"/>
  <c r="P979" i="1"/>
  <c r="P297" i="1"/>
  <c r="P655" i="1"/>
  <c r="P305" i="1"/>
  <c r="P1012" i="1"/>
  <c r="P958" i="1"/>
  <c r="P662" i="1"/>
  <c r="P316" i="1"/>
  <c r="P664" i="1"/>
  <c r="P320" i="1"/>
  <c r="P321" i="1"/>
  <c r="P323" i="1"/>
  <c r="P799" i="1"/>
  <c r="P329" i="1"/>
  <c r="P681" i="1"/>
  <c r="P892" i="1"/>
  <c r="P343" i="1"/>
  <c r="P1003" i="1"/>
  <c r="P344" i="1"/>
  <c r="P686" i="1"/>
  <c r="P347" i="1"/>
  <c r="P349" i="1"/>
  <c r="P352" i="1"/>
  <c r="P691" i="1"/>
  <c r="P692" i="1"/>
  <c r="P359" i="1"/>
  <c r="P832" i="1"/>
  <c r="P694" i="1"/>
  <c r="P696" i="1"/>
  <c r="P363" i="1"/>
  <c r="P364" i="1"/>
  <c r="P366" i="1"/>
  <c r="P369" i="1"/>
  <c r="P370" i="1"/>
  <c r="P954" i="1"/>
  <c r="P377" i="1"/>
  <c r="P380" i="1"/>
  <c r="P700" i="1"/>
  <c r="P701" i="1"/>
  <c r="P382" i="1"/>
  <c r="P386" i="1"/>
  <c r="P707" i="1"/>
  <c r="P850" i="1"/>
  <c r="P831" i="1"/>
  <c r="P709" i="1"/>
  <c r="P995" i="1"/>
  <c r="P390" i="1"/>
  <c r="P1065" i="1"/>
  <c r="P401" i="1"/>
  <c r="P1034" i="1"/>
  <c r="P723" i="1"/>
  <c r="P727" i="1"/>
  <c r="P769" i="1"/>
  <c r="P919" i="1"/>
  <c r="P961" i="1"/>
  <c r="P425" i="1"/>
  <c r="P1002" i="1"/>
  <c r="P741" i="1"/>
  <c r="P431" i="1"/>
  <c r="P744" i="1"/>
  <c r="P893" i="1"/>
  <c r="P436" i="1"/>
  <c r="P750" i="1"/>
  <c r="P753" i="1"/>
  <c r="P443" i="1"/>
  <c r="P447" i="1"/>
  <c r="P448" i="1"/>
  <c r="P460" i="1"/>
  <c r="P946" i="1"/>
  <c r="P712" i="1"/>
  <c r="P809" i="1"/>
  <c r="P1028" i="1"/>
  <c r="P659" i="1"/>
  <c r="P1051" i="1"/>
  <c r="P494" i="1"/>
  <c r="P60" i="1"/>
  <c r="P1001" i="1"/>
  <c r="P558" i="1"/>
  <c r="P917" i="1"/>
  <c r="P614" i="1"/>
  <c r="P1082" i="1"/>
  <c r="P639" i="1"/>
  <c r="P789" i="1"/>
  <c r="P440" i="1"/>
  <c r="P695" i="1"/>
  <c r="P825" i="1"/>
  <c r="P922" i="1"/>
  <c r="P929" i="1"/>
  <c r="P472" i="1"/>
  <c r="P473" i="1"/>
  <c r="P882" i="1"/>
  <c r="P962" i="1"/>
  <c r="P1026" i="1"/>
  <c r="P500" i="1"/>
  <c r="P996" i="1"/>
  <c r="P75" i="1"/>
  <c r="P936" i="1"/>
  <c r="P525" i="1"/>
  <c r="P923" i="1"/>
  <c r="P92" i="1"/>
  <c r="P99" i="1"/>
  <c r="P1071" i="1"/>
  <c r="P112" i="1"/>
  <c r="P116" i="1"/>
  <c r="P1054" i="1"/>
  <c r="P1088" i="1"/>
  <c r="P1038" i="1"/>
  <c r="P1063" i="1"/>
  <c r="P155" i="1"/>
  <c r="P574" i="1"/>
  <c r="P575" i="1"/>
  <c r="P760" i="1"/>
  <c r="P182" i="1"/>
  <c r="P190" i="1"/>
  <c r="P581" i="1"/>
  <c r="P199" i="1"/>
  <c r="P989" i="1"/>
  <c r="P1014" i="1"/>
  <c r="P845" i="1"/>
  <c r="P602" i="1"/>
  <c r="P236" i="1"/>
  <c r="P912" i="1"/>
  <c r="P764" i="1"/>
  <c r="P616" i="1"/>
  <c r="P905" i="1"/>
  <c r="P1084" i="1"/>
  <c r="P1050" i="1"/>
  <c r="P269" i="1"/>
  <c r="P628" i="1"/>
  <c r="P629" i="1"/>
  <c r="P280" i="1"/>
  <c r="P282" i="1"/>
  <c r="P1015" i="1"/>
  <c r="P1031" i="1"/>
  <c r="P813" i="1"/>
  <c r="P296" i="1"/>
  <c r="P654" i="1"/>
  <c r="P302" i="1"/>
  <c r="P657" i="1"/>
  <c r="P1036" i="1"/>
  <c r="P930" i="1"/>
  <c r="P671" i="1"/>
  <c r="P672" i="1"/>
  <c r="P678" i="1"/>
  <c r="P1069" i="1"/>
  <c r="P684" i="1"/>
  <c r="P910" i="1"/>
  <c r="P685" i="1"/>
  <c r="P350" i="1"/>
  <c r="P797" i="1"/>
  <c r="P886" i="1"/>
  <c r="P378" i="1"/>
  <c r="P385" i="1"/>
  <c r="P402" i="1"/>
  <c r="P1024" i="1"/>
  <c r="P429" i="1"/>
  <c r="P747" i="1"/>
  <c r="P1057" i="1"/>
  <c r="P57" i="1"/>
  <c r="P955" i="1"/>
  <c r="P487" i="1"/>
  <c r="P1081" i="1"/>
  <c r="P550" i="1"/>
  <c r="P1045" i="1"/>
  <c r="P7" i="1"/>
  <c r="P248" i="1"/>
  <c r="P624" i="1"/>
  <c r="P875" i="1"/>
  <c r="P794" i="1"/>
  <c r="P884" i="1"/>
  <c r="P667" i="1"/>
  <c r="P690" i="1"/>
  <c r="P409" i="1"/>
  <c r="P1047" i="1"/>
  <c r="P504" i="1"/>
  <c r="P803" i="1"/>
  <c r="P871" i="1"/>
  <c r="P827" i="1"/>
  <c r="P552" i="1"/>
  <c r="P562" i="1"/>
  <c r="P1046" i="1"/>
  <c r="P1020" i="1"/>
  <c r="P865" i="1"/>
  <c r="P1067" i="1"/>
  <c r="P796" i="1"/>
  <c r="P703" i="1"/>
  <c r="P735" i="1"/>
  <c r="P864" i="1"/>
  <c r="P643" i="1"/>
  <c r="P720" i="1"/>
  <c r="P907" i="1"/>
  <c r="P16" i="1"/>
  <c r="P33" i="1"/>
  <c r="P34" i="1"/>
  <c r="P485" i="1"/>
  <c r="P49" i="1"/>
  <c r="P54" i="1"/>
  <c r="P62" i="1"/>
  <c r="P507" i="1"/>
  <c r="P74" i="1"/>
  <c r="P512" i="1"/>
  <c r="P524" i="1"/>
  <c r="P916" i="1"/>
  <c r="P534" i="1"/>
  <c r="P536" i="1"/>
  <c r="P942" i="1"/>
  <c r="P1016" i="1"/>
  <c r="P762" i="1"/>
  <c r="P131" i="1"/>
  <c r="P817" i="1"/>
  <c r="P568" i="1"/>
  <c r="P173" i="1"/>
  <c r="P194" i="1"/>
  <c r="P312" i="1"/>
  <c r="P317" i="1"/>
  <c r="P676" i="1"/>
  <c r="P683" i="1"/>
  <c r="P345" i="1"/>
  <c r="P421" i="1"/>
  <c r="P435" i="1"/>
  <c r="P453" i="1"/>
  <c r="P557" i="1"/>
  <c r="P399" i="1"/>
  <c r="P627" i="1"/>
  <c r="P44" i="1"/>
  <c r="P949" i="1"/>
  <c r="P594" i="1"/>
  <c r="P748" i="1"/>
  <c r="P174" i="1"/>
  <c r="P387" i="1"/>
  <c r="P584" i="1"/>
  <c r="P1073" i="1"/>
  <c r="P663" i="1"/>
  <c r="P474" i="1"/>
  <c r="P25" i="1"/>
  <c r="P28" i="1"/>
  <c r="P837" i="1"/>
  <c r="P496" i="1"/>
  <c r="P945" i="1"/>
  <c r="P80" i="1"/>
  <c r="P113" i="1"/>
  <c r="P560" i="1"/>
  <c r="P200" i="1"/>
  <c r="P207" i="1"/>
  <c r="P217" i="1"/>
  <c r="P898" i="1"/>
  <c r="P244" i="1"/>
  <c r="P619" i="1"/>
  <c r="P998" i="1"/>
  <c r="P656" i="1"/>
  <c r="P665" i="1"/>
  <c r="P319" i="1"/>
  <c r="P776" i="1"/>
  <c r="P878" i="1"/>
  <c r="P361" i="1"/>
  <c r="P375" i="1"/>
  <c r="P381" i="1"/>
  <c r="P710" i="1"/>
  <c r="P814" i="1"/>
  <c r="P718" i="1"/>
  <c r="P410" i="1"/>
  <c r="P844" i="1"/>
  <c r="P1039" i="1"/>
  <c r="P959" i="1"/>
  <c r="P454" i="1"/>
  <c r="P824" i="1"/>
  <c r="P1027" i="1"/>
  <c r="P1072" i="1"/>
  <c r="P835" i="1"/>
  <c r="P1017" i="1"/>
  <c r="P1060" i="1"/>
  <c r="P313" i="1"/>
  <c r="P730" i="1"/>
  <c r="P219" i="1"/>
  <c r="P418" i="1"/>
  <c r="P666" i="1"/>
  <c r="P816" i="1"/>
  <c r="P307" i="1"/>
  <c r="P6" i="1"/>
  <c r="P39" i="1"/>
  <c r="P471" i="1"/>
  <c r="P21" i="1"/>
  <c r="P956" i="1"/>
  <c r="P869" i="1"/>
  <c r="P29" i="1"/>
  <c r="P37" i="1"/>
  <c r="P948" i="1"/>
  <c r="P38" i="1"/>
  <c r="P483" i="1"/>
  <c r="P486" i="1"/>
  <c r="P47" i="1"/>
  <c r="P818" i="1"/>
  <c r="P497" i="1"/>
  <c r="P498" i="1"/>
  <c r="P499" i="1"/>
  <c r="P63" i="1"/>
  <c r="P502" i="1"/>
  <c r="P914" i="1"/>
  <c r="P78" i="1"/>
  <c r="P774" i="1"/>
  <c r="P520" i="1"/>
  <c r="P1019" i="1"/>
  <c r="P85" i="1"/>
  <c r="P526" i="1"/>
  <c r="P528" i="1"/>
  <c r="P902" i="1"/>
  <c r="P529" i="1"/>
  <c r="P530" i="1"/>
  <c r="P101" i="1"/>
  <c r="P105" i="1"/>
  <c r="P952" i="1"/>
  <c r="P533" i="1"/>
  <c r="P544" i="1"/>
  <c r="P121" i="1"/>
  <c r="P122" i="1"/>
  <c r="P899" i="1"/>
  <c r="P547" i="1"/>
  <c r="P549" i="1"/>
  <c r="P133" i="1"/>
  <c r="P138" i="1"/>
  <c r="P565" i="1"/>
  <c r="P146" i="1"/>
  <c r="P147" i="1"/>
  <c r="P950" i="1"/>
  <c r="P1035" i="1"/>
  <c r="P161" i="1"/>
  <c r="P172" i="1"/>
  <c r="P583" i="1"/>
  <c r="P906" i="1"/>
  <c r="P587" i="1"/>
  <c r="P205" i="1"/>
  <c r="P924" i="1"/>
  <c r="P223" i="1"/>
  <c r="P229" i="1"/>
  <c r="P784" i="1"/>
  <c r="P833" i="1"/>
  <c r="P605" i="1"/>
  <c r="P606" i="1"/>
  <c r="P239" i="1"/>
  <c r="P242" i="1"/>
  <c r="P909" i="1"/>
  <c r="P615" i="1"/>
  <c r="P874" i="1"/>
  <c r="P621" i="1"/>
  <c r="P1056" i="1"/>
  <c r="P633" i="1"/>
  <c r="P279" i="1"/>
  <c r="P281" i="1"/>
  <c r="P903" i="1"/>
  <c r="P284" i="1"/>
  <c r="P644" i="1"/>
  <c r="P928" i="1"/>
  <c r="P810" i="1"/>
  <c r="P860" i="1"/>
  <c r="P304" i="1"/>
  <c r="P311" i="1"/>
  <c r="P660" i="1"/>
  <c r="P670" i="1"/>
  <c r="P326" i="1"/>
  <c r="P674" i="1"/>
  <c r="P336" i="1"/>
  <c r="P900" i="1"/>
  <c r="P342" i="1"/>
  <c r="P1044" i="1"/>
  <c r="P982" i="1"/>
  <c r="P767" i="1"/>
  <c r="P931" i="1"/>
  <c r="P353" i="1"/>
  <c r="P847" i="1"/>
  <c r="P376" i="1"/>
  <c r="P790" i="1"/>
  <c r="P702" i="1"/>
  <c r="P706" i="1"/>
  <c r="P388" i="1"/>
  <c r="P389" i="1"/>
  <c r="P921" i="1"/>
  <c r="P717" i="1"/>
  <c r="P976" i="1"/>
  <c r="P1007" i="1"/>
  <c r="P408" i="1"/>
  <c r="P1022" i="1"/>
  <c r="P411" i="1"/>
  <c r="P413" i="1"/>
  <c r="P728" i="1"/>
  <c r="P416" i="1"/>
  <c r="P732" i="1"/>
  <c r="P13" i="1"/>
  <c r="P739" i="1"/>
  <c r="P740" i="1"/>
  <c r="P775" i="1"/>
  <c r="P746" i="1"/>
  <c r="P434" i="1"/>
  <c r="P754" i="1"/>
  <c r="P811" i="1"/>
  <c r="P758" i="1"/>
  <c r="P947" i="1"/>
  <c r="P927" i="1"/>
  <c r="P493" i="1"/>
  <c r="P855" i="1"/>
  <c r="P253" i="1"/>
  <c r="P331" i="1"/>
  <c r="P901" i="1"/>
  <c r="P1033" i="1"/>
  <c r="P722" i="1"/>
  <c r="P1043" i="1"/>
  <c r="P492" i="1"/>
  <c r="P866" i="1"/>
  <c r="P941" i="1"/>
  <c r="P876" i="1"/>
  <c r="P469" i="1"/>
  <c r="P18" i="1"/>
  <c r="P24" i="1"/>
  <c r="P868" i="1"/>
  <c r="P35" i="1"/>
  <c r="P5" i="1"/>
  <c r="P40" i="1"/>
  <c r="P491" i="1"/>
  <c r="P508" i="1"/>
  <c r="P82" i="1"/>
  <c r="P853" i="1"/>
  <c r="P840" i="1"/>
  <c r="P521" i="1"/>
  <c r="P522" i="1"/>
  <c r="P84" i="1"/>
  <c r="P523" i="1"/>
  <c r="P102" i="1"/>
  <c r="P106" i="1"/>
  <c r="P108" i="1"/>
  <c r="P109" i="1"/>
  <c r="P537" i="1"/>
  <c r="P872" i="1"/>
  <c r="P114" i="1"/>
  <c r="P542" i="1"/>
  <c r="P1040" i="1"/>
  <c r="P779" i="1"/>
  <c r="P857" i="1"/>
  <c r="P129" i="1"/>
  <c r="P130" i="1"/>
  <c r="P132" i="1"/>
  <c r="P888" i="1"/>
  <c r="P134" i="1"/>
  <c r="P135" i="1"/>
  <c r="P993" i="1"/>
  <c r="P142" i="1"/>
  <c r="P145" i="1"/>
  <c r="P849" i="1"/>
  <c r="P957" i="1"/>
  <c r="P186" i="1"/>
  <c r="P191" i="1"/>
  <c r="P1049" i="1"/>
  <c r="P208" i="1"/>
  <c r="P820" i="1"/>
  <c r="P214" i="1"/>
  <c r="P842" i="1"/>
  <c r="P232" i="1"/>
  <c r="P1074" i="1"/>
  <c r="P1011" i="1"/>
  <c r="P264" i="1"/>
  <c r="P278" i="1"/>
  <c r="P1077" i="1"/>
  <c r="P960" i="1"/>
  <c r="P839" i="1"/>
  <c r="P653" i="1"/>
  <c r="P1032" i="1"/>
  <c r="P1076" i="1"/>
  <c r="P324" i="1"/>
  <c r="P675" i="1"/>
  <c r="P964" i="1"/>
  <c r="P339" i="1"/>
  <c r="P807" i="1"/>
  <c r="P1052" i="1"/>
  <c r="P687" i="1"/>
  <c r="P357" i="1"/>
  <c r="P699" i="1"/>
  <c r="P704" i="1"/>
  <c r="P829" i="1"/>
  <c r="P713" i="1"/>
  <c r="P714" i="1"/>
  <c r="P396" i="1"/>
  <c r="P397" i="1"/>
  <c r="P1009" i="1"/>
  <c r="P973" i="1"/>
  <c r="P854" i="1"/>
  <c r="P742" i="1"/>
  <c r="P432" i="1"/>
  <c r="P433" i="1"/>
  <c r="P749" i="1"/>
  <c r="P441" i="1"/>
  <c r="P449" i="1"/>
  <c r="P757" i="1"/>
  <c r="P859" i="1"/>
  <c r="P4" i="1"/>
  <c r="P513" i="1"/>
  <c r="P118" i="1"/>
  <c r="P162" i="1"/>
  <c r="P937" i="1"/>
  <c r="P780" i="1"/>
  <c r="P1070" i="1"/>
  <c r="P913" i="1"/>
  <c r="P715" i="1"/>
  <c r="P733" i="1"/>
  <c r="P592" i="1"/>
  <c r="P879" i="1"/>
  <c r="P1008" i="1"/>
  <c r="P211" i="1"/>
  <c r="P137" i="1"/>
  <c r="P285" i="1"/>
  <c r="P76" i="1"/>
  <c r="P585" i="1"/>
  <c r="P637" i="1"/>
  <c r="P650" i="1"/>
  <c r="P726" i="1"/>
  <c r="P569" i="1"/>
  <c r="P873" i="1"/>
  <c r="P658" i="1"/>
  <c r="P867" i="1"/>
  <c r="P64" i="1"/>
  <c r="P563" i="1"/>
  <c r="P883" i="1"/>
  <c r="P1010" i="1"/>
  <c r="P348" i="1"/>
  <c r="P821" i="1"/>
  <c r="P815" i="1"/>
  <c r="P478" i="1"/>
  <c r="P30" i="1"/>
  <c r="P119" i="1"/>
  <c r="P595" i="1"/>
  <c r="P598" i="1"/>
  <c r="P1083" i="1"/>
  <c r="P367" i="1"/>
  <c r="P400" i="1"/>
  <c r="P793" i="1"/>
  <c r="P969" i="1"/>
  <c r="P721" i="1"/>
  <c r="P9" i="1"/>
  <c r="P743" i="1"/>
  <c r="P609" i="1"/>
  <c r="P978" i="1"/>
  <c r="P791" i="1"/>
  <c r="P617" i="1"/>
  <c r="P612" i="1"/>
  <c r="P1029" i="1"/>
  <c r="P777" i="1"/>
  <c r="P828" i="1"/>
  <c r="P91" i="1"/>
  <c r="P270" i="1"/>
  <c r="P218" i="1"/>
  <c r="P623" i="1"/>
  <c r="P918" i="1"/>
  <c r="P456" i="1"/>
  <c r="P894" i="1"/>
  <c r="P230" i="1"/>
  <c r="P975" i="1"/>
  <c r="P444" i="1"/>
  <c r="P716" i="1"/>
  <c r="P1013" i="1"/>
  <c r="P1085" i="1"/>
  <c r="P394" i="1"/>
  <c r="P795" i="1"/>
  <c r="P17" i="1"/>
  <c r="P787" i="1"/>
  <c r="P470" i="1"/>
  <c r="P856" i="1"/>
  <c r="P19" i="1"/>
  <c r="P944" i="1"/>
  <c r="P22" i="1"/>
  <c r="P475" i="1"/>
  <c r="P476" i="1"/>
  <c r="P26" i="1"/>
  <c r="P477" i="1"/>
  <c r="P479" i="1"/>
  <c r="P27" i="1"/>
  <c r="P480" i="1"/>
  <c r="P32" i="1"/>
  <c r="P36" i="1"/>
  <c r="P805" i="1"/>
  <c r="P968" i="1"/>
  <c r="P484" i="1"/>
  <c r="P41" i="1"/>
  <c r="P42" i="1"/>
  <c r="P43" i="1"/>
  <c r="P45" i="1"/>
  <c r="P988" i="1"/>
  <c r="P46" i="1"/>
  <c r="P488" i="1"/>
  <c r="P490" i="1"/>
  <c r="P51" i="1"/>
  <c r="P53" i="1"/>
  <c r="P495" i="1"/>
  <c r="P55" i="1"/>
  <c r="P463" i="1"/>
  <c r="P58" i="1"/>
  <c r="P843" i="1"/>
  <c r="P65" i="1"/>
  <c r="P66" i="1"/>
  <c r="P1066" i="1"/>
  <c r="P68" i="1"/>
  <c r="P69" i="1"/>
  <c r="P70" i="1"/>
  <c r="P953" i="1"/>
  <c r="P72" i="1"/>
  <c r="P73" i="1"/>
  <c r="P761" i="1"/>
  <c r="P1075" i="1"/>
  <c r="P778" i="1"/>
  <c r="P510" i="1"/>
  <c r="P77" i="1"/>
  <c r="P861" i="1"/>
  <c r="P79" i="1"/>
  <c r="P511" i="1"/>
  <c r="P81" i="1"/>
  <c r="P518" i="1"/>
  <c r="P519" i="1"/>
  <c r="P86" i="1"/>
  <c r="P527" i="1"/>
  <c r="P87" i="1"/>
  <c r="P88" i="1"/>
  <c r="P89" i="1"/>
  <c r="P90" i="1"/>
  <c r="P465" i="1"/>
  <c r="P93" i="1"/>
  <c r="P94" i="1"/>
  <c r="P531" i="1"/>
  <c r="P95" i="1"/>
  <c r="P98" i="1"/>
  <c r="P100" i="1"/>
  <c r="P1021" i="1"/>
  <c r="P103" i="1"/>
  <c r="P532" i="1"/>
  <c r="P104" i="1"/>
  <c r="P1000" i="1"/>
  <c r="P107" i="1"/>
  <c r="P926" i="1"/>
  <c r="P466" i="1"/>
  <c r="P838" i="1"/>
  <c r="P110" i="1"/>
  <c r="P111" i="1"/>
  <c r="P540" i="1"/>
  <c r="P117" i="1"/>
  <c r="P543" i="1"/>
  <c r="P120" i="1"/>
  <c r="P963" i="1"/>
  <c r="P123" i="1"/>
  <c r="P124" i="1"/>
  <c r="P908" i="1"/>
  <c r="P548" i="1"/>
  <c r="P126" i="1"/>
  <c r="P940" i="1"/>
  <c r="P834" i="1"/>
  <c r="P14" i="1"/>
  <c r="P551" i="1"/>
  <c r="P553" i="1"/>
  <c r="P554" i="1"/>
  <c r="P555" i="1"/>
  <c r="P925" i="1"/>
  <c r="P461" i="1"/>
  <c r="P559" i="1"/>
  <c r="P136" i="1"/>
  <c r="P846" i="1"/>
  <c r="P770" i="1"/>
  <c r="P561" i="1"/>
  <c r="P140" i="1"/>
  <c r="P141" i="1"/>
  <c r="P143" i="1"/>
  <c r="P566" i="1"/>
  <c r="P144" i="1"/>
  <c r="P148" i="1"/>
  <c r="P149" i="1"/>
  <c r="P836" i="1"/>
  <c r="P151" i="1"/>
  <c r="P152" i="1"/>
  <c r="P153" i="1"/>
  <c r="P154" i="1"/>
  <c r="P570" i="1"/>
  <c r="P156" i="1"/>
  <c r="P157" i="1"/>
  <c r="P158" i="1"/>
  <c r="P572" i="1"/>
  <c r="P819" i="1"/>
  <c r="P159" i="1"/>
  <c r="P160" i="1"/>
  <c r="P573" i="1"/>
  <c r="P163" i="1"/>
  <c r="P165" i="1"/>
  <c r="P939" i="1"/>
  <c r="P166" i="1"/>
  <c r="P167" i="1"/>
  <c r="P171" i="1"/>
  <c r="P576" i="1"/>
  <c r="P896" i="1"/>
  <c r="P462" i="1"/>
  <c r="P175" i="1"/>
  <c r="P176" i="1"/>
  <c r="P1062" i="1"/>
  <c r="P177" i="1"/>
  <c r="P806" i="1"/>
  <c r="P179" i="1"/>
  <c r="P180" i="1"/>
  <c r="P579" i="1"/>
  <c r="P183" i="1"/>
  <c r="P184" i="1"/>
  <c r="P1023" i="1"/>
  <c r="P185" i="1"/>
  <c r="P187" i="1"/>
  <c r="P1037" i="1"/>
  <c r="P188" i="1"/>
  <c r="P897" i="1"/>
  <c r="P934" i="1"/>
  <c r="P858" i="1"/>
  <c r="P938" i="1"/>
  <c r="P586" i="1"/>
  <c r="P588" i="1"/>
  <c r="P196" i="1"/>
  <c r="P589" i="1"/>
  <c r="P197" i="1"/>
  <c r="P1078" i="1"/>
  <c r="P591" i="1"/>
  <c r="P198" i="1"/>
  <c r="P593" i="1"/>
  <c r="P201" i="1"/>
  <c r="P203" i="1"/>
  <c r="P204" i="1"/>
  <c r="P206" i="1"/>
  <c r="P596" i="1"/>
  <c r="P1030" i="1"/>
  <c r="P210" i="1"/>
  <c r="P212" i="1"/>
  <c r="P213" i="1"/>
  <c r="P216" i="1"/>
  <c r="P220" i="1"/>
  <c r="P597" i="1"/>
  <c r="P221" i="1"/>
  <c r="P804" i="1"/>
  <c r="P222" i="1"/>
  <c r="P224" i="1"/>
  <c r="P225" i="1"/>
  <c r="P599" i="1"/>
  <c r="P226" i="1"/>
  <c r="P227" i="1"/>
  <c r="P228" i="1"/>
  <c r="P233" i="1"/>
  <c r="P986" i="1"/>
  <c r="P603" i="1"/>
  <c r="P235" i="1"/>
  <c r="P607" i="1"/>
  <c r="P237" i="1"/>
  <c r="P608" i="1"/>
  <c r="P610" i="1"/>
  <c r="P238" i="1"/>
  <c r="P862" i="1"/>
  <c r="P240" i="1"/>
  <c r="P241" i="1"/>
  <c r="P781" i="1"/>
  <c r="P243" i="1"/>
  <c r="P765" i="1"/>
  <c r="P245" i="1"/>
  <c r="P246" i="1"/>
  <c r="P999" i="1"/>
  <c r="P249" i="1"/>
  <c r="P250" i="1"/>
  <c r="P613" i="1"/>
  <c r="P1005" i="1"/>
  <c r="P251" i="1"/>
  <c r="P254" i="1"/>
  <c r="P2" i="1"/>
  <c r="P255" i="1"/>
  <c r="P256" i="1"/>
  <c r="P618" i="1"/>
  <c r="P783" i="1"/>
  <c r="P259" i="1"/>
  <c r="P260" i="1"/>
  <c r="P261" i="1"/>
  <c r="P262" i="1"/>
  <c r="P985" i="1"/>
  <c r="P263" i="1"/>
  <c r="P265" i="1"/>
  <c r="P266" i="1"/>
  <c r="P267" i="1"/>
  <c r="P268" i="1"/>
  <c r="P271" i="1"/>
  <c r="P631" i="1"/>
  <c r="P984" i="1"/>
  <c r="P273" i="1"/>
  <c r="P274" i="1"/>
  <c r="P275" i="1"/>
  <c r="P276" i="1"/>
  <c r="P277" i="1"/>
  <c r="P634" i="1"/>
  <c r="P464" i="1"/>
  <c r="P812" i="1"/>
  <c r="P638" i="1"/>
  <c r="P283" i="1"/>
  <c r="P286" i="1"/>
  <c r="P641" i="1"/>
  <c r="P642" i="1"/>
  <c r="P287" i="1"/>
  <c r="P288" i="1"/>
  <c r="P292" i="1"/>
  <c r="P293" i="1"/>
  <c r="P646" i="1"/>
  <c r="P647" i="1"/>
  <c r="P294" i="1"/>
  <c r="P649" i="1"/>
  <c r="P295" i="1"/>
  <c r="P298" i="1"/>
  <c r="P651" i="1"/>
  <c r="P299" i="1"/>
  <c r="P300" i="1"/>
  <c r="P652" i="1"/>
  <c r="P301" i="1"/>
  <c r="P303" i="1"/>
  <c r="P1080" i="1"/>
  <c r="P306" i="1"/>
  <c r="P308" i="1"/>
  <c r="P309" i="1"/>
  <c r="P310" i="1"/>
  <c r="P661" i="1"/>
  <c r="P314" i="1"/>
  <c r="P315" i="1"/>
  <c r="P992" i="1"/>
  <c r="P318" i="1"/>
  <c r="P668" i="1"/>
  <c r="P766" i="1"/>
  <c r="P669" i="1"/>
  <c r="P841" i="1"/>
  <c r="P822" i="1"/>
  <c r="P987" i="1"/>
  <c r="P889" i="1"/>
  <c r="P322" i="1"/>
  <c r="P325" i="1"/>
  <c r="P673" i="1"/>
  <c r="P327" i="1"/>
  <c r="P328" i="1"/>
  <c r="P330" i="1"/>
  <c r="P332" i="1"/>
  <c r="P333" i="1"/>
  <c r="P334" i="1"/>
  <c r="P335" i="1"/>
  <c r="P677" i="1"/>
  <c r="P679" i="1"/>
  <c r="P337" i="1"/>
  <c r="P338" i="1"/>
  <c r="P340" i="1"/>
  <c r="P974" i="1"/>
  <c r="P680" i="1"/>
  <c r="P10" i="1"/>
  <c r="P682" i="1"/>
  <c r="P341" i="1"/>
  <c r="P915" i="1"/>
  <c r="P346" i="1"/>
  <c r="P977" i="1"/>
  <c r="P932" i="1"/>
  <c r="P351" i="1"/>
  <c r="P980" i="1"/>
  <c r="P354" i="1"/>
  <c r="P943" i="1"/>
  <c r="P355" i="1"/>
  <c r="P688" i="1"/>
  <c r="P689" i="1"/>
  <c r="P356" i="1"/>
  <c r="P895" i="1"/>
  <c r="P358" i="1"/>
  <c r="P360" i="1"/>
  <c r="P362" i="1"/>
  <c r="P1068" i="1"/>
  <c r="P697" i="1"/>
  <c r="P698" i="1"/>
  <c r="P768" i="1"/>
  <c r="P1018" i="1"/>
  <c r="P365" i="1"/>
  <c r="P990" i="1"/>
  <c r="P371" i="1"/>
  <c r="P372" i="1"/>
  <c r="P373" i="1"/>
  <c r="P374" i="1"/>
  <c r="P379" i="1"/>
  <c r="P383" i="1"/>
  <c r="P705" i="1"/>
  <c r="P384" i="1"/>
  <c r="P708" i="1"/>
  <c r="P711" i="1"/>
  <c r="P904" i="1"/>
  <c r="P800" i="1"/>
  <c r="P391" i="1"/>
  <c r="P392" i="1"/>
  <c r="P393" i="1"/>
  <c r="P395" i="1"/>
  <c r="P12" i="1"/>
  <c r="P398" i="1"/>
  <c r="P719" i="1"/>
  <c r="P981" i="1"/>
  <c r="P403" i="1"/>
  <c r="P404" i="1"/>
  <c r="P405" i="1"/>
  <c r="P406" i="1"/>
  <c r="P407" i="1"/>
  <c r="P965" i="1"/>
  <c r="P412" i="1"/>
  <c r="P724" i="1"/>
  <c r="P725" i="1"/>
  <c r="P414" i="1"/>
  <c r="P415" i="1"/>
  <c r="P729" i="1"/>
  <c r="P417" i="1"/>
  <c r="P8" i="1"/>
  <c r="P731" i="1"/>
  <c r="P967" i="1"/>
  <c r="P419" i="1"/>
  <c r="P983" i="1"/>
  <c r="P420" i="1"/>
  <c r="P881" i="1"/>
  <c r="P734" i="1"/>
  <c r="P422" i="1"/>
  <c r="P423" i="1"/>
  <c r="P424" i="1"/>
  <c r="P1087" i="1"/>
  <c r="P426" i="1"/>
  <c r="P736" i="1"/>
  <c r="P427" i="1"/>
  <c r="P428" i="1"/>
  <c r="P737" i="1"/>
  <c r="P738" i="1"/>
  <c r="P430" i="1"/>
  <c r="P745" i="1"/>
  <c r="P759" i="1"/>
  <c r="P1004" i="1"/>
  <c r="P994" i="1"/>
  <c r="P1079" i="1"/>
  <c r="P437" i="1"/>
  <c r="P438" i="1"/>
  <c r="P439" i="1"/>
  <c r="P751" i="1"/>
  <c r="P752" i="1"/>
  <c r="P442" i="1"/>
  <c r="P1006" i="1"/>
  <c r="P445" i="1"/>
  <c r="P755" i="1"/>
  <c r="P826" i="1"/>
  <c r="P446" i="1"/>
  <c r="P450" i="1"/>
  <c r="P451" i="1"/>
  <c r="P452" i="1"/>
  <c r="P756" i="1"/>
  <c r="P455" i="1"/>
  <c r="P457" i="1"/>
  <c r="P458" i="1"/>
  <c r="P1061" i="1"/>
  <c r="P459" i="1"/>
  <c r="P773" i="1"/>
  <c r="O970" i="1"/>
  <c r="O971" i="1"/>
  <c r="O567" i="1"/>
  <c r="O15" i="1"/>
  <c r="O808" i="1"/>
  <c r="O863" i="1"/>
  <c r="O997" i="1"/>
  <c r="O880" i="1"/>
  <c r="O1041" i="1"/>
  <c r="O289" i="1"/>
  <c r="O802" i="1"/>
  <c r="O11" i="1"/>
  <c r="O234" i="1"/>
  <c r="O792" i="1"/>
  <c r="O801" i="1"/>
  <c r="O538" i="1"/>
  <c r="O640" i="1"/>
  <c r="O877" i="1"/>
  <c r="O556" i="1"/>
  <c r="O368" i="1"/>
  <c r="O31" i="1"/>
  <c r="O181" i="1"/>
  <c r="O482" i="1"/>
  <c r="O535" i="1"/>
  <c r="O20" i="1"/>
  <c r="O215" i="1"/>
  <c r="O920" i="1"/>
  <c r="O202" i="1"/>
  <c r="O209" i="1"/>
  <c r="O786" i="1"/>
  <c r="O620" i="1"/>
  <c r="O935" i="1"/>
  <c r="O604" i="1"/>
  <c r="O693" i="1"/>
  <c r="O505" i="1"/>
  <c r="O933" i="1"/>
  <c r="O911" i="1"/>
  <c r="O891" i="1"/>
  <c r="O1025" i="1"/>
  <c r="O23" i="1"/>
  <c r="O782" i="1"/>
  <c r="O3" i="1"/>
  <c r="O481" i="1"/>
  <c r="O489" i="1"/>
  <c r="O48" i="1"/>
  <c r="O50" i="1"/>
  <c r="O1059" i="1"/>
  <c r="O52" i="1"/>
  <c r="O56" i="1"/>
  <c r="O59" i="1"/>
  <c r="O61" i="1"/>
  <c r="O501" i="1"/>
  <c r="O468" i="1"/>
  <c r="O67" i="1"/>
  <c r="O503" i="1"/>
  <c r="O71" i="1"/>
  <c r="O506" i="1"/>
  <c r="O1053" i="1"/>
  <c r="O509" i="1"/>
  <c r="O467" i="1"/>
  <c r="O890" i="1"/>
  <c r="O514" i="1"/>
  <c r="O515" i="1"/>
  <c r="O83" i="1"/>
  <c r="O516" i="1"/>
  <c r="O517" i="1"/>
  <c r="O966" i="1"/>
  <c r="O851" i="1"/>
  <c r="O870" i="1"/>
  <c r="O785" i="1"/>
  <c r="O96" i="1"/>
  <c r="O97" i="1"/>
  <c r="O1048" i="1"/>
  <c r="O972" i="1"/>
  <c r="O539" i="1"/>
  <c r="O115" i="1"/>
  <c r="O541" i="1"/>
  <c r="O545" i="1"/>
  <c r="O125" i="1"/>
  <c r="O546" i="1"/>
  <c r="O127" i="1"/>
  <c r="O128" i="1"/>
  <c r="O823" i="1"/>
  <c r="O772" i="1"/>
  <c r="O788" i="1"/>
  <c r="O139" i="1"/>
  <c r="O887" i="1"/>
  <c r="O564" i="1"/>
  <c r="O885" i="1"/>
  <c r="O830" i="1"/>
  <c r="O150" i="1"/>
  <c r="O571" i="1"/>
  <c r="O164" i="1"/>
  <c r="O168" i="1"/>
  <c r="O169" i="1"/>
  <c r="O170" i="1"/>
  <c r="O577" i="1"/>
  <c r="O578" i="1"/>
  <c r="O178" i="1"/>
  <c r="O763" i="1"/>
  <c r="O798" i="1"/>
  <c r="O580" i="1"/>
  <c r="O189" i="1"/>
  <c r="O582" i="1"/>
  <c r="O192" i="1"/>
  <c r="O193" i="1"/>
  <c r="O195" i="1"/>
  <c r="O1055" i="1"/>
  <c r="O590" i="1"/>
  <c r="O231" i="1"/>
  <c r="O600" i="1"/>
  <c r="O601" i="1"/>
  <c r="O611" i="1"/>
  <c r="O951" i="1"/>
  <c r="O771" i="1"/>
  <c r="O247" i="1"/>
  <c r="O991" i="1"/>
  <c r="O252" i="1"/>
  <c r="O257" i="1"/>
  <c r="O258" i="1"/>
  <c r="O622" i="1"/>
  <c r="O852" i="1"/>
  <c r="O625" i="1"/>
  <c r="O1042" i="1"/>
  <c r="O626" i="1"/>
  <c r="O630" i="1"/>
  <c r="O272" i="1"/>
  <c r="O632" i="1"/>
  <c r="O635" i="1"/>
  <c r="O636" i="1"/>
  <c r="O848" i="1"/>
  <c r="O1058" i="1"/>
  <c r="O1064" i="1"/>
  <c r="O645" i="1"/>
  <c r="O290" i="1"/>
  <c r="O291" i="1"/>
  <c r="O1086" i="1"/>
  <c r="O648" i="1"/>
  <c r="O979" i="1"/>
  <c r="O297" i="1"/>
  <c r="O655" i="1"/>
  <c r="O305" i="1"/>
  <c r="O1012" i="1"/>
  <c r="O958" i="1"/>
  <c r="O662" i="1"/>
  <c r="O316" i="1"/>
  <c r="O664" i="1"/>
  <c r="O320" i="1"/>
  <c r="O321" i="1"/>
  <c r="O323" i="1"/>
  <c r="O799" i="1"/>
  <c r="O329" i="1"/>
  <c r="O681" i="1"/>
  <c r="O892" i="1"/>
  <c r="O343" i="1"/>
  <c r="O1003" i="1"/>
  <c r="O344" i="1"/>
  <c r="O686" i="1"/>
  <c r="O347" i="1"/>
  <c r="O349" i="1"/>
  <c r="O352" i="1"/>
  <c r="O691" i="1"/>
  <c r="O692" i="1"/>
  <c r="O359" i="1"/>
  <c r="O832" i="1"/>
  <c r="O694" i="1"/>
  <c r="O696" i="1"/>
  <c r="O363" i="1"/>
  <c r="O364" i="1"/>
  <c r="O366" i="1"/>
  <c r="O369" i="1"/>
  <c r="O370" i="1"/>
  <c r="O954" i="1"/>
  <c r="O377" i="1"/>
  <c r="O380" i="1"/>
  <c r="O700" i="1"/>
  <c r="O701" i="1"/>
  <c r="O382" i="1"/>
  <c r="O386" i="1"/>
  <c r="O707" i="1"/>
  <c r="O850" i="1"/>
  <c r="O831" i="1"/>
  <c r="O709" i="1"/>
  <c r="O995" i="1"/>
  <c r="O390" i="1"/>
  <c r="O1065" i="1"/>
  <c r="O401" i="1"/>
  <c r="O1034" i="1"/>
  <c r="O723" i="1"/>
  <c r="O727" i="1"/>
  <c r="O769" i="1"/>
  <c r="O919" i="1"/>
  <c r="O961" i="1"/>
  <c r="O425" i="1"/>
  <c r="O1002" i="1"/>
  <c r="O741" i="1"/>
  <c r="O431" i="1"/>
  <c r="O744" i="1"/>
  <c r="O893" i="1"/>
  <c r="O436" i="1"/>
  <c r="O750" i="1"/>
  <c r="O753" i="1"/>
  <c r="O443" i="1"/>
  <c r="O447" i="1"/>
  <c r="O448" i="1"/>
  <c r="O460" i="1"/>
  <c r="O946" i="1"/>
  <c r="O712" i="1"/>
  <c r="O809" i="1"/>
  <c r="O1028" i="1"/>
  <c r="O659" i="1"/>
  <c r="O1051" i="1"/>
  <c r="O494" i="1"/>
  <c r="O60" i="1"/>
  <c r="O1001" i="1"/>
  <c r="O558" i="1"/>
  <c r="O917" i="1"/>
  <c r="O614" i="1"/>
  <c r="O1082" i="1"/>
  <c r="O639" i="1"/>
  <c r="O789" i="1"/>
  <c r="O440" i="1"/>
  <c r="O695" i="1"/>
  <c r="O825" i="1"/>
  <c r="O922" i="1"/>
  <c r="O929" i="1"/>
  <c r="O472" i="1"/>
  <c r="O473" i="1"/>
  <c r="O882" i="1"/>
  <c r="O962" i="1"/>
  <c r="O1026" i="1"/>
  <c r="O500" i="1"/>
  <c r="O996" i="1"/>
  <c r="O75" i="1"/>
  <c r="O936" i="1"/>
  <c r="O525" i="1"/>
  <c r="O923" i="1"/>
  <c r="O92" i="1"/>
  <c r="O99" i="1"/>
  <c r="O1071" i="1"/>
  <c r="O112" i="1"/>
  <c r="O116" i="1"/>
  <c r="O1054" i="1"/>
  <c r="O1088" i="1"/>
  <c r="O1038" i="1"/>
  <c r="O1063" i="1"/>
  <c r="O155" i="1"/>
  <c r="O574" i="1"/>
  <c r="O575" i="1"/>
  <c r="O760" i="1"/>
  <c r="O182" i="1"/>
  <c r="O190" i="1"/>
  <c r="O581" i="1"/>
  <c r="O199" i="1"/>
  <c r="O989" i="1"/>
  <c r="O1014" i="1"/>
  <c r="O845" i="1"/>
  <c r="O602" i="1"/>
  <c r="O236" i="1"/>
  <c r="O912" i="1"/>
  <c r="O764" i="1"/>
  <c r="O616" i="1"/>
  <c r="O905" i="1"/>
  <c r="O1084" i="1"/>
  <c r="O1050" i="1"/>
  <c r="O269" i="1"/>
  <c r="O628" i="1"/>
  <c r="O629" i="1"/>
  <c r="O280" i="1"/>
  <c r="O282" i="1"/>
  <c r="O1015" i="1"/>
  <c r="O1031" i="1"/>
  <c r="O813" i="1"/>
  <c r="O296" i="1"/>
  <c r="O654" i="1"/>
  <c r="O302" i="1"/>
  <c r="O657" i="1"/>
  <c r="O1036" i="1"/>
  <c r="O930" i="1"/>
  <c r="O671" i="1"/>
  <c r="O672" i="1"/>
  <c r="O678" i="1"/>
  <c r="O1069" i="1"/>
  <c r="O684" i="1"/>
  <c r="O910" i="1"/>
  <c r="O685" i="1"/>
  <c r="O350" i="1"/>
  <c r="O797" i="1"/>
  <c r="O886" i="1"/>
  <c r="O378" i="1"/>
  <c r="O385" i="1"/>
  <c r="O402" i="1"/>
  <c r="O1024" i="1"/>
  <c r="O429" i="1"/>
  <c r="O747" i="1"/>
  <c r="O1057" i="1"/>
  <c r="O57" i="1"/>
  <c r="O955" i="1"/>
  <c r="O487" i="1"/>
  <c r="O1081" i="1"/>
  <c r="O550" i="1"/>
  <c r="O1045" i="1"/>
  <c r="O7" i="1"/>
  <c r="O248" i="1"/>
  <c r="O624" i="1"/>
  <c r="O875" i="1"/>
  <c r="O794" i="1"/>
  <c r="O884" i="1"/>
  <c r="O667" i="1"/>
  <c r="O690" i="1"/>
  <c r="O409" i="1"/>
  <c r="O1047" i="1"/>
  <c r="O504" i="1"/>
  <c r="O803" i="1"/>
  <c r="O871" i="1"/>
  <c r="O827" i="1"/>
  <c r="O552" i="1"/>
  <c r="O562" i="1"/>
  <c r="O1046" i="1"/>
  <c r="O1020" i="1"/>
  <c r="O865" i="1"/>
  <c r="O1067" i="1"/>
  <c r="O796" i="1"/>
  <c r="O703" i="1"/>
  <c r="O735" i="1"/>
  <c r="O864" i="1"/>
  <c r="O643" i="1"/>
  <c r="O720" i="1"/>
  <c r="O907" i="1"/>
  <c r="O16" i="1"/>
  <c r="O33" i="1"/>
  <c r="O34" i="1"/>
  <c r="O485" i="1"/>
  <c r="O49" i="1"/>
  <c r="O54" i="1"/>
  <c r="O62" i="1"/>
  <c r="O507" i="1"/>
  <c r="O74" i="1"/>
  <c r="O512" i="1"/>
  <c r="O524" i="1"/>
  <c r="O916" i="1"/>
  <c r="O534" i="1"/>
  <c r="O536" i="1"/>
  <c r="O942" i="1"/>
  <c r="O1016" i="1"/>
  <c r="O762" i="1"/>
  <c r="O131" i="1"/>
  <c r="O817" i="1"/>
  <c r="O568" i="1"/>
  <c r="O173" i="1"/>
  <c r="O194" i="1"/>
  <c r="O312" i="1"/>
  <c r="O317" i="1"/>
  <c r="O676" i="1"/>
  <c r="O683" i="1"/>
  <c r="O345" i="1"/>
  <c r="O421" i="1"/>
  <c r="O435" i="1"/>
  <c r="O453" i="1"/>
  <c r="O557" i="1"/>
  <c r="O399" i="1"/>
  <c r="O627" i="1"/>
  <c r="O44" i="1"/>
  <c r="O949" i="1"/>
  <c r="O594" i="1"/>
  <c r="O748" i="1"/>
  <c r="O174" i="1"/>
  <c r="O387" i="1"/>
  <c r="O584" i="1"/>
  <c r="O1073" i="1"/>
  <c r="O663" i="1"/>
  <c r="O474" i="1"/>
  <c r="O25" i="1"/>
  <c r="O28" i="1"/>
  <c r="O837" i="1"/>
  <c r="O496" i="1"/>
  <c r="O945" i="1"/>
  <c r="O80" i="1"/>
  <c r="O113" i="1"/>
  <c r="O560" i="1"/>
  <c r="O200" i="1"/>
  <c r="O207" i="1"/>
  <c r="O217" i="1"/>
  <c r="O898" i="1"/>
  <c r="O244" i="1"/>
  <c r="O619" i="1"/>
  <c r="O998" i="1"/>
  <c r="O656" i="1"/>
  <c r="O665" i="1"/>
  <c r="O319" i="1"/>
  <c r="O776" i="1"/>
  <c r="O878" i="1"/>
  <c r="O361" i="1"/>
  <c r="O375" i="1"/>
  <c r="O381" i="1"/>
  <c r="O710" i="1"/>
  <c r="O814" i="1"/>
  <c r="O718" i="1"/>
  <c r="O410" i="1"/>
  <c r="O844" i="1"/>
  <c r="O1039" i="1"/>
  <c r="O959" i="1"/>
  <c r="O454" i="1"/>
  <c r="O824" i="1"/>
  <c r="O1027" i="1"/>
  <c r="O1072" i="1"/>
  <c r="O835" i="1"/>
  <c r="O1017" i="1"/>
  <c r="O1060" i="1"/>
  <c r="O313" i="1"/>
  <c r="O730" i="1"/>
  <c r="O219" i="1"/>
  <c r="O418" i="1"/>
  <c r="O666" i="1"/>
  <c r="O816" i="1"/>
  <c r="O307" i="1"/>
  <c r="O6" i="1"/>
  <c r="O39" i="1"/>
  <c r="O471" i="1"/>
  <c r="O21" i="1"/>
  <c r="O956" i="1"/>
  <c r="O869" i="1"/>
  <c r="O29" i="1"/>
  <c r="O37" i="1"/>
  <c r="O948" i="1"/>
  <c r="O38" i="1"/>
  <c r="O483" i="1"/>
  <c r="O486" i="1"/>
  <c r="O47" i="1"/>
  <c r="O818" i="1"/>
  <c r="O497" i="1"/>
  <c r="O498" i="1"/>
  <c r="O499" i="1"/>
  <c r="O63" i="1"/>
  <c r="O502" i="1"/>
  <c r="O914" i="1"/>
  <c r="O78" i="1"/>
  <c r="O774" i="1"/>
  <c r="O520" i="1"/>
  <c r="O1019" i="1"/>
  <c r="O85" i="1"/>
  <c r="O526" i="1"/>
  <c r="O528" i="1"/>
  <c r="O902" i="1"/>
  <c r="O529" i="1"/>
  <c r="O530" i="1"/>
  <c r="O101" i="1"/>
  <c r="O105" i="1"/>
  <c r="O952" i="1"/>
  <c r="O533" i="1"/>
  <c r="O544" i="1"/>
  <c r="O121" i="1"/>
  <c r="O122" i="1"/>
  <c r="O899" i="1"/>
  <c r="O547" i="1"/>
  <c r="O549" i="1"/>
  <c r="O133" i="1"/>
  <c r="O138" i="1"/>
  <c r="O565" i="1"/>
  <c r="O146" i="1"/>
  <c r="O147" i="1"/>
  <c r="O950" i="1"/>
  <c r="O1035" i="1"/>
  <c r="O161" i="1"/>
  <c r="O172" i="1"/>
  <c r="O583" i="1"/>
  <c r="O906" i="1"/>
  <c r="O587" i="1"/>
  <c r="O205" i="1"/>
  <c r="O924" i="1"/>
  <c r="O223" i="1"/>
  <c r="O229" i="1"/>
  <c r="O784" i="1"/>
  <c r="O833" i="1"/>
  <c r="O605" i="1"/>
  <c r="O606" i="1"/>
  <c r="O239" i="1"/>
  <c r="O242" i="1"/>
  <c r="O909" i="1"/>
  <c r="O615" i="1"/>
  <c r="O874" i="1"/>
  <c r="O621" i="1"/>
  <c r="O1056" i="1"/>
  <c r="O633" i="1"/>
  <c r="O279" i="1"/>
  <c r="O281" i="1"/>
  <c r="O903" i="1"/>
  <c r="O284" i="1"/>
  <c r="O644" i="1"/>
  <c r="O928" i="1"/>
  <c r="O810" i="1"/>
  <c r="O860" i="1"/>
  <c r="O304" i="1"/>
  <c r="O311" i="1"/>
  <c r="O660" i="1"/>
  <c r="O670" i="1"/>
  <c r="O326" i="1"/>
  <c r="O674" i="1"/>
  <c r="O336" i="1"/>
  <c r="O900" i="1"/>
  <c r="O342" i="1"/>
  <c r="O1044" i="1"/>
  <c r="O982" i="1"/>
  <c r="O767" i="1"/>
  <c r="O931" i="1"/>
  <c r="O353" i="1"/>
  <c r="O847" i="1"/>
  <c r="O376" i="1"/>
  <c r="O790" i="1"/>
  <c r="O702" i="1"/>
  <c r="O706" i="1"/>
  <c r="O388" i="1"/>
  <c r="O389" i="1"/>
  <c r="O921" i="1"/>
  <c r="O717" i="1"/>
  <c r="O976" i="1"/>
  <c r="O1007" i="1"/>
  <c r="O408" i="1"/>
  <c r="O1022" i="1"/>
  <c r="O411" i="1"/>
  <c r="O413" i="1"/>
  <c r="O728" i="1"/>
  <c r="O416" i="1"/>
  <c r="O732" i="1"/>
  <c r="O13" i="1"/>
  <c r="O739" i="1"/>
  <c r="O740" i="1"/>
  <c r="O775" i="1"/>
  <c r="O746" i="1"/>
  <c r="O434" i="1"/>
  <c r="O754" i="1"/>
  <c r="O811" i="1"/>
  <c r="O758" i="1"/>
  <c r="O947" i="1"/>
  <c r="O927" i="1"/>
  <c r="O493" i="1"/>
  <c r="O855" i="1"/>
  <c r="O253" i="1"/>
  <c r="O331" i="1"/>
  <c r="O901" i="1"/>
  <c r="O1033" i="1"/>
  <c r="O722" i="1"/>
  <c r="O1043" i="1"/>
  <c r="O492" i="1"/>
  <c r="O866" i="1"/>
  <c r="O941" i="1"/>
  <c r="O876" i="1"/>
  <c r="O469" i="1"/>
  <c r="O18" i="1"/>
  <c r="O24" i="1"/>
  <c r="O868" i="1"/>
  <c r="O35" i="1"/>
  <c r="O5" i="1"/>
  <c r="O40" i="1"/>
  <c r="O491" i="1"/>
  <c r="O508" i="1"/>
  <c r="O82" i="1"/>
  <c r="O853" i="1"/>
  <c r="O840" i="1"/>
  <c r="O521" i="1"/>
  <c r="O522" i="1"/>
  <c r="O84" i="1"/>
  <c r="O523" i="1"/>
  <c r="O102" i="1"/>
  <c r="O106" i="1"/>
  <c r="O108" i="1"/>
  <c r="O109" i="1"/>
  <c r="O537" i="1"/>
  <c r="O872" i="1"/>
  <c r="O114" i="1"/>
  <c r="O542" i="1"/>
  <c r="O1040" i="1"/>
  <c r="O779" i="1"/>
  <c r="O857" i="1"/>
  <c r="O129" i="1"/>
  <c r="O130" i="1"/>
  <c r="O132" i="1"/>
  <c r="O888" i="1"/>
  <c r="O134" i="1"/>
  <c r="O135" i="1"/>
  <c r="O993" i="1"/>
  <c r="O142" i="1"/>
  <c r="O145" i="1"/>
  <c r="O849" i="1"/>
  <c r="O957" i="1"/>
  <c r="O186" i="1"/>
  <c r="O191" i="1"/>
  <c r="O1049" i="1"/>
  <c r="O208" i="1"/>
  <c r="O820" i="1"/>
  <c r="O214" i="1"/>
  <c r="O842" i="1"/>
  <c r="O232" i="1"/>
  <c r="O1074" i="1"/>
  <c r="O1011" i="1"/>
  <c r="O264" i="1"/>
  <c r="O278" i="1"/>
  <c r="O1077" i="1"/>
  <c r="O960" i="1"/>
  <c r="O839" i="1"/>
  <c r="O653" i="1"/>
  <c r="O1032" i="1"/>
  <c r="O1076" i="1"/>
  <c r="O324" i="1"/>
  <c r="O675" i="1"/>
  <c r="O964" i="1"/>
  <c r="O339" i="1"/>
  <c r="O807" i="1"/>
  <c r="O1052" i="1"/>
  <c r="O687" i="1"/>
  <c r="O357" i="1"/>
  <c r="O699" i="1"/>
  <c r="O704" i="1"/>
  <c r="O829" i="1"/>
  <c r="O713" i="1"/>
  <c r="O714" i="1"/>
  <c r="O396" i="1"/>
  <c r="O397" i="1"/>
  <c r="O1009" i="1"/>
  <c r="O973" i="1"/>
  <c r="O854" i="1"/>
  <c r="O742" i="1"/>
  <c r="O432" i="1"/>
  <c r="O433" i="1"/>
  <c r="O749" i="1"/>
  <c r="O441" i="1"/>
  <c r="O449" i="1"/>
  <c r="O757" i="1"/>
  <c r="O859" i="1"/>
  <c r="O4" i="1"/>
  <c r="O513" i="1"/>
  <c r="O118" i="1"/>
  <c r="O162" i="1"/>
  <c r="O937" i="1"/>
  <c r="O780" i="1"/>
  <c r="O1070" i="1"/>
  <c r="O913" i="1"/>
  <c r="O715" i="1"/>
  <c r="O733" i="1"/>
  <c r="O592" i="1"/>
  <c r="O879" i="1"/>
  <c r="O1008" i="1"/>
  <c r="O211" i="1"/>
  <c r="O137" i="1"/>
  <c r="O285" i="1"/>
  <c r="O76" i="1"/>
  <c r="O585" i="1"/>
  <c r="O637" i="1"/>
  <c r="O650" i="1"/>
  <c r="O726" i="1"/>
  <c r="O569" i="1"/>
  <c r="O873" i="1"/>
  <c r="O658" i="1"/>
  <c r="O867" i="1"/>
  <c r="O64" i="1"/>
  <c r="O563" i="1"/>
  <c r="O883" i="1"/>
  <c r="O1010" i="1"/>
  <c r="O348" i="1"/>
  <c r="O821" i="1"/>
  <c r="O815" i="1"/>
  <c r="O478" i="1"/>
  <c r="O30" i="1"/>
  <c r="O119" i="1"/>
  <c r="O595" i="1"/>
  <c r="O598" i="1"/>
  <c r="O1083" i="1"/>
  <c r="O367" i="1"/>
  <c r="O400" i="1"/>
  <c r="O793" i="1"/>
  <c r="O969" i="1"/>
  <c r="O721" i="1"/>
  <c r="O9" i="1"/>
  <c r="O743" i="1"/>
  <c r="O609" i="1"/>
  <c r="O978" i="1"/>
  <c r="O791" i="1"/>
  <c r="O617" i="1"/>
  <c r="O612" i="1"/>
  <c r="O1029" i="1"/>
  <c r="O777" i="1"/>
  <c r="O828" i="1"/>
  <c r="O91" i="1"/>
  <c r="O270" i="1"/>
  <c r="O218" i="1"/>
  <c r="O623" i="1"/>
  <c r="O918" i="1"/>
  <c r="O456" i="1"/>
  <c r="O894" i="1"/>
  <c r="O230" i="1"/>
  <c r="O975" i="1"/>
  <c r="O444" i="1"/>
  <c r="O716" i="1"/>
  <c r="O1013" i="1"/>
  <c r="O1085" i="1"/>
  <c r="O394" i="1"/>
  <c r="O795" i="1"/>
  <c r="O17" i="1"/>
  <c r="O787" i="1"/>
  <c r="O470" i="1"/>
  <c r="O856" i="1"/>
  <c r="O19" i="1"/>
  <c r="O944" i="1"/>
  <c r="O22" i="1"/>
  <c r="O475" i="1"/>
  <c r="O476" i="1"/>
  <c r="O26" i="1"/>
  <c r="O477" i="1"/>
  <c r="O479" i="1"/>
  <c r="O27" i="1"/>
  <c r="O480" i="1"/>
  <c r="O32" i="1"/>
  <c r="O36" i="1"/>
  <c r="O805" i="1"/>
  <c r="O968" i="1"/>
  <c r="O484" i="1"/>
  <c r="O41" i="1"/>
  <c r="O42" i="1"/>
  <c r="O43" i="1"/>
  <c r="O45" i="1"/>
  <c r="O988" i="1"/>
  <c r="O46" i="1"/>
  <c r="O488" i="1"/>
  <c r="O490" i="1"/>
  <c r="O51" i="1"/>
  <c r="O53" i="1"/>
  <c r="O495" i="1"/>
  <c r="O55" i="1"/>
  <c r="O463" i="1"/>
  <c r="O58" i="1"/>
  <c r="O843" i="1"/>
  <c r="O65" i="1"/>
  <c r="O66" i="1"/>
  <c r="O1066" i="1"/>
  <c r="O68" i="1"/>
  <c r="O69" i="1"/>
  <c r="O70" i="1"/>
  <c r="O953" i="1"/>
  <c r="O72" i="1"/>
  <c r="O73" i="1"/>
  <c r="O761" i="1"/>
  <c r="O1075" i="1"/>
  <c r="O778" i="1"/>
  <c r="O510" i="1"/>
  <c r="O77" i="1"/>
  <c r="O861" i="1"/>
  <c r="O79" i="1"/>
  <c r="O511" i="1"/>
  <c r="O81" i="1"/>
  <c r="O518" i="1"/>
  <c r="O519" i="1"/>
  <c r="O86" i="1"/>
  <c r="O527" i="1"/>
  <c r="O87" i="1"/>
  <c r="O88" i="1"/>
  <c r="O89" i="1"/>
  <c r="O90" i="1"/>
  <c r="O465" i="1"/>
  <c r="O93" i="1"/>
  <c r="O94" i="1"/>
  <c r="O531" i="1"/>
  <c r="O95" i="1"/>
  <c r="O98" i="1"/>
  <c r="O100" i="1"/>
  <c r="O1021" i="1"/>
  <c r="O103" i="1"/>
  <c r="O532" i="1"/>
  <c r="O104" i="1"/>
  <c r="O1000" i="1"/>
  <c r="O107" i="1"/>
  <c r="O926" i="1"/>
  <c r="O466" i="1"/>
  <c r="O838" i="1"/>
  <c r="O110" i="1"/>
  <c r="O111" i="1"/>
  <c r="O540" i="1"/>
  <c r="O117" i="1"/>
  <c r="O543" i="1"/>
  <c r="O120" i="1"/>
  <c r="O963" i="1"/>
  <c r="O123" i="1"/>
  <c r="O124" i="1"/>
  <c r="O908" i="1"/>
  <c r="O548" i="1"/>
  <c r="O126" i="1"/>
  <c r="O940" i="1"/>
  <c r="O834" i="1"/>
  <c r="O14" i="1"/>
  <c r="O551" i="1"/>
  <c r="O553" i="1"/>
  <c r="O554" i="1"/>
  <c r="O555" i="1"/>
  <c r="O925" i="1"/>
  <c r="O461" i="1"/>
  <c r="O559" i="1"/>
  <c r="O136" i="1"/>
  <c r="O846" i="1"/>
  <c r="O770" i="1"/>
  <c r="O561" i="1"/>
  <c r="O140" i="1"/>
  <c r="O141" i="1"/>
  <c r="O143" i="1"/>
  <c r="O566" i="1"/>
  <c r="O144" i="1"/>
  <c r="O148" i="1"/>
  <c r="O149" i="1"/>
  <c r="O836" i="1"/>
  <c r="O151" i="1"/>
  <c r="O152" i="1"/>
  <c r="O153" i="1"/>
  <c r="O154" i="1"/>
  <c r="O570" i="1"/>
  <c r="O156" i="1"/>
  <c r="O157" i="1"/>
  <c r="O158" i="1"/>
  <c r="O572" i="1"/>
  <c r="O819" i="1"/>
  <c r="O159" i="1"/>
  <c r="O160" i="1"/>
  <c r="O573" i="1"/>
  <c r="O163" i="1"/>
  <c r="O165" i="1"/>
  <c r="O939" i="1"/>
  <c r="O166" i="1"/>
  <c r="O167" i="1"/>
  <c r="O171" i="1"/>
  <c r="O576" i="1"/>
  <c r="O896" i="1"/>
  <c r="O462" i="1"/>
  <c r="O175" i="1"/>
  <c r="O176" i="1"/>
  <c r="O1062" i="1"/>
  <c r="O177" i="1"/>
  <c r="O806" i="1"/>
  <c r="O179" i="1"/>
  <c r="O180" i="1"/>
  <c r="O579" i="1"/>
  <c r="O183" i="1"/>
  <c r="O184" i="1"/>
  <c r="O1023" i="1"/>
  <c r="O185" i="1"/>
  <c r="O187" i="1"/>
  <c r="O1037" i="1"/>
  <c r="O188" i="1"/>
  <c r="O897" i="1"/>
  <c r="O934" i="1"/>
  <c r="O858" i="1"/>
  <c r="O938" i="1"/>
  <c r="O586" i="1"/>
  <c r="O588" i="1"/>
  <c r="O196" i="1"/>
  <c r="O589" i="1"/>
  <c r="O197" i="1"/>
  <c r="O1078" i="1"/>
  <c r="O591" i="1"/>
  <c r="O198" i="1"/>
  <c r="O593" i="1"/>
  <c r="O201" i="1"/>
  <c r="O203" i="1"/>
  <c r="O204" i="1"/>
  <c r="O206" i="1"/>
  <c r="O596" i="1"/>
  <c r="O1030" i="1"/>
  <c r="O210" i="1"/>
  <c r="O212" i="1"/>
  <c r="O213" i="1"/>
  <c r="O216" i="1"/>
  <c r="O220" i="1"/>
  <c r="O597" i="1"/>
  <c r="O221" i="1"/>
  <c r="O804" i="1"/>
  <c r="O222" i="1"/>
  <c r="O224" i="1"/>
  <c r="O225" i="1"/>
  <c r="O599" i="1"/>
  <c r="O226" i="1"/>
  <c r="O227" i="1"/>
  <c r="O228" i="1"/>
  <c r="O233" i="1"/>
  <c r="O986" i="1"/>
  <c r="O603" i="1"/>
  <c r="O235" i="1"/>
  <c r="O607" i="1"/>
  <c r="O237" i="1"/>
  <c r="O608" i="1"/>
  <c r="O610" i="1"/>
  <c r="O238" i="1"/>
  <c r="O862" i="1"/>
  <c r="O240" i="1"/>
  <c r="O241" i="1"/>
  <c r="O781" i="1"/>
  <c r="O243" i="1"/>
  <c r="O765" i="1"/>
  <c r="O245" i="1"/>
  <c r="O246" i="1"/>
  <c r="O999" i="1"/>
  <c r="O249" i="1"/>
  <c r="O250" i="1"/>
  <c r="O613" i="1"/>
  <c r="O1005" i="1"/>
  <c r="O251" i="1"/>
  <c r="O254" i="1"/>
  <c r="O2" i="1"/>
  <c r="O255" i="1"/>
  <c r="O256" i="1"/>
  <c r="O618" i="1"/>
  <c r="O783" i="1"/>
  <c r="O259" i="1"/>
  <c r="O260" i="1"/>
  <c r="O261" i="1"/>
  <c r="O262" i="1"/>
  <c r="O985" i="1"/>
  <c r="O263" i="1"/>
  <c r="O265" i="1"/>
  <c r="O266" i="1"/>
  <c r="O267" i="1"/>
  <c r="O268" i="1"/>
  <c r="O271" i="1"/>
  <c r="O631" i="1"/>
  <c r="O984" i="1"/>
  <c r="O273" i="1"/>
  <c r="O274" i="1"/>
  <c r="O275" i="1"/>
  <c r="O276" i="1"/>
  <c r="O277" i="1"/>
  <c r="O634" i="1"/>
  <c r="O464" i="1"/>
  <c r="O812" i="1"/>
  <c r="O638" i="1"/>
  <c r="O283" i="1"/>
  <c r="O286" i="1"/>
  <c r="O641" i="1"/>
  <c r="O642" i="1"/>
  <c r="O287" i="1"/>
  <c r="O288" i="1"/>
  <c r="O292" i="1"/>
  <c r="O293" i="1"/>
  <c r="O646" i="1"/>
  <c r="O647" i="1"/>
  <c r="O294" i="1"/>
  <c r="O649" i="1"/>
  <c r="O295" i="1"/>
  <c r="O298" i="1"/>
  <c r="O651" i="1"/>
  <c r="O299" i="1"/>
  <c r="O300" i="1"/>
  <c r="O652" i="1"/>
  <c r="O301" i="1"/>
  <c r="O303" i="1"/>
  <c r="O1080" i="1"/>
  <c r="O306" i="1"/>
  <c r="O308" i="1"/>
  <c r="O309" i="1"/>
  <c r="O310" i="1"/>
  <c r="O661" i="1"/>
  <c r="O314" i="1"/>
  <c r="O315" i="1"/>
  <c r="O992" i="1"/>
  <c r="O318" i="1"/>
  <c r="O668" i="1"/>
  <c r="O766" i="1"/>
  <c r="O669" i="1"/>
  <c r="O841" i="1"/>
  <c r="O822" i="1"/>
  <c r="O987" i="1"/>
  <c r="O889" i="1"/>
  <c r="O322" i="1"/>
  <c r="O325" i="1"/>
  <c r="O673" i="1"/>
  <c r="O327" i="1"/>
  <c r="O328" i="1"/>
  <c r="O330" i="1"/>
  <c r="O332" i="1"/>
  <c r="O333" i="1"/>
  <c r="O334" i="1"/>
  <c r="O335" i="1"/>
  <c r="O677" i="1"/>
  <c r="O679" i="1"/>
  <c r="O337" i="1"/>
  <c r="O338" i="1"/>
  <c r="O340" i="1"/>
  <c r="O974" i="1"/>
  <c r="O680" i="1"/>
  <c r="O10" i="1"/>
  <c r="O682" i="1"/>
  <c r="O341" i="1"/>
  <c r="O915" i="1"/>
  <c r="O346" i="1"/>
  <c r="O977" i="1"/>
  <c r="O932" i="1"/>
  <c r="O351" i="1"/>
  <c r="O980" i="1"/>
  <c r="O354" i="1"/>
  <c r="O943" i="1"/>
  <c r="O355" i="1"/>
  <c r="O688" i="1"/>
  <c r="O689" i="1"/>
  <c r="O356" i="1"/>
  <c r="O895" i="1"/>
  <c r="O358" i="1"/>
  <c r="O360" i="1"/>
  <c r="O362" i="1"/>
  <c r="O1068" i="1"/>
  <c r="O697" i="1"/>
  <c r="O698" i="1"/>
  <c r="O768" i="1"/>
  <c r="O1018" i="1"/>
  <c r="O365" i="1"/>
  <c r="O990" i="1"/>
  <c r="O371" i="1"/>
  <c r="O372" i="1"/>
  <c r="O373" i="1"/>
  <c r="O374" i="1"/>
  <c r="O379" i="1"/>
  <c r="O383" i="1"/>
  <c r="O705" i="1"/>
  <c r="O384" i="1"/>
  <c r="O708" i="1"/>
  <c r="O711" i="1"/>
  <c r="O904" i="1"/>
  <c r="O800" i="1"/>
  <c r="O391" i="1"/>
  <c r="O392" i="1"/>
  <c r="O393" i="1"/>
  <c r="O395" i="1"/>
  <c r="O12" i="1"/>
  <c r="O398" i="1"/>
  <c r="O719" i="1"/>
  <c r="O981" i="1"/>
  <c r="O403" i="1"/>
  <c r="O404" i="1"/>
  <c r="O405" i="1"/>
  <c r="O406" i="1"/>
  <c r="O407" i="1"/>
  <c r="O965" i="1"/>
  <c r="O412" i="1"/>
  <c r="O724" i="1"/>
  <c r="O725" i="1"/>
  <c r="O414" i="1"/>
  <c r="O415" i="1"/>
  <c r="O729" i="1"/>
  <c r="O417" i="1"/>
  <c r="O8" i="1"/>
  <c r="O731" i="1"/>
  <c r="O967" i="1"/>
  <c r="O419" i="1"/>
  <c r="O983" i="1"/>
  <c r="O420" i="1"/>
  <c r="O881" i="1"/>
  <c r="O734" i="1"/>
  <c r="O422" i="1"/>
  <c r="O423" i="1"/>
  <c r="O424" i="1"/>
  <c r="O1087" i="1"/>
  <c r="O426" i="1"/>
  <c r="O736" i="1"/>
  <c r="O427" i="1"/>
  <c r="O428" i="1"/>
  <c r="O737" i="1"/>
  <c r="O738" i="1"/>
  <c r="O430" i="1"/>
  <c r="O745" i="1"/>
  <c r="O759" i="1"/>
  <c r="O1004" i="1"/>
  <c r="O994" i="1"/>
  <c r="O1079" i="1"/>
  <c r="O437" i="1"/>
  <c r="O438" i="1"/>
  <c r="O439" i="1"/>
  <c r="O751" i="1"/>
  <c r="O752" i="1"/>
  <c r="O442" i="1"/>
  <c r="O1006" i="1"/>
  <c r="O445" i="1"/>
  <c r="O755" i="1"/>
  <c r="O826" i="1"/>
  <c r="O446" i="1"/>
  <c r="O450" i="1"/>
  <c r="O451" i="1"/>
  <c r="O452" i="1"/>
  <c r="O756" i="1"/>
  <c r="O455" i="1"/>
  <c r="O457" i="1"/>
  <c r="O458" i="1"/>
  <c r="O1061" i="1"/>
  <c r="O459" i="1"/>
  <c r="O773" i="1"/>
  <c r="N970" i="1"/>
  <c r="N971" i="1"/>
  <c r="N567" i="1"/>
  <c r="N15" i="1"/>
  <c r="N808" i="1"/>
  <c r="N863" i="1"/>
  <c r="N997" i="1"/>
  <c r="N880" i="1"/>
  <c r="N1041" i="1"/>
  <c r="N289" i="1"/>
  <c r="N802" i="1"/>
  <c r="N11" i="1"/>
  <c r="N234" i="1"/>
  <c r="N792" i="1"/>
  <c r="N801" i="1"/>
  <c r="N538" i="1"/>
  <c r="N640" i="1"/>
  <c r="N877" i="1"/>
  <c r="N556" i="1"/>
  <c r="N368" i="1"/>
  <c r="N31" i="1"/>
  <c r="N181" i="1"/>
  <c r="N482" i="1"/>
  <c r="N535" i="1"/>
  <c r="N20" i="1"/>
  <c r="N215" i="1"/>
  <c r="N920" i="1"/>
  <c r="N202" i="1"/>
  <c r="N209" i="1"/>
  <c r="N786" i="1"/>
  <c r="N620" i="1"/>
  <c r="N935" i="1"/>
  <c r="N604" i="1"/>
  <c r="N693" i="1"/>
  <c r="N505" i="1"/>
  <c r="N933" i="1"/>
  <c r="N911" i="1"/>
  <c r="N891" i="1"/>
  <c r="N1025" i="1"/>
  <c r="N23" i="1"/>
  <c r="N782" i="1"/>
  <c r="N3" i="1"/>
  <c r="N481" i="1"/>
  <c r="N489" i="1"/>
  <c r="N48" i="1"/>
  <c r="N50" i="1"/>
  <c r="N1059" i="1"/>
  <c r="N52" i="1"/>
  <c r="N56" i="1"/>
  <c r="N59" i="1"/>
  <c r="N61" i="1"/>
  <c r="N501" i="1"/>
  <c r="N468" i="1"/>
  <c r="N67" i="1"/>
  <c r="N503" i="1"/>
  <c r="N71" i="1"/>
  <c r="N506" i="1"/>
  <c r="N1053" i="1"/>
  <c r="N509" i="1"/>
  <c r="N467" i="1"/>
  <c r="N890" i="1"/>
  <c r="N514" i="1"/>
  <c r="N515" i="1"/>
  <c r="N83" i="1"/>
  <c r="N516" i="1"/>
  <c r="N517" i="1"/>
  <c r="N966" i="1"/>
  <c r="N851" i="1"/>
  <c r="N870" i="1"/>
  <c r="N785" i="1"/>
  <c r="N96" i="1"/>
  <c r="N97" i="1"/>
  <c r="N1048" i="1"/>
  <c r="N972" i="1"/>
  <c r="N539" i="1"/>
  <c r="N115" i="1"/>
  <c r="N541" i="1"/>
  <c r="N545" i="1"/>
  <c r="N125" i="1"/>
  <c r="N546" i="1"/>
  <c r="N127" i="1"/>
  <c r="N128" i="1"/>
  <c r="N823" i="1"/>
  <c r="N772" i="1"/>
  <c r="N788" i="1"/>
  <c r="N139" i="1"/>
  <c r="N887" i="1"/>
  <c r="N564" i="1"/>
  <c r="N885" i="1"/>
  <c r="N830" i="1"/>
  <c r="N150" i="1"/>
  <c r="N571" i="1"/>
  <c r="N164" i="1"/>
  <c r="N168" i="1"/>
  <c r="N169" i="1"/>
  <c r="N170" i="1"/>
  <c r="N577" i="1"/>
  <c r="N578" i="1"/>
  <c r="N178" i="1"/>
  <c r="N763" i="1"/>
  <c r="N798" i="1"/>
  <c r="N580" i="1"/>
  <c r="N189" i="1"/>
  <c r="N582" i="1"/>
  <c r="N192" i="1"/>
  <c r="N193" i="1"/>
  <c r="N195" i="1"/>
  <c r="N1055" i="1"/>
  <c r="N590" i="1"/>
  <c r="N231" i="1"/>
  <c r="N600" i="1"/>
  <c r="N601" i="1"/>
  <c r="N611" i="1"/>
  <c r="N951" i="1"/>
  <c r="N771" i="1"/>
  <c r="N247" i="1"/>
  <c r="N991" i="1"/>
  <c r="N252" i="1"/>
  <c r="N257" i="1"/>
  <c r="N258" i="1"/>
  <c r="N622" i="1"/>
  <c r="N852" i="1"/>
  <c r="N625" i="1"/>
  <c r="N1042" i="1"/>
  <c r="N626" i="1"/>
  <c r="N630" i="1"/>
  <c r="N272" i="1"/>
  <c r="N632" i="1"/>
  <c r="N635" i="1"/>
  <c r="N636" i="1"/>
  <c r="N848" i="1"/>
  <c r="N1058" i="1"/>
  <c r="N1064" i="1"/>
  <c r="N645" i="1"/>
  <c r="N290" i="1"/>
  <c r="N291" i="1"/>
  <c r="N1086" i="1"/>
  <c r="N648" i="1"/>
  <c r="N979" i="1"/>
  <c r="N297" i="1"/>
  <c r="N655" i="1"/>
  <c r="N305" i="1"/>
  <c r="N1012" i="1"/>
  <c r="N958" i="1"/>
  <c r="N662" i="1"/>
  <c r="N316" i="1"/>
  <c r="N664" i="1"/>
  <c r="N320" i="1"/>
  <c r="N321" i="1"/>
  <c r="N323" i="1"/>
  <c r="N799" i="1"/>
  <c r="N329" i="1"/>
  <c r="N681" i="1"/>
  <c r="N892" i="1"/>
  <c r="N343" i="1"/>
  <c r="N1003" i="1"/>
  <c r="N344" i="1"/>
  <c r="N686" i="1"/>
  <c r="N347" i="1"/>
  <c r="N349" i="1"/>
  <c r="N352" i="1"/>
  <c r="N691" i="1"/>
  <c r="N692" i="1"/>
  <c r="N359" i="1"/>
  <c r="N832" i="1"/>
  <c r="N694" i="1"/>
  <c r="N696" i="1"/>
  <c r="N363" i="1"/>
  <c r="N364" i="1"/>
  <c r="N366" i="1"/>
  <c r="N369" i="1"/>
  <c r="N370" i="1"/>
  <c r="N954" i="1"/>
  <c r="N377" i="1"/>
  <c r="N380" i="1"/>
  <c r="N700" i="1"/>
  <c r="N701" i="1"/>
  <c r="N382" i="1"/>
  <c r="N386" i="1"/>
  <c r="N707" i="1"/>
  <c r="N850" i="1"/>
  <c r="N831" i="1"/>
  <c r="N709" i="1"/>
  <c r="N995" i="1"/>
  <c r="N390" i="1"/>
  <c r="N1065" i="1"/>
  <c r="N401" i="1"/>
  <c r="N1034" i="1"/>
  <c r="N723" i="1"/>
  <c r="N727" i="1"/>
  <c r="N769" i="1"/>
  <c r="N919" i="1"/>
  <c r="N961" i="1"/>
  <c r="N425" i="1"/>
  <c r="N1002" i="1"/>
  <c r="N741" i="1"/>
  <c r="N431" i="1"/>
  <c r="N744" i="1"/>
  <c r="N893" i="1"/>
  <c r="N436" i="1"/>
  <c r="N750" i="1"/>
  <c r="N753" i="1"/>
  <c r="N443" i="1"/>
  <c r="N447" i="1"/>
  <c r="N448" i="1"/>
  <c r="N460" i="1"/>
  <c r="N946" i="1"/>
  <c r="N712" i="1"/>
  <c r="N809" i="1"/>
  <c r="N1028" i="1"/>
  <c r="N659" i="1"/>
  <c r="N1051" i="1"/>
  <c r="N494" i="1"/>
  <c r="N60" i="1"/>
  <c r="N1001" i="1"/>
  <c r="N558" i="1"/>
  <c r="N917" i="1"/>
  <c r="N614" i="1"/>
  <c r="N1082" i="1"/>
  <c r="N639" i="1"/>
  <c r="N789" i="1"/>
  <c r="N440" i="1"/>
  <c r="N695" i="1"/>
  <c r="N825" i="1"/>
  <c r="N922" i="1"/>
  <c r="N929" i="1"/>
  <c r="N472" i="1"/>
  <c r="N473" i="1"/>
  <c r="N882" i="1"/>
  <c r="N962" i="1"/>
  <c r="N1026" i="1"/>
  <c r="N500" i="1"/>
  <c r="N996" i="1"/>
  <c r="N75" i="1"/>
  <c r="N936" i="1"/>
  <c r="N525" i="1"/>
  <c r="N923" i="1"/>
  <c r="N92" i="1"/>
  <c r="N99" i="1"/>
  <c r="N1071" i="1"/>
  <c r="N112" i="1"/>
  <c r="N116" i="1"/>
  <c r="N1054" i="1"/>
  <c r="N1088" i="1"/>
  <c r="N1038" i="1"/>
  <c r="N1063" i="1"/>
  <c r="N155" i="1"/>
  <c r="N574" i="1"/>
  <c r="N575" i="1"/>
  <c r="N760" i="1"/>
  <c r="N182" i="1"/>
  <c r="N190" i="1"/>
  <c r="N581" i="1"/>
  <c r="N199" i="1"/>
  <c r="N989" i="1"/>
  <c r="N1014" i="1"/>
  <c r="N845" i="1"/>
  <c r="N602" i="1"/>
  <c r="N236" i="1"/>
  <c r="N912" i="1"/>
  <c r="N764" i="1"/>
  <c r="N616" i="1"/>
  <c r="N905" i="1"/>
  <c r="N1084" i="1"/>
  <c r="N1050" i="1"/>
  <c r="N269" i="1"/>
  <c r="N628" i="1"/>
  <c r="N629" i="1"/>
  <c r="N280" i="1"/>
  <c r="N282" i="1"/>
  <c r="N1015" i="1"/>
  <c r="N1031" i="1"/>
  <c r="N813" i="1"/>
  <c r="N296" i="1"/>
  <c r="N654" i="1"/>
  <c r="N302" i="1"/>
  <c r="N657" i="1"/>
  <c r="N1036" i="1"/>
  <c r="N930" i="1"/>
  <c r="N671" i="1"/>
  <c r="N672" i="1"/>
  <c r="N678" i="1"/>
  <c r="N1069" i="1"/>
  <c r="N684" i="1"/>
  <c r="N910" i="1"/>
  <c r="N685" i="1"/>
  <c r="N350" i="1"/>
  <c r="N797" i="1"/>
  <c r="N886" i="1"/>
  <c r="N378" i="1"/>
  <c r="N385" i="1"/>
  <c r="N402" i="1"/>
  <c r="N1024" i="1"/>
  <c r="N429" i="1"/>
  <c r="N747" i="1"/>
  <c r="N1057" i="1"/>
  <c r="N57" i="1"/>
  <c r="N955" i="1"/>
  <c r="N487" i="1"/>
  <c r="N1081" i="1"/>
  <c r="N550" i="1"/>
  <c r="N1045" i="1"/>
  <c r="N7" i="1"/>
  <c r="N248" i="1"/>
  <c r="N624" i="1"/>
  <c r="N875" i="1"/>
  <c r="N794" i="1"/>
  <c r="N884" i="1"/>
  <c r="N667" i="1"/>
  <c r="N690" i="1"/>
  <c r="N409" i="1"/>
  <c r="N1047" i="1"/>
  <c r="N504" i="1"/>
  <c r="N803" i="1"/>
  <c r="N871" i="1"/>
  <c r="N827" i="1"/>
  <c r="N552" i="1"/>
  <c r="N562" i="1"/>
  <c r="N1046" i="1"/>
  <c r="N1020" i="1"/>
  <c r="N865" i="1"/>
  <c r="N1067" i="1"/>
  <c r="N796" i="1"/>
  <c r="N703" i="1"/>
  <c r="N735" i="1"/>
  <c r="N864" i="1"/>
  <c r="N643" i="1"/>
  <c r="N720" i="1"/>
  <c r="N907" i="1"/>
  <c r="N16" i="1"/>
  <c r="N33" i="1"/>
  <c r="N34" i="1"/>
  <c r="N485" i="1"/>
  <c r="N49" i="1"/>
  <c r="N54" i="1"/>
  <c r="N62" i="1"/>
  <c r="N507" i="1"/>
  <c r="N74" i="1"/>
  <c r="N512" i="1"/>
  <c r="N524" i="1"/>
  <c r="N916" i="1"/>
  <c r="N534" i="1"/>
  <c r="N536" i="1"/>
  <c r="N942" i="1"/>
  <c r="N1016" i="1"/>
  <c r="N762" i="1"/>
  <c r="N131" i="1"/>
  <c r="N817" i="1"/>
  <c r="N568" i="1"/>
  <c r="N173" i="1"/>
  <c r="N194" i="1"/>
  <c r="N312" i="1"/>
  <c r="N317" i="1"/>
  <c r="N676" i="1"/>
  <c r="N683" i="1"/>
  <c r="N345" i="1"/>
  <c r="N421" i="1"/>
  <c r="N435" i="1"/>
  <c r="N453" i="1"/>
  <c r="N557" i="1"/>
  <c r="N399" i="1"/>
  <c r="N627" i="1"/>
  <c r="N44" i="1"/>
  <c r="N949" i="1"/>
  <c r="N594" i="1"/>
  <c r="N748" i="1"/>
  <c r="N174" i="1"/>
  <c r="N387" i="1"/>
  <c r="N584" i="1"/>
  <c r="N1073" i="1"/>
  <c r="N663" i="1"/>
  <c r="N474" i="1"/>
  <c r="N25" i="1"/>
  <c r="N28" i="1"/>
  <c r="N837" i="1"/>
  <c r="N496" i="1"/>
  <c r="N945" i="1"/>
  <c r="N80" i="1"/>
  <c r="N113" i="1"/>
  <c r="N560" i="1"/>
  <c r="N200" i="1"/>
  <c r="N207" i="1"/>
  <c r="N217" i="1"/>
  <c r="N898" i="1"/>
  <c r="N244" i="1"/>
  <c r="N619" i="1"/>
  <c r="N998" i="1"/>
  <c r="N656" i="1"/>
  <c r="N665" i="1"/>
  <c r="N319" i="1"/>
  <c r="N776" i="1"/>
  <c r="N878" i="1"/>
  <c r="N361" i="1"/>
  <c r="N375" i="1"/>
  <c r="N381" i="1"/>
  <c r="N710" i="1"/>
  <c r="N814" i="1"/>
  <c r="N718" i="1"/>
  <c r="N410" i="1"/>
  <c r="N844" i="1"/>
  <c r="N1039" i="1"/>
  <c r="N959" i="1"/>
  <c r="N454" i="1"/>
  <c r="N824" i="1"/>
  <c r="N1027" i="1"/>
  <c r="N1072" i="1"/>
  <c r="N835" i="1"/>
  <c r="N1017" i="1"/>
  <c r="N1060" i="1"/>
  <c r="N313" i="1"/>
  <c r="N730" i="1"/>
  <c r="N219" i="1"/>
  <c r="N418" i="1"/>
  <c r="N666" i="1"/>
  <c r="N816" i="1"/>
  <c r="N307" i="1"/>
  <c r="N6" i="1"/>
  <c r="N39" i="1"/>
  <c r="N471" i="1"/>
  <c r="N21" i="1"/>
  <c r="N956" i="1"/>
  <c r="N869" i="1"/>
  <c r="N29" i="1"/>
  <c r="N37" i="1"/>
  <c r="N948" i="1"/>
  <c r="N38" i="1"/>
  <c r="N483" i="1"/>
  <c r="N486" i="1"/>
  <c r="N47" i="1"/>
  <c r="N818" i="1"/>
  <c r="N497" i="1"/>
  <c r="N498" i="1"/>
  <c r="N499" i="1"/>
  <c r="N63" i="1"/>
  <c r="N502" i="1"/>
  <c r="N914" i="1"/>
  <c r="N78" i="1"/>
  <c r="N774" i="1"/>
  <c r="N520" i="1"/>
  <c r="N1019" i="1"/>
  <c r="N85" i="1"/>
  <c r="N526" i="1"/>
  <c r="N528" i="1"/>
  <c r="N902" i="1"/>
  <c r="N529" i="1"/>
  <c r="N530" i="1"/>
  <c r="N101" i="1"/>
  <c r="N105" i="1"/>
  <c r="N952" i="1"/>
  <c r="N533" i="1"/>
  <c r="N544" i="1"/>
  <c r="N121" i="1"/>
  <c r="N122" i="1"/>
  <c r="N899" i="1"/>
  <c r="N547" i="1"/>
  <c r="N549" i="1"/>
  <c r="N133" i="1"/>
  <c r="N138" i="1"/>
  <c r="N565" i="1"/>
  <c r="N146" i="1"/>
  <c r="N147" i="1"/>
  <c r="N950" i="1"/>
  <c r="N1035" i="1"/>
  <c r="N161" i="1"/>
  <c r="N172" i="1"/>
  <c r="N583" i="1"/>
  <c r="N906" i="1"/>
  <c r="N587" i="1"/>
  <c r="N205" i="1"/>
  <c r="N924" i="1"/>
  <c r="N223" i="1"/>
  <c r="N229" i="1"/>
  <c r="N784" i="1"/>
  <c r="N833" i="1"/>
  <c r="N605" i="1"/>
  <c r="N606" i="1"/>
  <c r="N239" i="1"/>
  <c r="N242" i="1"/>
  <c r="N909" i="1"/>
  <c r="N615" i="1"/>
  <c r="N874" i="1"/>
  <c r="N621" i="1"/>
  <c r="N1056" i="1"/>
  <c r="N633" i="1"/>
  <c r="N279" i="1"/>
  <c r="N281" i="1"/>
  <c r="N903" i="1"/>
  <c r="N284" i="1"/>
  <c r="N644" i="1"/>
  <c r="N928" i="1"/>
  <c r="N810" i="1"/>
  <c r="N860" i="1"/>
  <c r="N304" i="1"/>
  <c r="N311" i="1"/>
  <c r="N660" i="1"/>
  <c r="N670" i="1"/>
  <c r="N326" i="1"/>
  <c r="N674" i="1"/>
  <c r="N336" i="1"/>
  <c r="N900" i="1"/>
  <c r="N342" i="1"/>
  <c r="N1044" i="1"/>
  <c r="N982" i="1"/>
  <c r="N767" i="1"/>
  <c r="N931" i="1"/>
  <c r="N353" i="1"/>
  <c r="N847" i="1"/>
  <c r="N376" i="1"/>
  <c r="N790" i="1"/>
  <c r="N702" i="1"/>
  <c r="N706" i="1"/>
  <c r="N388" i="1"/>
  <c r="N389" i="1"/>
  <c r="N921" i="1"/>
  <c r="N717" i="1"/>
  <c r="N976" i="1"/>
  <c r="N1007" i="1"/>
  <c r="N408" i="1"/>
  <c r="N1022" i="1"/>
  <c r="N411" i="1"/>
  <c r="N413" i="1"/>
  <c r="N728" i="1"/>
  <c r="N416" i="1"/>
  <c r="N732" i="1"/>
  <c r="N13" i="1"/>
  <c r="N739" i="1"/>
  <c r="N740" i="1"/>
  <c r="N775" i="1"/>
  <c r="N746" i="1"/>
  <c r="N434" i="1"/>
  <c r="N754" i="1"/>
  <c r="N811" i="1"/>
  <c r="N758" i="1"/>
  <c r="N947" i="1"/>
  <c r="N927" i="1"/>
  <c r="N493" i="1"/>
  <c r="N855" i="1"/>
  <c r="N253" i="1"/>
  <c r="N331" i="1"/>
  <c r="N901" i="1"/>
  <c r="N1033" i="1"/>
  <c r="N722" i="1"/>
  <c r="N1043" i="1"/>
  <c r="N492" i="1"/>
  <c r="N866" i="1"/>
  <c r="N941" i="1"/>
  <c r="N876" i="1"/>
  <c r="N469" i="1"/>
  <c r="N18" i="1"/>
  <c r="N24" i="1"/>
  <c r="N868" i="1"/>
  <c r="N35" i="1"/>
  <c r="N5" i="1"/>
  <c r="N40" i="1"/>
  <c r="N491" i="1"/>
  <c r="N508" i="1"/>
  <c r="N82" i="1"/>
  <c r="N853" i="1"/>
  <c r="N840" i="1"/>
  <c r="N521" i="1"/>
  <c r="N522" i="1"/>
  <c r="N84" i="1"/>
  <c r="N523" i="1"/>
  <c r="N102" i="1"/>
  <c r="N106" i="1"/>
  <c r="N108" i="1"/>
  <c r="N109" i="1"/>
  <c r="N537" i="1"/>
  <c r="N872" i="1"/>
  <c r="N114" i="1"/>
  <c r="N542" i="1"/>
  <c r="N1040" i="1"/>
  <c r="N779" i="1"/>
  <c r="N857" i="1"/>
  <c r="N129" i="1"/>
  <c r="N130" i="1"/>
  <c r="N132" i="1"/>
  <c r="N888" i="1"/>
  <c r="N134" i="1"/>
  <c r="N135" i="1"/>
  <c r="N993" i="1"/>
  <c r="N142" i="1"/>
  <c r="N145" i="1"/>
  <c r="N849" i="1"/>
  <c r="N957" i="1"/>
  <c r="N186" i="1"/>
  <c r="N191" i="1"/>
  <c r="N1049" i="1"/>
  <c r="N208" i="1"/>
  <c r="N820" i="1"/>
  <c r="N214" i="1"/>
  <c r="N842" i="1"/>
  <c r="N232" i="1"/>
  <c r="N1074" i="1"/>
  <c r="N1011" i="1"/>
  <c r="N264" i="1"/>
  <c r="N278" i="1"/>
  <c r="N1077" i="1"/>
  <c r="N960" i="1"/>
  <c r="N839" i="1"/>
  <c r="N653" i="1"/>
  <c r="N1032" i="1"/>
  <c r="N1076" i="1"/>
  <c r="N324" i="1"/>
  <c r="N675" i="1"/>
  <c r="N964" i="1"/>
  <c r="N339" i="1"/>
  <c r="N807" i="1"/>
  <c r="N1052" i="1"/>
  <c r="N687" i="1"/>
  <c r="N357" i="1"/>
  <c r="N699" i="1"/>
  <c r="N704" i="1"/>
  <c r="N829" i="1"/>
  <c r="N713" i="1"/>
  <c r="N714" i="1"/>
  <c r="N396" i="1"/>
  <c r="N397" i="1"/>
  <c r="N1009" i="1"/>
  <c r="N973" i="1"/>
  <c r="N854" i="1"/>
  <c r="N742" i="1"/>
  <c r="N432" i="1"/>
  <c r="N433" i="1"/>
  <c r="N749" i="1"/>
  <c r="N441" i="1"/>
  <c r="N449" i="1"/>
  <c r="N757" i="1"/>
  <c r="N859" i="1"/>
  <c r="N4" i="1"/>
  <c r="N513" i="1"/>
  <c r="N118" i="1"/>
  <c r="N162" i="1"/>
  <c r="N937" i="1"/>
  <c r="N780" i="1"/>
  <c r="N1070" i="1"/>
  <c r="N913" i="1"/>
  <c r="N715" i="1"/>
  <c r="N733" i="1"/>
  <c r="N592" i="1"/>
  <c r="N879" i="1"/>
  <c r="N1008" i="1"/>
  <c r="N211" i="1"/>
  <c r="N137" i="1"/>
  <c r="N285" i="1"/>
  <c r="N76" i="1"/>
  <c r="N585" i="1"/>
  <c r="N637" i="1"/>
  <c r="N650" i="1"/>
  <c r="N726" i="1"/>
  <c r="N569" i="1"/>
  <c r="N873" i="1"/>
  <c r="N658" i="1"/>
  <c r="N867" i="1"/>
  <c r="N64" i="1"/>
  <c r="N563" i="1"/>
  <c r="N883" i="1"/>
  <c r="N1010" i="1"/>
  <c r="N348" i="1"/>
  <c r="N821" i="1"/>
  <c r="N815" i="1"/>
  <c r="N478" i="1"/>
  <c r="N30" i="1"/>
  <c r="N119" i="1"/>
  <c r="N595" i="1"/>
  <c r="N598" i="1"/>
  <c r="N1083" i="1"/>
  <c r="N367" i="1"/>
  <c r="N400" i="1"/>
  <c r="N793" i="1"/>
  <c r="N969" i="1"/>
  <c r="N721" i="1"/>
  <c r="N9" i="1"/>
  <c r="N743" i="1"/>
  <c r="N609" i="1"/>
  <c r="N978" i="1"/>
  <c r="N791" i="1"/>
  <c r="N617" i="1"/>
  <c r="N612" i="1"/>
  <c r="N1029" i="1"/>
  <c r="N777" i="1"/>
  <c r="N828" i="1"/>
  <c r="N91" i="1"/>
  <c r="N270" i="1"/>
  <c r="N218" i="1"/>
  <c r="N623" i="1"/>
  <c r="N918" i="1"/>
  <c r="N456" i="1"/>
  <c r="N894" i="1"/>
  <c r="N230" i="1"/>
  <c r="N975" i="1"/>
  <c r="N444" i="1"/>
  <c r="N716" i="1"/>
  <c r="N1013" i="1"/>
  <c r="N1085" i="1"/>
  <c r="N394" i="1"/>
  <c r="N795" i="1"/>
  <c r="N17" i="1"/>
  <c r="N787" i="1"/>
  <c r="N470" i="1"/>
  <c r="N856" i="1"/>
  <c r="N19" i="1"/>
  <c r="N944" i="1"/>
  <c r="N22" i="1"/>
  <c r="N475" i="1"/>
  <c r="N476" i="1"/>
  <c r="N26" i="1"/>
  <c r="N477" i="1"/>
  <c r="N479" i="1"/>
  <c r="N27" i="1"/>
  <c r="N480" i="1"/>
  <c r="N32" i="1"/>
  <c r="N36" i="1"/>
  <c r="N805" i="1"/>
  <c r="N968" i="1"/>
  <c r="N484" i="1"/>
  <c r="N41" i="1"/>
  <c r="N42" i="1"/>
  <c r="N43" i="1"/>
  <c r="N45" i="1"/>
  <c r="N988" i="1"/>
  <c r="N46" i="1"/>
  <c r="N488" i="1"/>
  <c r="N490" i="1"/>
  <c r="N51" i="1"/>
  <c r="N53" i="1"/>
  <c r="N495" i="1"/>
  <c r="N55" i="1"/>
  <c r="N463" i="1"/>
  <c r="N58" i="1"/>
  <c r="N843" i="1"/>
  <c r="N65" i="1"/>
  <c r="N66" i="1"/>
  <c r="N1066" i="1"/>
  <c r="N68" i="1"/>
  <c r="N69" i="1"/>
  <c r="N70" i="1"/>
  <c r="N953" i="1"/>
  <c r="N72" i="1"/>
  <c r="N73" i="1"/>
  <c r="N761" i="1"/>
  <c r="N1075" i="1"/>
  <c r="N778" i="1"/>
  <c r="N510" i="1"/>
  <c r="N77" i="1"/>
  <c r="N861" i="1"/>
  <c r="N79" i="1"/>
  <c r="N511" i="1"/>
  <c r="N81" i="1"/>
  <c r="N518" i="1"/>
  <c r="N519" i="1"/>
  <c r="N86" i="1"/>
  <c r="N527" i="1"/>
  <c r="N87" i="1"/>
  <c r="N88" i="1"/>
  <c r="N89" i="1"/>
  <c r="N90" i="1"/>
  <c r="N465" i="1"/>
  <c r="N93" i="1"/>
  <c r="N94" i="1"/>
  <c r="N531" i="1"/>
  <c r="N95" i="1"/>
  <c r="N98" i="1"/>
  <c r="N100" i="1"/>
  <c r="N1021" i="1"/>
  <c r="N103" i="1"/>
  <c r="N532" i="1"/>
  <c r="N104" i="1"/>
  <c r="N1000" i="1"/>
  <c r="N107" i="1"/>
  <c r="N926" i="1"/>
  <c r="N466" i="1"/>
  <c r="N838" i="1"/>
  <c r="N110" i="1"/>
  <c r="N111" i="1"/>
  <c r="N540" i="1"/>
  <c r="N117" i="1"/>
  <c r="N543" i="1"/>
  <c r="N120" i="1"/>
  <c r="N963" i="1"/>
  <c r="N123" i="1"/>
  <c r="N124" i="1"/>
  <c r="N908" i="1"/>
  <c r="N548" i="1"/>
  <c r="N126" i="1"/>
  <c r="N940" i="1"/>
  <c r="N834" i="1"/>
  <c r="N14" i="1"/>
  <c r="N551" i="1"/>
  <c r="N553" i="1"/>
  <c r="N554" i="1"/>
  <c r="N555" i="1"/>
  <c r="N925" i="1"/>
  <c r="N461" i="1"/>
  <c r="N559" i="1"/>
  <c r="N136" i="1"/>
  <c r="N846" i="1"/>
  <c r="N770" i="1"/>
  <c r="N561" i="1"/>
  <c r="N140" i="1"/>
  <c r="N141" i="1"/>
  <c r="N143" i="1"/>
  <c r="N566" i="1"/>
  <c r="N144" i="1"/>
  <c r="N148" i="1"/>
  <c r="N149" i="1"/>
  <c r="N836" i="1"/>
  <c r="N151" i="1"/>
  <c r="N152" i="1"/>
  <c r="N153" i="1"/>
  <c r="N154" i="1"/>
  <c r="N570" i="1"/>
  <c r="N156" i="1"/>
  <c r="N157" i="1"/>
  <c r="N158" i="1"/>
  <c r="N572" i="1"/>
  <c r="N819" i="1"/>
  <c r="N159" i="1"/>
  <c r="N160" i="1"/>
  <c r="N573" i="1"/>
  <c r="N163" i="1"/>
  <c r="N165" i="1"/>
  <c r="N939" i="1"/>
  <c r="N166" i="1"/>
  <c r="N167" i="1"/>
  <c r="N171" i="1"/>
  <c r="N576" i="1"/>
  <c r="N896" i="1"/>
  <c r="N462" i="1"/>
  <c r="N175" i="1"/>
  <c r="N176" i="1"/>
  <c r="N1062" i="1"/>
  <c r="N177" i="1"/>
  <c r="N806" i="1"/>
  <c r="N179" i="1"/>
  <c r="N180" i="1"/>
  <c r="N579" i="1"/>
  <c r="N183" i="1"/>
  <c r="N184" i="1"/>
  <c r="N1023" i="1"/>
  <c r="N185" i="1"/>
  <c r="N187" i="1"/>
  <c r="N1037" i="1"/>
  <c r="N188" i="1"/>
  <c r="N897" i="1"/>
  <c r="N934" i="1"/>
  <c r="N858" i="1"/>
  <c r="N938" i="1"/>
  <c r="N586" i="1"/>
  <c r="N588" i="1"/>
  <c r="N196" i="1"/>
  <c r="N589" i="1"/>
  <c r="N197" i="1"/>
  <c r="N1078" i="1"/>
  <c r="N591" i="1"/>
  <c r="N198" i="1"/>
  <c r="N593" i="1"/>
  <c r="N201" i="1"/>
  <c r="N203" i="1"/>
  <c r="N204" i="1"/>
  <c r="N206" i="1"/>
  <c r="N596" i="1"/>
  <c r="N1030" i="1"/>
  <c r="N210" i="1"/>
  <c r="N212" i="1"/>
  <c r="N213" i="1"/>
  <c r="N216" i="1"/>
  <c r="N220" i="1"/>
  <c r="N597" i="1"/>
  <c r="N221" i="1"/>
  <c r="N804" i="1"/>
  <c r="N222" i="1"/>
  <c r="N224" i="1"/>
  <c r="N225" i="1"/>
  <c r="N599" i="1"/>
  <c r="N226" i="1"/>
  <c r="N227" i="1"/>
  <c r="N228" i="1"/>
  <c r="N233" i="1"/>
  <c r="N986" i="1"/>
  <c r="N603" i="1"/>
  <c r="N235" i="1"/>
  <c r="N607" i="1"/>
  <c r="N237" i="1"/>
  <c r="N608" i="1"/>
  <c r="N610" i="1"/>
  <c r="N238" i="1"/>
  <c r="N862" i="1"/>
  <c r="N240" i="1"/>
  <c r="N241" i="1"/>
  <c r="N781" i="1"/>
  <c r="N243" i="1"/>
  <c r="N765" i="1"/>
  <c r="N245" i="1"/>
  <c r="N246" i="1"/>
  <c r="N999" i="1"/>
  <c r="N249" i="1"/>
  <c r="N250" i="1"/>
  <c r="N613" i="1"/>
  <c r="N1005" i="1"/>
  <c r="N251" i="1"/>
  <c r="N254" i="1"/>
  <c r="N2" i="1"/>
  <c r="N255" i="1"/>
  <c r="N256" i="1"/>
  <c r="N618" i="1"/>
  <c r="N783" i="1"/>
  <c r="N259" i="1"/>
  <c r="N260" i="1"/>
  <c r="N261" i="1"/>
  <c r="N262" i="1"/>
  <c r="N985" i="1"/>
  <c r="N263" i="1"/>
  <c r="N265" i="1"/>
  <c r="N266" i="1"/>
  <c r="N267" i="1"/>
  <c r="N268" i="1"/>
  <c r="N271" i="1"/>
  <c r="N631" i="1"/>
  <c r="N984" i="1"/>
  <c r="N273" i="1"/>
  <c r="N274" i="1"/>
  <c r="N275" i="1"/>
  <c r="N276" i="1"/>
  <c r="N277" i="1"/>
  <c r="N634" i="1"/>
  <c r="N464" i="1"/>
  <c r="N812" i="1"/>
  <c r="N638" i="1"/>
  <c r="N283" i="1"/>
  <c r="N286" i="1"/>
  <c r="N641" i="1"/>
  <c r="N642" i="1"/>
  <c r="N287" i="1"/>
  <c r="N288" i="1"/>
  <c r="N292" i="1"/>
  <c r="N293" i="1"/>
  <c r="N646" i="1"/>
  <c r="N647" i="1"/>
  <c r="N294" i="1"/>
  <c r="N649" i="1"/>
  <c r="N295" i="1"/>
  <c r="N298" i="1"/>
  <c r="N651" i="1"/>
  <c r="N299" i="1"/>
  <c r="N300" i="1"/>
  <c r="N652" i="1"/>
  <c r="N301" i="1"/>
  <c r="N303" i="1"/>
  <c r="N1080" i="1"/>
  <c r="N306" i="1"/>
  <c r="N308" i="1"/>
  <c r="N309" i="1"/>
  <c r="N310" i="1"/>
  <c r="N661" i="1"/>
  <c r="N314" i="1"/>
  <c r="N315" i="1"/>
  <c r="N992" i="1"/>
  <c r="N318" i="1"/>
  <c r="N668" i="1"/>
  <c r="N766" i="1"/>
  <c r="N669" i="1"/>
  <c r="N841" i="1"/>
  <c r="N822" i="1"/>
  <c r="N987" i="1"/>
  <c r="N889" i="1"/>
  <c r="N322" i="1"/>
  <c r="N325" i="1"/>
  <c r="N673" i="1"/>
  <c r="N327" i="1"/>
  <c r="N328" i="1"/>
  <c r="N330" i="1"/>
  <c r="N332" i="1"/>
  <c r="N333" i="1"/>
  <c r="N334" i="1"/>
  <c r="N335" i="1"/>
  <c r="N677" i="1"/>
  <c r="N679" i="1"/>
  <c r="N337" i="1"/>
  <c r="N338" i="1"/>
  <c r="N340" i="1"/>
  <c r="N974" i="1"/>
  <c r="N680" i="1"/>
  <c r="N10" i="1"/>
  <c r="N682" i="1"/>
  <c r="N341" i="1"/>
  <c r="N915" i="1"/>
  <c r="N346" i="1"/>
  <c r="N977" i="1"/>
  <c r="N932" i="1"/>
  <c r="N351" i="1"/>
  <c r="N980" i="1"/>
  <c r="N354" i="1"/>
  <c r="N943" i="1"/>
  <c r="N355" i="1"/>
  <c r="N688" i="1"/>
  <c r="N689" i="1"/>
  <c r="N356" i="1"/>
  <c r="N895" i="1"/>
  <c r="N358" i="1"/>
  <c r="N360" i="1"/>
  <c r="N362" i="1"/>
  <c r="N1068" i="1"/>
  <c r="N697" i="1"/>
  <c r="N698" i="1"/>
  <c r="N768" i="1"/>
  <c r="N1018" i="1"/>
  <c r="N365" i="1"/>
  <c r="N990" i="1"/>
  <c r="N371" i="1"/>
  <c r="N372" i="1"/>
  <c r="N373" i="1"/>
  <c r="N374" i="1"/>
  <c r="N379" i="1"/>
  <c r="N383" i="1"/>
  <c r="N705" i="1"/>
  <c r="N384" i="1"/>
  <c r="N708" i="1"/>
  <c r="N711" i="1"/>
  <c r="N904" i="1"/>
  <c r="N800" i="1"/>
  <c r="N391" i="1"/>
  <c r="N392" i="1"/>
  <c r="N393" i="1"/>
  <c r="N395" i="1"/>
  <c r="N12" i="1"/>
  <c r="N398" i="1"/>
  <c r="N719" i="1"/>
  <c r="N981" i="1"/>
  <c r="N403" i="1"/>
  <c r="N404" i="1"/>
  <c r="N405" i="1"/>
  <c r="N406" i="1"/>
  <c r="N407" i="1"/>
  <c r="N965" i="1"/>
  <c r="N412" i="1"/>
  <c r="N724" i="1"/>
  <c r="N725" i="1"/>
  <c r="N414" i="1"/>
  <c r="N415" i="1"/>
  <c r="N729" i="1"/>
  <c r="N417" i="1"/>
  <c r="N8" i="1"/>
  <c r="N731" i="1"/>
  <c r="N967" i="1"/>
  <c r="N419" i="1"/>
  <c r="N983" i="1"/>
  <c r="N420" i="1"/>
  <c r="N881" i="1"/>
  <c r="N734" i="1"/>
  <c r="N422" i="1"/>
  <c r="N423" i="1"/>
  <c r="N424" i="1"/>
  <c r="N1087" i="1"/>
  <c r="N426" i="1"/>
  <c r="N736" i="1"/>
  <c r="N427" i="1"/>
  <c r="N428" i="1"/>
  <c r="N737" i="1"/>
  <c r="N738" i="1"/>
  <c r="N430" i="1"/>
  <c r="N745" i="1"/>
  <c r="N759" i="1"/>
  <c r="N1004" i="1"/>
  <c r="N994" i="1"/>
  <c r="N1079" i="1"/>
  <c r="N437" i="1"/>
  <c r="N438" i="1"/>
  <c r="N439" i="1"/>
  <c r="N751" i="1"/>
  <c r="N752" i="1"/>
  <c r="N442" i="1"/>
  <c r="N1006" i="1"/>
  <c r="N445" i="1"/>
  <c r="N755" i="1"/>
  <c r="N826" i="1"/>
  <c r="N446" i="1"/>
  <c r="N450" i="1"/>
  <c r="N451" i="1"/>
  <c r="N452" i="1"/>
  <c r="N756" i="1"/>
  <c r="N455" i="1"/>
  <c r="N457" i="1"/>
  <c r="N458" i="1"/>
  <c r="N1061" i="1"/>
  <c r="N459" i="1"/>
  <c r="N773" i="1"/>
  <c r="M970" i="1"/>
  <c r="M971" i="1"/>
  <c r="M567" i="1"/>
  <c r="M15" i="1"/>
  <c r="M808" i="1"/>
  <c r="M863" i="1"/>
  <c r="M997" i="1"/>
  <c r="M880" i="1"/>
  <c r="M1041" i="1"/>
  <c r="M289" i="1"/>
  <c r="M802" i="1"/>
  <c r="M11" i="1"/>
  <c r="M234" i="1"/>
  <c r="M792" i="1"/>
  <c r="M801" i="1"/>
  <c r="M538" i="1"/>
  <c r="M640" i="1"/>
  <c r="M877" i="1"/>
  <c r="M556" i="1"/>
  <c r="M368" i="1"/>
  <c r="M31" i="1"/>
  <c r="M181" i="1"/>
  <c r="M482" i="1"/>
  <c r="M535" i="1"/>
  <c r="M20" i="1"/>
  <c r="M215" i="1"/>
  <c r="M920" i="1"/>
  <c r="M202" i="1"/>
  <c r="M209" i="1"/>
  <c r="M786" i="1"/>
  <c r="M620" i="1"/>
  <c r="M935" i="1"/>
  <c r="M604" i="1"/>
  <c r="M693" i="1"/>
  <c r="M505" i="1"/>
  <c r="M933" i="1"/>
  <c r="M911" i="1"/>
  <c r="M891" i="1"/>
  <c r="M1025" i="1"/>
  <c r="M23" i="1"/>
  <c r="M782" i="1"/>
  <c r="M3" i="1"/>
  <c r="M481" i="1"/>
  <c r="M489" i="1"/>
  <c r="M48" i="1"/>
  <c r="M50" i="1"/>
  <c r="M1059" i="1"/>
  <c r="M52" i="1"/>
  <c r="M56" i="1"/>
  <c r="M59" i="1"/>
  <c r="M61" i="1"/>
  <c r="M501" i="1"/>
  <c r="M468" i="1"/>
  <c r="M67" i="1"/>
  <c r="M503" i="1"/>
  <c r="M71" i="1"/>
  <c r="M506" i="1"/>
  <c r="M1053" i="1"/>
  <c r="M509" i="1"/>
  <c r="M467" i="1"/>
  <c r="M890" i="1"/>
  <c r="M514" i="1"/>
  <c r="M515" i="1"/>
  <c r="M83" i="1"/>
  <c r="M516" i="1"/>
  <c r="M517" i="1"/>
  <c r="M966" i="1"/>
  <c r="M851" i="1"/>
  <c r="M870" i="1"/>
  <c r="M785" i="1"/>
  <c r="M96" i="1"/>
  <c r="M97" i="1"/>
  <c r="M1048" i="1"/>
  <c r="M972" i="1"/>
  <c r="M539" i="1"/>
  <c r="M115" i="1"/>
  <c r="M541" i="1"/>
  <c r="M545" i="1"/>
  <c r="M125" i="1"/>
  <c r="M546" i="1"/>
  <c r="M127" i="1"/>
  <c r="M128" i="1"/>
  <c r="M823" i="1"/>
  <c r="M772" i="1"/>
  <c r="M788" i="1"/>
  <c r="M139" i="1"/>
  <c r="M887" i="1"/>
  <c r="M564" i="1"/>
  <c r="M885" i="1"/>
  <c r="M830" i="1"/>
  <c r="M150" i="1"/>
  <c r="M571" i="1"/>
  <c r="M164" i="1"/>
  <c r="M168" i="1"/>
  <c r="M169" i="1"/>
  <c r="M170" i="1"/>
  <c r="M577" i="1"/>
  <c r="M578" i="1"/>
  <c r="M178" i="1"/>
  <c r="M763" i="1"/>
  <c r="M798" i="1"/>
  <c r="M580" i="1"/>
  <c r="M189" i="1"/>
  <c r="M582" i="1"/>
  <c r="M192" i="1"/>
  <c r="M193" i="1"/>
  <c r="M195" i="1"/>
  <c r="M1055" i="1"/>
  <c r="M590" i="1"/>
  <c r="M231" i="1"/>
  <c r="M600" i="1"/>
  <c r="M601" i="1"/>
  <c r="M611" i="1"/>
  <c r="M951" i="1"/>
  <c r="M771" i="1"/>
  <c r="M247" i="1"/>
  <c r="M991" i="1"/>
  <c r="M252" i="1"/>
  <c r="M257" i="1"/>
  <c r="M258" i="1"/>
  <c r="M622" i="1"/>
  <c r="M852" i="1"/>
  <c r="M625" i="1"/>
  <c r="M1042" i="1"/>
  <c r="M626" i="1"/>
  <c r="M630" i="1"/>
  <c r="M272" i="1"/>
  <c r="M632" i="1"/>
  <c r="M635" i="1"/>
  <c r="M636" i="1"/>
  <c r="M848" i="1"/>
  <c r="M1058" i="1"/>
  <c r="M1064" i="1"/>
  <c r="M645" i="1"/>
  <c r="M290" i="1"/>
  <c r="M291" i="1"/>
  <c r="M1086" i="1"/>
  <c r="M648" i="1"/>
  <c r="M979" i="1"/>
  <c r="M297" i="1"/>
  <c r="M655" i="1"/>
  <c r="M305" i="1"/>
  <c r="M1012" i="1"/>
  <c r="M958" i="1"/>
  <c r="M662" i="1"/>
  <c r="M316" i="1"/>
  <c r="M664" i="1"/>
  <c r="M320" i="1"/>
  <c r="M321" i="1"/>
  <c r="M323" i="1"/>
  <c r="M799" i="1"/>
  <c r="M329" i="1"/>
  <c r="M681" i="1"/>
  <c r="M892" i="1"/>
  <c r="M343" i="1"/>
  <c r="M1003" i="1"/>
  <c r="M344" i="1"/>
  <c r="M686" i="1"/>
  <c r="M347" i="1"/>
  <c r="M349" i="1"/>
  <c r="M352" i="1"/>
  <c r="M691" i="1"/>
  <c r="M692" i="1"/>
  <c r="M359" i="1"/>
  <c r="M832" i="1"/>
  <c r="M694" i="1"/>
  <c r="M696" i="1"/>
  <c r="M363" i="1"/>
  <c r="M364" i="1"/>
  <c r="M366" i="1"/>
  <c r="M369" i="1"/>
  <c r="M370" i="1"/>
  <c r="M954" i="1"/>
  <c r="M377" i="1"/>
  <c r="M380" i="1"/>
  <c r="M700" i="1"/>
  <c r="M701" i="1"/>
  <c r="M382" i="1"/>
  <c r="M386" i="1"/>
  <c r="M707" i="1"/>
  <c r="M850" i="1"/>
  <c r="M831" i="1"/>
  <c r="M709" i="1"/>
  <c r="M995" i="1"/>
  <c r="M390" i="1"/>
  <c r="M1065" i="1"/>
  <c r="M401" i="1"/>
  <c r="M1034" i="1"/>
  <c r="M723" i="1"/>
  <c r="M727" i="1"/>
  <c r="M769" i="1"/>
  <c r="M919" i="1"/>
  <c r="M961" i="1"/>
  <c r="M425" i="1"/>
  <c r="M1002" i="1"/>
  <c r="M741" i="1"/>
  <c r="M431" i="1"/>
  <c r="M744" i="1"/>
  <c r="M893" i="1"/>
  <c r="M436" i="1"/>
  <c r="M750" i="1"/>
  <c r="M753" i="1"/>
  <c r="M443" i="1"/>
  <c r="M447" i="1"/>
  <c r="M448" i="1"/>
  <c r="M460" i="1"/>
  <c r="M946" i="1"/>
  <c r="M712" i="1"/>
  <c r="M809" i="1"/>
  <c r="M1028" i="1"/>
  <c r="M659" i="1"/>
  <c r="M1051" i="1"/>
  <c r="M494" i="1"/>
  <c r="M60" i="1"/>
  <c r="M1001" i="1"/>
  <c r="M558" i="1"/>
  <c r="M917" i="1"/>
  <c r="M614" i="1"/>
  <c r="M1082" i="1"/>
  <c r="M639" i="1"/>
  <c r="M789" i="1"/>
  <c r="M440" i="1"/>
  <c r="M695" i="1"/>
  <c r="M825" i="1"/>
  <c r="M922" i="1"/>
  <c r="M929" i="1"/>
  <c r="M472" i="1"/>
  <c r="M473" i="1"/>
  <c r="M882" i="1"/>
  <c r="M962" i="1"/>
  <c r="M1026" i="1"/>
  <c r="M500" i="1"/>
  <c r="M996" i="1"/>
  <c r="M75" i="1"/>
  <c r="M936" i="1"/>
  <c r="M525" i="1"/>
  <c r="M923" i="1"/>
  <c r="M92" i="1"/>
  <c r="M99" i="1"/>
  <c r="M1071" i="1"/>
  <c r="M112" i="1"/>
  <c r="M116" i="1"/>
  <c r="M1054" i="1"/>
  <c r="M1088" i="1"/>
  <c r="M1038" i="1"/>
  <c r="M1063" i="1"/>
  <c r="M155" i="1"/>
  <c r="M574" i="1"/>
  <c r="M575" i="1"/>
  <c r="M760" i="1"/>
  <c r="M182" i="1"/>
  <c r="M190" i="1"/>
  <c r="M581" i="1"/>
  <c r="M199" i="1"/>
  <c r="M989" i="1"/>
  <c r="M1014" i="1"/>
  <c r="M845" i="1"/>
  <c r="M602" i="1"/>
  <c r="M236" i="1"/>
  <c r="M912" i="1"/>
  <c r="M764" i="1"/>
  <c r="M616" i="1"/>
  <c r="M905" i="1"/>
  <c r="M1084" i="1"/>
  <c r="M1050" i="1"/>
  <c r="M269" i="1"/>
  <c r="M628" i="1"/>
  <c r="M629" i="1"/>
  <c r="M280" i="1"/>
  <c r="M282" i="1"/>
  <c r="M1015" i="1"/>
  <c r="M1031" i="1"/>
  <c r="M813" i="1"/>
  <c r="M296" i="1"/>
  <c r="M654" i="1"/>
  <c r="M302" i="1"/>
  <c r="M657" i="1"/>
  <c r="M1036" i="1"/>
  <c r="M930" i="1"/>
  <c r="M671" i="1"/>
  <c r="M672" i="1"/>
  <c r="M678" i="1"/>
  <c r="M1069" i="1"/>
  <c r="M684" i="1"/>
  <c r="M910" i="1"/>
  <c r="M685" i="1"/>
  <c r="M350" i="1"/>
  <c r="M797" i="1"/>
  <c r="M886" i="1"/>
  <c r="M378" i="1"/>
  <c r="M385" i="1"/>
  <c r="M402" i="1"/>
  <c r="M1024" i="1"/>
  <c r="M429" i="1"/>
  <c r="M747" i="1"/>
  <c r="M1057" i="1"/>
  <c r="M57" i="1"/>
  <c r="M955" i="1"/>
  <c r="M487" i="1"/>
  <c r="M1081" i="1"/>
  <c r="M550" i="1"/>
  <c r="M1045" i="1"/>
  <c r="M7" i="1"/>
  <c r="M248" i="1"/>
  <c r="M624" i="1"/>
  <c r="M875" i="1"/>
  <c r="M794" i="1"/>
  <c r="M884" i="1"/>
  <c r="M667" i="1"/>
  <c r="M690" i="1"/>
  <c r="M409" i="1"/>
  <c r="M1047" i="1"/>
  <c r="M504" i="1"/>
  <c r="M803" i="1"/>
  <c r="M871" i="1"/>
  <c r="M827" i="1"/>
  <c r="M552" i="1"/>
  <c r="M562" i="1"/>
  <c r="M1046" i="1"/>
  <c r="M1020" i="1"/>
  <c r="M865" i="1"/>
  <c r="M1067" i="1"/>
  <c r="M796" i="1"/>
  <c r="M703" i="1"/>
  <c r="M735" i="1"/>
  <c r="M864" i="1"/>
  <c r="M643" i="1"/>
  <c r="M720" i="1"/>
  <c r="M907" i="1"/>
  <c r="M16" i="1"/>
  <c r="M33" i="1"/>
  <c r="M34" i="1"/>
  <c r="M485" i="1"/>
  <c r="M49" i="1"/>
  <c r="M54" i="1"/>
  <c r="M62" i="1"/>
  <c r="M507" i="1"/>
  <c r="M74" i="1"/>
  <c r="M512" i="1"/>
  <c r="M524" i="1"/>
  <c r="M916" i="1"/>
  <c r="M534" i="1"/>
  <c r="M536" i="1"/>
  <c r="M942" i="1"/>
  <c r="M1016" i="1"/>
  <c r="M762" i="1"/>
  <c r="M131" i="1"/>
  <c r="M817" i="1"/>
  <c r="M568" i="1"/>
  <c r="M173" i="1"/>
  <c r="M194" i="1"/>
  <c r="M312" i="1"/>
  <c r="M317" i="1"/>
  <c r="M676" i="1"/>
  <c r="M683" i="1"/>
  <c r="M345" i="1"/>
  <c r="M421" i="1"/>
  <c r="M435" i="1"/>
  <c r="M453" i="1"/>
  <c r="M557" i="1"/>
  <c r="M399" i="1"/>
  <c r="M627" i="1"/>
  <c r="M44" i="1"/>
  <c r="M949" i="1"/>
  <c r="M594" i="1"/>
  <c r="M748" i="1"/>
  <c r="M174" i="1"/>
  <c r="M387" i="1"/>
  <c r="M584" i="1"/>
  <c r="M1073" i="1"/>
  <c r="M663" i="1"/>
  <c r="M474" i="1"/>
  <c r="M25" i="1"/>
  <c r="M28" i="1"/>
  <c r="M837" i="1"/>
  <c r="M496" i="1"/>
  <c r="M945" i="1"/>
  <c r="M80" i="1"/>
  <c r="M113" i="1"/>
  <c r="M560" i="1"/>
  <c r="M200" i="1"/>
  <c r="M207" i="1"/>
  <c r="M217" i="1"/>
  <c r="M898" i="1"/>
  <c r="M244" i="1"/>
  <c r="M619" i="1"/>
  <c r="M998" i="1"/>
  <c r="M656" i="1"/>
  <c r="M665" i="1"/>
  <c r="M319" i="1"/>
  <c r="M776" i="1"/>
  <c r="M878" i="1"/>
  <c r="M361" i="1"/>
  <c r="M375" i="1"/>
  <c r="M381" i="1"/>
  <c r="M710" i="1"/>
  <c r="M814" i="1"/>
  <c r="M718" i="1"/>
  <c r="M410" i="1"/>
  <c r="M844" i="1"/>
  <c r="M1039" i="1"/>
  <c r="M959" i="1"/>
  <c r="M454" i="1"/>
  <c r="M824" i="1"/>
  <c r="M1027" i="1"/>
  <c r="M1072" i="1"/>
  <c r="M835" i="1"/>
  <c r="M1017" i="1"/>
  <c r="M1060" i="1"/>
  <c r="M313" i="1"/>
  <c r="M730" i="1"/>
  <c r="M219" i="1"/>
  <c r="M418" i="1"/>
  <c r="M666" i="1"/>
  <c r="M816" i="1"/>
  <c r="M307" i="1"/>
  <c r="M6" i="1"/>
  <c r="M39" i="1"/>
  <c r="M471" i="1"/>
  <c r="M21" i="1"/>
  <c r="M956" i="1"/>
  <c r="M869" i="1"/>
  <c r="M29" i="1"/>
  <c r="M37" i="1"/>
  <c r="M948" i="1"/>
  <c r="M38" i="1"/>
  <c r="M483" i="1"/>
  <c r="M486" i="1"/>
  <c r="M47" i="1"/>
  <c r="M818" i="1"/>
  <c r="M497" i="1"/>
  <c r="M498" i="1"/>
  <c r="M499" i="1"/>
  <c r="M63" i="1"/>
  <c r="M502" i="1"/>
  <c r="M914" i="1"/>
  <c r="M78" i="1"/>
  <c r="M774" i="1"/>
  <c r="M520" i="1"/>
  <c r="M1019" i="1"/>
  <c r="M85" i="1"/>
  <c r="M526" i="1"/>
  <c r="M528" i="1"/>
  <c r="M902" i="1"/>
  <c r="M529" i="1"/>
  <c r="M530" i="1"/>
  <c r="M101" i="1"/>
  <c r="M105" i="1"/>
  <c r="M952" i="1"/>
  <c r="M533" i="1"/>
  <c r="M544" i="1"/>
  <c r="M121" i="1"/>
  <c r="M122" i="1"/>
  <c r="M899" i="1"/>
  <c r="M547" i="1"/>
  <c r="M549" i="1"/>
  <c r="M133" i="1"/>
  <c r="M138" i="1"/>
  <c r="M565" i="1"/>
  <c r="M146" i="1"/>
  <c r="M147" i="1"/>
  <c r="M950" i="1"/>
  <c r="M1035" i="1"/>
  <c r="M161" i="1"/>
  <c r="M172" i="1"/>
  <c r="M583" i="1"/>
  <c r="M906" i="1"/>
  <c r="M587" i="1"/>
  <c r="M205" i="1"/>
  <c r="M924" i="1"/>
  <c r="M223" i="1"/>
  <c r="M229" i="1"/>
  <c r="M784" i="1"/>
  <c r="M833" i="1"/>
  <c r="M605" i="1"/>
  <c r="M606" i="1"/>
  <c r="M239" i="1"/>
  <c r="M242" i="1"/>
  <c r="M909" i="1"/>
  <c r="M615" i="1"/>
  <c r="M874" i="1"/>
  <c r="M621" i="1"/>
  <c r="M1056" i="1"/>
  <c r="M633" i="1"/>
  <c r="M279" i="1"/>
  <c r="M281" i="1"/>
  <c r="M903" i="1"/>
  <c r="M284" i="1"/>
  <c r="M644" i="1"/>
  <c r="M928" i="1"/>
  <c r="M810" i="1"/>
  <c r="M860" i="1"/>
  <c r="M304" i="1"/>
  <c r="M311" i="1"/>
  <c r="M660" i="1"/>
  <c r="M670" i="1"/>
  <c r="M326" i="1"/>
  <c r="M674" i="1"/>
  <c r="M336" i="1"/>
  <c r="M900" i="1"/>
  <c r="M342" i="1"/>
  <c r="M1044" i="1"/>
  <c r="M982" i="1"/>
  <c r="M767" i="1"/>
  <c r="M931" i="1"/>
  <c r="M353" i="1"/>
  <c r="M847" i="1"/>
  <c r="M376" i="1"/>
  <c r="M790" i="1"/>
  <c r="M702" i="1"/>
  <c r="M706" i="1"/>
  <c r="M388" i="1"/>
  <c r="M389" i="1"/>
  <c r="M921" i="1"/>
  <c r="M717" i="1"/>
  <c r="M976" i="1"/>
  <c r="M1007" i="1"/>
  <c r="M408" i="1"/>
  <c r="M1022" i="1"/>
  <c r="M411" i="1"/>
  <c r="M413" i="1"/>
  <c r="M728" i="1"/>
  <c r="M416" i="1"/>
  <c r="M732" i="1"/>
  <c r="M13" i="1"/>
  <c r="M739" i="1"/>
  <c r="M740" i="1"/>
  <c r="M775" i="1"/>
  <c r="M746" i="1"/>
  <c r="M434" i="1"/>
  <c r="M754" i="1"/>
  <c r="M811" i="1"/>
  <c r="M758" i="1"/>
  <c r="M947" i="1"/>
  <c r="M927" i="1"/>
  <c r="M493" i="1"/>
  <c r="M855" i="1"/>
  <c r="M253" i="1"/>
  <c r="M331" i="1"/>
  <c r="M901" i="1"/>
  <c r="M1033" i="1"/>
  <c r="M722" i="1"/>
  <c r="M1043" i="1"/>
  <c r="M492" i="1"/>
  <c r="M866" i="1"/>
  <c r="M941" i="1"/>
  <c r="M876" i="1"/>
  <c r="M469" i="1"/>
  <c r="M18" i="1"/>
  <c r="M24" i="1"/>
  <c r="M868" i="1"/>
  <c r="M35" i="1"/>
  <c r="M5" i="1"/>
  <c r="M40" i="1"/>
  <c r="M491" i="1"/>
  <c r="M508" i="1"/>
  <c r="M82" i="1"/>
  <c r="M853" i="1"/>
  <c r="M840" i="1"/>
  <c r="M521" i="1"/>
  <c r="M522" i="1"/>
  <c r="M84" i="1"/>
  <c r="M523" i="1"/>
  <c r="M102" i="1"/>
  <c r="M106" i="1"/>
  <c r="M108" i="1"/>
  <c r="M109" i="1"/>
  <c r="M537" i="1"/>
  <c r="M872" i="1"/>
  <c r="M114" i="1"/>
  <c r="M542" i="1"/>
  <c r="M1040" i="1"/>
  <c r="M779" i="1"/>
  <c r="M857" i="1"/>
  <c r="M129" i="1"/>
  <c r="M130" i="1"/>
  <c r="M132" i="1"/>
  <c r="M888" i="1"/>
  <c r="M134" i="1"/>
  <c r="M135" i="1"/>
  <c r="M993" i="1"/>
  <c r="M142" i="1"/>
  <c r="M145" i="1"/>
  <c r="M849" i="1"/>
  <c r="M957" i="1"/>
  <c r="M186" i="1"/>
  <c r="M191" i="1"/>
  <c r="M1049" i="1"/>
  <c r="M208" i="1"/>
  <c r="M820" i="1"/>
  <c r="M214" i="1"/>
  <c r="M842" i="1"/>
  <c r="M232" i="1"/>
  <c r="M1074" i="1"/>
  <c r="M1011" i="1"/>
  <c r="M264" i="1"/>
  <c r="M278" i="1"/>
  <c r="M1077" i="1"/>
  <c r="M960" i="1"/>
  <c r="M839" i="1"/>
  <c r="M653" i="1"/>
  <c r="M1032" i="1"/>
  <c r="M1076" i="1"/>
  <c r="M324" i="1"/>
  <c r="M675" i="1"/>
  <c r="M964" i="1"/>
  <c r="M339" i="1"/>
  <c r="M807" i="1"/>
  <c r="M1052" i="1"/>
  <c r="M687" i="1"/>
  <c r="M357" i="1"/>
  <c r="M699" i="1"/>
  <c r="M704" i="1"/>
  <c r="M829" i="1"/>
  <c r="M713" i="1"/>
  <c r="M714" i="1"/>
  <c r="M396" i="1"/>
  <c r="M397" i="1"/>
  <c r="M1009" i="1"/>
  <c r="M973" i="1"/>
  <c r="M854" i="1"/>
  <c r="M742" i="1"/>
  <c r="M432" i="1"/>
  <c r="M433" i="1"/>
  <c r="M749" i="1"/>
  <c r="M441" i="1"/>
  <c r="M449" i="1"/>
  <c r="M757" i="1"/>
  <c r="M859" i="1"/>
  <c r="M4" i="1"/>
  <c r="M513" i="1"/>
  <c r="M118" i="1"/>
  <c r="M162" i="1"/>
  <c r="M937" i="1"/>
  <c r="M780" i="1"/>
  <c r="M1070" i="1"/>
  <c r="M913" i="1"/>
  <c r="M715" i="1"/>
  <c r="M733" i="1"/>
  <c r="M592" i="1"/>
  <c r="M879" i="1"/>
  <c r="M1008" i="1"/>
  <c r="M211" i="1"/>
  <c r="M137" i="1"/>
  <c r="M285" i="1"/>
  <c r="M76" i="1"/>
  <c r="M585" i="1"/>
  <c r="M637" i="1"/>
  <c r="M650" i="1"/>
  <c r="M726" i="1"/>
  <c r="M569" i="1"/>
  <c r="M873" i="1"/>
  <c r="M658" i="1"/>
  <c r="M867" i="1"/>
  <c r="M64" i="1"/>
  <c r="M563" i="1"/>
  <c r="M883" i="1"/>
  <c r="M1010" i="1"/>
  <c r="M348" i="1"/>
  <c r="M821" i="1"/>
  <c r="M815" i="1"/>
  <c r="M478" i="1"/>
  <c r="M30" i="1"/>
  <c r="M119" i="1"/>
  <c r="M595" i="1"/>
  <c r="M598" i="1"/>
  <c r="M1083" i="1"/>
  <c r="M367" i="1"/>
  <c r="M400" i="1"/>
  <c r="M793" i="1"/>
  <c r="M969" i="1"/>
  <c r="M721" i="1"/>
  <c r="M9" i="1"/>
  <c r="M743" i="1"/>
  <c r="M609" i="1"/>
  <c r="M978" i="1"/>
  <c r="M791" i="1"/>
  <c r="M617" i="1"/>
  <c r="M612" i="1"/>
  <c r="M1029" i="1"/>
  <c r="M777" i="1"/>
  <c r="M828" i="1"/>
  <c r="M91" i="1"/>
  <c r="M270" i="1"/>
  <c r="M218" i="1"/>
  <c r="M623" i="1"/>
  <c r="M918" i="1"/>
  <c r="M456" i="1"/>
  <c r="M894" i="1"/>
  <c r="M230" i="1"/>
  <c r="M975" i="1"/>
  <c r="M444" i="1"/>
  <c r="M716" i="1"/>
  <c r="M1013" i="1"/>
  <c r="M1085" i="1"/>
  <c r="M394" i="1"/>
  <c r="M795" i="1"/>
  <c r="M17" i="1"/>
  <c r="M787" i="1"/>
  <c r="M470" i="1"/>
  <c r="M856" i="1"/>
  <c r="M19" i="1"/>
  <c r="M944" i="1"/>
  <c r="M22" i="1"/>
  <c r="M475" i="1"/>
  <c r="M476" i="1"/>
  <c r="M26" i="1"/>
  <c r="M477" i="1"/>
  <c r="M479" i="1"/>
  <c r="M27" i="1"/>
  <c r="M480" i="1"/>
  <c r="M32" i="1"/>
  <c r="M36" i="1"/>
  <c r="M805" i="1"/>
  <c r="M968" i="1"/>
  <c r="M484" i="1"/>
  <c r="M41" i="1"/>
  <c r="M42" i="1"/>
  <c r="M43" i="1"/>
  <c r="M45" i="1"/>
  <c r="M988" i="1"/>
  <c r="M46" i="1"/>
  <c r="M488" i="1"/>
  <c r="M490" i="1"/>
  <c r="M51" i="1"/>
  <c r="M53" i="1"/>
  <c r="M495" i="1"/>
  <c r="M55" i="1"/>
  <c r="M463" i="1"/>
  <c r="M58" i="1"/>
  <c r="M843" i="1"/>
  <c r="M65" i="1"/>
  <c r="M66" i="1"/>
  <c r="M1066" i="1"/>
  <c r="M68" i="1"/>
  <c r="M69" i="1"/>
  <c r="M70" i="1"/>
  <c r="M953" i="1"/>
  <c r="M72" i="1"/>
  <c r="M73" i="1"/>
  <c r="M761" i="1"/>
  <c r="M1075" i="1"/>
  <c r="M778" i="1"/>
  <c r="M510" i="1"/>
  <c r="M77" i="1"/>
  <c r="M861" i="1"/>
  <c r="M79" i="1"/>
  <c r="M511" i="1"/>
  <c r="M81" i="1"/>
  <c r="M518" i="1"/>
  <c r="M519" i="1"/>
  <c r="M86" i="1"/>
  <c r="M527" i="1"/>
  <c r="M87" i="1"/>
  <c r="M88" i="1"/>
  <c r="M89" i="1"/>
  <c r="M90" i="1"/>
  <c r="M465" i="1"/>
  <c r="M93" i="1"/>
  <c r="M94" i="1"/>
  <c r="M531" i="1"/>
  <c r="M95" i="1"/>
  <c r="M98" i="1"/>
  <c r="M100" i="1"/>
  <c r="M1021" i="1"/>
  <c r="M103" i="1"/>
  <c r="M532" i="1"/>
  <c r="M104" i="1"/>
  <c r="M1000" i="1"/>
  <c r="M107" i="1"/>
  <c r="M926" i="1"/>
  <c r="M466" i="1"/>
  <c r="M838" i="1"/>
  <c r="M110" i="1"/>
  <c r="M111" i="1"/>
  <c r="M540" i="1"/>
  <c r="M117" i="1"/>
  <c r="M543" i="1"/>
  <c r="M120" i="1"/>
  <c r="M963" i="1"/>
  <c r="M123" i="1"/>
  <c r="M124" i="1"/>
  <c r="M908" i="1"/>
  <c r="M548" i="1"/>
  <c r="M126" i="1"/>
  <c r="M940" i="1"/>
  <c r="M834" i="1"/>
  <c r="M14" i="1"/>
  <c r="M551" i="1"/>
  <c r="M553" i="1"/>
  <c r="M554" i="1"/>
  <c r="M555" i="1"/>
  <c r="M925" i="1"/>
  <c r="M461" i="1"/>
  <c r="M559" i="1"/>
  <c r="M136" i="1"/>
  <c r="M846" i="1"/>
  <c r="M770" i="1"/>
  <c r="M561" i="1"/>
  <c r="M140" i="1"/>
  <c r="M141" i="1"/>
  <c r="M143" i="1"/>
  <c r="M566" i="1"/>
  <c r="M144" i="1"/>
  <c r="M148" i="1"/>
  <c r="M149" i="1"/>
  <c r="M836" i="1"/>
  <c r="M151" i="1"/>
  <c r="M152" i="1"/>
  <c r="M153" i="1"/>
  <c r="M154" i="1"/>
  <c r="M570" i="1"/>
  <c r="M156" i="1"/>
  <c r="M157" i="1"/>
  <c r="M158" i="1"/>
  <c r="M572" i="1"/>
  <c r="M819" i="1"/>
  <c r="M159" i="1"/>
  <c r="M160" i="1"/>
  <c r="M573" i="1"/>
  <c r="M163" i="1"/>
  <c r="M165" i="1"/>
  <c r="M939" i="1"/>
  <c r="M166" i="1"/>
  <c r="M167" i="1"/>
  <c r="M171" i="1"/>
  <c r="M576" i="1"/>
  <c r="M896" i="1"/>
  <c r="M462" i="1"/>
  <c r="M175" i="1"/>
  <c r="M176" i="1"/>
  <c r="M1062" i="1"/>
  <c r="M177" i="1"/>
  <c r="M806" i="1"/>
  <c r="M179" i="1"/>
  <c r="M180" i="1"/>
  <c r="M579" i="1"/>
  <c r="M183" i="1"/>
  <c r="M184" i="1"/>
  <c r="M1023" i="1"/>
  <c r="M185" i="1"/>
  <c r="M187" i="1"/>
  <c r="M1037" i="1"/>
  <c r="M188" i="1"/>
  <c r="M897" i="1"/>
  <c r="M934" i="1"/>
  <c r="M858" i="1"/>
  <c r="M938" i="1"/>
  <c r="M586" i="1"/>
  <c r="M588" i="1"/>
  <c r="M196" i="1"/>
  <c r="M589" i="1"/>
  <c r="M197" i="1"/>
  <c r="M1078" i="1"/>
  <c r="M591" i="1"/>
  <c r="M198" i="1"/>
  <c r="M593" i="1"/>
  <c r="M201" i="1"/>
  <c r="M203" i="1"/>
  <c r="M204" i="1"/>
  <c r="M206" i="1"/>
  <c r="M596" i="1"/>
  <c r="M1030" i="1"/>
  <c r="M210" i="1"/>
  <c r="M212" i="1"/>
  <c r="M213" i="1"/>
  <c r="M216" i="1"/>
  <c r="M220" i="1"/>
  <c r="M597" i="1"/>
  <c r="M221" i="1"/>
  <c r="M804" i="1"/>
  <c r="M222" i="1"/>
  <c r="M224" i="1"/>
  <c r="M225" i="1"/>
  <c r="M599" i="1"/>
  <c r="M226" i="1"/>
  <c r="M227" i="1"/>
  <c r="M228" i="1"/>
  <c r="M233" i="1"/>
  <c r="M986" i="1"/>
  <c r="M603" i="1"/>
  <c r="M235" i="1"/>
  <c r="M607" i="1"/>
  <c r="M237" i="1"/>
  <c r="M608" i="1"/>
  <c r="M610" i="1"/>
  <c r="M238" i="1"/>
  <c r="M862" i="1"/>
  <c r="M240" i="1"/>
  <c r="M241" i="1"/>
  <c r="M781" i="1"/>
  <c r="M243" i="1"/>
  <c r="M765" i="1"/>
  <c r="M245" i="1"/>
  <c r="M246" i="1"/>
  <c r="M999" i="1"/>
  <c r="M249" i="1"/>
  <c r="M250" i="1"/>
  <c r="M613" i="1"/>
  <c r="M1005" i="1"/>
  <c r="M251" i="1"/>
  <c r="M254" i="1"/>
  <c r="M2" i="1"/>
  <c r="M255" i="1"/>
  <c r="M256" i="1"/>
  <c r="M618" i="1"/>
  <c r="M783" i="1"/>
  <c r="M259" i="1"/>
  <c r="M260" i="1"/>
  <c r="M261" i="1"/>
  <c r="M262" i="1"/>
  <c r="M985" i="1"/>
  <c r="M263" i="1"/>
  <c r="M265" i="1"/>
  <c r="M266" i="1"/>
  <c r="M267" i="1"/>
  <c r="M268" i="1"/>
  <c r="M271" i="1"/>
  <c r="M631" i="1"/>
  <c r="M984" i="1"/>
  <c r="M273" i="1"/>
  <c r="M274" i="1"/>
  <c r="M275" i="1"/>
  <c r="M276" i="1"/>
  <c r="M277" i="1"/>
  <c r="M634" i="1"/>
  <c r="M464" i="1"/>
  <c r="M812" i="1"/>
  <c r="M638" i="1"/>
  <c r="M283" i="1"/>
  <c r="M286" i="1"/>
  <c r="M641" i="1"/>
  <c r="M642" i="1"/>
  <c r="M287" i="1"/>
  <c r="M288" i="1"/>
  <c r="M292" i="1"/>
  <c r="M293" i="1"/>
  <c r="M646" i="1"/>
  <c r="M647" i="1"/>
  <c r="M294" i="1"/>
  <c r="M649" i="1"/>
  <c r="M295" i="1"/>
  <c r="M298" i="1"/>
  <c r="M651" i="1"/>
  <c r="M299" i="1"/>
  <c r="M300" i="1"/>
  <c r="M652" i="1"/>
  <c r="M301" i="1"/>
  <c r="M303" i="1"/>
  <c r="M1080" i="1"/>
  <c r="M306" i="1"/>
  <c r="M308" i="1"/>
  <c r="M309" i="1"/>
  <c r="M310" i="1"/>
  <c r="M661" i="1"/>
  <c r="M314" i="1"/>
  <c r="M315" i="1"/>
  <c r="M992" i="1"/>
  <c r="M318" i="1"/>
  <c r="M668" i="1"/>
  <c r="M766" i="1"/>
  <c r="M669" i="1"/>
  <c r="M841" i="1"/>
  <c r="M822" i="1"/>
  <c r="M987" i="1"/>
  <c r="M889" i="1"/>
  <c r="M322" i="1"/>
  <c r="M325" i="1"/>
  <c r="M673" i="1"/>
  <c r="M327" i="1"/>
  <c r="M328" i="1"/>
  <c r="M330" i="1"/>
  <c r="M332" i="1"/>
  <c r="M333" i="1"/>
  <c r="M334" i="1"/>
  <c r="M335" i="1"/>
  <c r="M677" i="1"/>
  <c r="M679" i="1"/>
  <c r="M337" i="1"/>
  <c r="M338" i="1"/>
  <c r="M340" i="1"/>
  <c r="M974" i="1"/>
  <c r="M680" i="1"/>
  <c r="M10" i="1"/>
  <c r="M682" i="1"/>
  <c r="M341" i="1"/>
  <c r="M915" i="1"/>
  <c r="M346" i="1"/>
  <c r="M977" i="1"/>
  <c r="M932" i="1"/>
  <c r="M351" i="1"/>
  <c r="M980" i="1"/>
  <c r="M354" i="1"/>
  <c r="M943" i="1"/>
  <c r="M355" i="1"/>
  <c r="M688" i="1"/>
  <c r="M689" i="1"/>
  <c r="M356" i="1"/>
  <c r="M895" i="1"/>
  <c r="M358" i="1"/>
  <c r="M360" i="1"/>
  <c r="M362" i="1"/>
  <c r="M1068" i="1"/>
  <c r="M697" i="1"/>
  <c r="M698" i="1"/>
  <c r="M768" i="1"/>
  <c r="M1018" i="1"/>
  <c r="M365" i="1"/>
  <c r="M990" i="1"/>
  <c r="M371" i="1"/>
  <c r="M372" i="1"/>
  <c r="M373" i="1"/>
  <c r="M374" i="1"/>
  <c r="M379" i="1"/>
  <c r="M383" i="1"/>
  <c r="M705" i="1"/>
  <c r="M384" i="1"/>
  <c r="M708" i="1"/>
  <c r="M711" i="1"/>
  <c r="M904" i="1"/>
  <c r="M800" i="1"/>
  <c r="M391" i="1"/>
  <c r="M392" i="1"/>
  <c r="M393" i="1"/>
  <c r="M395" i="1"/>
  <c r="M12" i="1"/>
  <c r="M398" i="1"/>
  <c r="M719" i="1"/>
  <c r="M981" i="1"/>
  <c r="M403" i="1"/>
  <c r="M404" i="1"/>
  <c r="M405" i="1"/>
  <c r="M406" i="1"/>
  <c r="M407" i="1"/>
  <c r="M965" i="1"/>
  <c r="M412" i="1"/>
  <c r="M724" i="1"/>
  <c r="M725" i="1"/>
  <c r="M414" i="1"/>
  <c r="M415" i="1"/>
  <c r="M729" i="1"/>
  <c r="M417" i="1"/>
  <c r="M8" i="1"/>
  <c r="M731" i="1"/>
  <c r="M967" i="1"/>
  <c r="M419" i="1"/>
  <c r="M983" i="1"/>
  <c r="M420" i="1"/>
  <c r="M881" i="1"/>
  <c r="M734" i="1"/>
  <c r="M422" i="1"/>
  <c r="M423" i="1"/>
  <c r="M424" i="1"/>
  <c r="M1087" i="1"/>
  <c r="M426" i="1"/>
  <c r="M736" i="1"/>
  <c r="M427" i="1"/>
  <c r="M428" i="1"/>
  <c r="M737" i="1"/>
  <c r="M738" i="1"/>
  <c r="M430" i="1"/>
  <c r="M745" i="1"/>
  <c r="M759" i="1"/>
  <c r="M1004" i="1"/>
  <c r="M994" i="1"/>
  <c r="M1079" i="1"/>
  <c r="M437" i="1"/>
  <c r="M438" i="1"/>
  <c r="M439" i="1"/>
  <c r="M751" i="1"/>
  <c r="M752" i="1"/>
  <c r="M442" i="1"/>
  <c r="M1006" i="1"/>
  <c r="M445" i="1"/>
  <c r="M755" i="1"/>
  <c r="M826" i="1"/>
  <c r="M446" i="1"/>
  <c r="M450" i="1"/>
  <c r="M451" i="1"/>
  <c r="M452" i="1"/>
  <c r="M756" i="1"/>
  <c r="M455" i="1"/>
  <c r="M457" i="1"/>
  <c r="M458" i="1"/>
  <c r="M1061" i="1"/>
  <c r="M459" i="1"/>
  <c r="M773" i="1"/>
  <c r="F73" i="3"/>
  <c r="J73" i="3" s="1"/>
  <c r="F72" i="3"/>
  <c r="I72" i="3" s="1"/>
  <c r="F71" i="3"/>
  <c r="I71" i="3" s="1"/>
  <c r="F70" i="3"/>
  <c r="J70" i="3" s="1"/>
  <c r="F69" i="3"/>
  <c r="J69" i="3" s="1"/>
  <c r="E57" i="2" l="1"/>
  <c r="C57" i="2"/>
  <c r="G57" i="2"/>
  <c r="D57" i="2"/>
  <c r="F57" i="2"/>
  <c r="H57" i="2"/>
  <c r="G89" i="3"/>
  <c r="G90" i="3"/>
  <c r="G91" i="3"/>
  <c r="G87" i="3"/>
  <c r="G88" i="3"/>
  <c r="G86" i="3"/>
  <c r="J71" i="3"/>
  <c r="I70" i="3"/>
  <c r="J72" i="3"/>
  <c r="I73" i="3"/>
  <c r="I69" i="3"/>
  <c r="K54" i="3"/>
  <c r="I60" i="3" s="1"/>
  <c r="K53" i="3"/>
  <c r="H59" i="3" s="1"/>
  <c r="K52" i="3"/>
  <c r="G58" i="3" s="1"/>
  <c r="K51" i="3"/>
  <c r="H57" i="3" s="1"/>
  <c r="K50" i="3"/>
  <c r="I56" i="3" s="1"/>
  <c r="K36" i="3"/>
  <c r="F42" i="3" s="1"/>
  <c r="K37" i="3"/>
  <c r="I43" i="3" s="1"/>
  <c r="K38" i="3"/>
  <c r="H44" i="3" s="1"/>
  <c r="K39" i="3"/>
  <c r="G45" i="3" s="1"/>
  <c r="K40" i="3"/>
  <c r="F46" i="3" s="1"/>
  <c r="F8" i="3"/>
  <c r="I8" i="3" s="1"/>
  <c r="F9" i="3"/>
  <c r="I9" i="3" s="1"/>
  <c r="F10" i="3"/>
  <c r="I10" i="3" s="1"/>
  <c r="F11" i="3"/>
  <c r="I11" i="3" s="1"/>
  <c r="F12" i="3"/>
  <c r="I12" i="3" s="1"/>
  <c r="J57" i="3" l="1"/>
  <c r="F60" i="3"/>
  <c r="J56" i="3"/>
  <c r="H56" i="3"/>
  <c r="J60" i="3"/>
  <c r="H58" i="3"/>
  <c r="G59" i="3"/>
  <c r="I58" i="3"/>
  <c r="F58" i="3"/>
  <c r="J58" i="3"/>
  <c r="F56" i="3"/>
  <c r="G60" i="3"/>
  <c r="G56" i="3"/>
  <c r="H60" i="3"/>
  <c r="F57" i="3"/>
  <c r="G57" i="3"/>
  <c r="I57" i="3"/>
  <c r="I59" i="3"/>
  <c r="F59" i="3"/>
  <c r="J59" i="3"/>
  <c r="J12" i="3"/>
  <c r="J10" i="3"/>
  <c r="J8" i="3"/>
  <c r="I46" i="3"/>
  <c r="J45" i="3"/>
  <c r="F45" i="3"/>
  <c r="G44" i="3"/>
  <c r="H43" i="3"/>
  <c r="I42" i="3"/>
  <c r="H46" i="3"/>
  <c r="I45" i="3"/>
  <c r="J44" i="3"/>
  <c r="F44" i="3"/>
  <c r="G43" i="3"/>
  <c r="H42" i="3"/>
  <c r="J11" i="3"/>
  <c r="J9" i="3"/>
  <c r="G46" i="3"/>
  <c r="H45" i="3"/>
  <c r="I44" i="3"/>
  <c r="J43" i="3"/>
  <c r="F43" i="3"/>
  <c r="G42" i="3"/>
  <c r="J46" i="3"/>
  <c r="J42" i="3"/>
  <c r="C824" i="1"/>
  <c r="D824" i="1"/>
  <c r="E824" i="1"/>
  <c r="F824" i="1"/>
  <c r="C16" i="1"/>
  <c r="D16" i="1"/>
  <c r="E16" i="1"/>
  <c r="F16" i="1"/>
  <c r="C795" i="1"/>
  <c r="D795" i="1"/>
  <c r="E795" i="1"/>
  <c r="F795" i="1"/>
  <c r="C891" i="1"/>
  <c r="D891" i="1"/>
  <c r="E891" i="1"/>
  <c r="F891" i="1"/>
  <c r="C867" i="1"/>
  <c r="D867" i="1"/>
  <c r="E867" i="1"/>
  <c r="F867" i="1"/>
  <c r="C17" i="1"/>
  <c r="D17" i="1"/>
  <c r="E17" i="1"/>
  <c r="F17" i="1"/>
  <c r="C787" i="1"/>
  <c r="D787" i="1"/>
  <c r="E787" i="1"/>
  <c r="F787" i="1"/>
  <c r="C1025" i="1"/>
  <c r="D1025" i="1"/>
  <c r="E1025" i="1"/>
  <c r="F1025" i="1"/>
  <c r="C470" i="1"/>
  <c r="D470" i="1"/>
  <c r="E470" i="1"/>
  <c r="F470" i="1"/>
  <c r="C469" i="1"/>
  <c r="D469" i="1"/>
  <c r="E469" i="1"/>
  <c r="F469" i="1"/>
  <c r="C18" i="1"/>
  <c r="D18" i="1"/>
  <c r="E18" i="1"/>
  <c r="F18" i="1"/>
  <c r="C471" i="1"/>
  <c r="D471" i="1"/>
  <c r="E471" i="1"/>
  <c r="F471" i="1"/>
  <c r="C792" i="1"/>
  <c r="D792" i="1"/>
  <c r="E792" i="1"/>
  <c r="F792" i="1"/>
  <c r="C856" i="1"/>
  <c r="D856" i="1"/>
  <c r="E856" i="1"/>
  <c r="F856" i="1"/>
  <c r="C19" i="1"/>
  <c r="D19" i="1"/>
  <c r="E19" i="1"/>
  <c r="F19" i="1"/>
  <c r="C20" i="1"/>
  <c r="D20" i="1"/>
  <c r="E20" i="1"/>
  <c r="F20" i="1"/>
  <c r="C472" i="1"/>
  <c r="D472" i="1"/>
  <c r="E472" i="1"/>
  <c r="F472" i="1"/>
  <c r="C21" i="1"/>
  <c r="D21" i="1"/>
  <c r="E21" i="1"/>
  <c r="F21" i="1"/>
  <c r="C944" i="1"/>
  <c r="D944" i="1"/>
  <c r="E944" i="1"/>
  <c r="F944" i="1"/>
  <c r="C22" i="1"/>
  <c r="D22" i="1"/>
  <c r="E22" i="1"/>
  <c r="F22" i="1"/>
  <c r="C956" i="1"/>
  <c r="D956" i="1"/>
  <c r="E956" i="1"/>
  <c r="F956" i="1"/>
  <c r="C473" i="1"/>
  <c r="D473" i="1"/>
  <c r="E473" i="1"/>
  <c r="F473" i="1"/>
  <c r="C23" i="1"/>
  <c r="D23" i="1"/>
  <c r="E23" i="1"/>
  <c r="F23" i="1"/>
  <c r="C474" i="1"/>
  <c r="D474" i="1"/>
  <c r="E474" i="1"/>
  <c r="F474" i="1"/>
  <c r="C882" i="1"/>
  <c r="D882" i="1"/>
  <c r="E882" i="1"/>
  <c r="F882" i="1"/>
  <c r="C835" i="1"/>
  <c r="D835" i="1"/>
  <c r="E835" i="1"/>
  <c r="F835" i="1"/>
  <c r="C24" i="1"/>
  <c r="D24" i="1"/>
  <c r="E24" i="1"/>
  <c r="F24" i="1"/>
  <c r="C475" i="1"/>
  <c r="D475" i="1"/>
  <c r="E475" i="1"/>
  <c r="F475" i="1"/>
  <c r="C868" i="1"/>
  <c r="D868" i="1"/>
  <c r="E868" i="1"/>
  <c r="F868" i="1"/>
  <c r="C933" i="1"/>
  <c r="D933" i="1"/>
  <c r="E933" i="1"/>
  <c r="F933" i="1"/>
  <c r="C476" i="1"/>
  <c r="D476" i="1"/>
  <c r="E476" i="1"/>
  <c r="F476" i="1"/>
  <c r="C25" i="1"/>
  <c r="D25" i="1"/>
  <c r="E25" i="1"/>
  <c r="F25" i="1"/>
  <c r="C26" i="1"/>
  <c r="D26" i="1"/>
  <c r="E26" i="1"/>
  <c r="F26" i="1"/>
  <c r="C477" i="1"/>
  <c r="D477" i="1"/>
  <c r="E477" i="1"/>
  <c r="F477" i="1"/>
  <c r="C782" i="1"/>
  <c r="D782" i="1"/>
  <c r="E782" i="1"/>
  <c r="F782" i="1"/>
  <c r="C478" i="1"/>
  <c r="D478" i="1"/>
  <c r="E478" i="1"/>
  <c r="F478" i="1"/>
  <c r="C479" i="1"/>
  <c r="D479" i="1"/>
  <c r="E479" i="1"/>
  <c r="F479" i="1"/>
  <c r="C27" i="1"/>
  <c r="D27" i="1"/>
  <c r="E27" i="1"/>
  <c r="F27" i="1"/>
  <c r="C869" i="1"/>
  <c r="D869" i="1"/>
  <c r="E869" i="1"/>
  <c r="F869" i="1"/>
  <c r="C480" i="1"/>
  <c r="D480" i="1"/>
  <c r="E480" i="1"/>
  <c r="F480" i="1"/>
  <c r="C962" i="1"/>
  <c r="D962" i="1"/>
  <c r="E962" i="1"/>
  <c r="F962" i="1"/>
  <c r="C28" i="1"/>
  <c r="D28" i="1"/>
  <c r="E28" i="1"/>
  <c r="F28" i="1"/>
  <c r="C29" i="1"/>
  <c r="D29" i="1"/>
  <c r="E29" i="1"/>
  <c r="F29" i="1"/>
  <c r="C30" i="1"/>
  <c r="D30" i="1"/>
  <c r="E30" i="1"/>
  <c r="F30" i="1"/>
  <c r="C31" i="1"/>
  <c r="D31" i="1"/>
  <c r="E31" i="1"/>
  <c r="F31" i="1"/>
  <c r="C32" i="1"/>
  <c r="D32" i="1"/>
  <c r="E32" i="1"/>
  <c r="F32" i="1"/>
  <c r="C33" i="1"/>
  <c r="D33" i="1"/>
  <c r="E33" i="1"/>
  <c r="F33" i="1"/>
  <c r="C34" i="1"/>
  <c r="D34" i="1"/>
  <c r="E34" i="1"/>
  <c r="F34" i="1"/>
  <c r="C918" i="1"/>
  <c r="D918" i="1"/>
  <c r="E918" i="1"/>
  <c r="F918" i="1"/>
  <c r="C35" i="1"/>
  <c r="D35" i="1"/>
  <c r="E35" i="1"/>
  <c r="F35" i="1"/>
  <c r="C36" i="1"/>
  <c r="D36" i="1"/>
  <c r="E36" i="1"/>
  <c r="F36" i="1"/>
  <c r="C805" i="1"/>
  <c r="D805" i="1"/>
  <c r="E805" i="1"/>
  <c r="F805" i="1"/>
  <c r="C968" i="1"/>
  <c r="D968" i="1"/>
  <c r="E968" i="1"/>
  <c r="F968" i="1"/>
  <c r="C37" i="1"/>
  <c r="D37" i="1"/>
  <c r="E37" i="1"/>
  <c r="F37" i="1"/>
  <c r="C859" i="1"/>
  <c r="D859" i="1"/>
  <c r="E859" i="1"/>
  <c r="F859" i="1"/>
  <c r="C3" i="1"/>
  <c r="D3" i="1"/>
  <c r="E3" i="1"/>
  <c r="F3" i="1"/>
  <c r="C1026" i="1"/>
  <c r="D1026" i="1"/>
  <c r="E1026" i="1"/>
  <c r="F1026" i="1"/>
  <c r="C948" i="1"/>
  <c r="D948" i="1"/>
  <c r="E948" i="1"/>
  <c r="F948" i="1"/>
  <c r="C481" i="1"/>
  <c r="D481" i="1"/>
  <c r="E481" i="1"/>
  <c r="F481" i="1"/>
  <c r="C38" i="1"/>
  <c r="D38" i="1"/>
  <c r="E38" i="1"/>
  <c r="F38" i="1"/>
  <c r="C4" i="1"/>
  <c r="D4" i="1"/>
  <c r="E4" i="1"/>
  <c r="F4" i="1"/>
  <c r="C5" i="1"/>
  <c r="D5" i="1"/>
  <c r="E5" i="1"/>
  <c r="F5" i="1"/>
  <c r="C482" i="1"/>
  <c r="D482" i="1"/>
  <c r="E482" i="1"/>
  <c r="F482" i="1"/>
  <c r="C39" i="1"/>
  <c r="D39" i="1"/>
  <c r="E39" i="1"/>
  <c r="F39" i="1"/>
  <c r="C40" i="1"/>
  <c r="D40" i="1"/>
  <c r="E40" i="1"/>
  <c r="F40" i="1"/>
  <c r="C483" i="1"/>
  <c r="D483" i="1"/>
  <c r="E483" i="1"/>
  <c r="F483" i="1"/>
  <c r="C484" i="1"/>
  <c r="D484" i="1"/>
  <c r="E484" i="1"/>
  <c r="F484" i="1"/>
  <c r="C793" i="1"/>
  <c r="D793" i="1"/>
  <c r="E793" i="1"/>
  <c r="F793" i="1"/>
  <c r="C777" i="1"/>
  <c r="D777" i="1"/>
  <c r="E777" i="1"/>
  <c r="F777" i="1"/>
  <c r="C41" i="1"/>
  <c r="D41" i="1"/>
  <c r="E41" i="1"/>
  <c r="F41" i="1"/>
  <c r="C42" i="1"/>
  <c r="D42" i="1"/>
  <c r="E42" i="1"/>
  <c r="F42" i="1"/>
  <c r="C485" i="1"/>
  <c r="D485" i="1"/>
  <c r="E485" i="1"/>
  <c r="F485" i="1"/>
  <c r="C43" i="1"/>
  <c r="D43" i="1"/>
  <c r="E43" i="1"/>
  <c r="F43" i="1"/>
  <c r="C44" i="1"/>
  <c r="D44" i="1"/>
  <c r="E44" i="1"/>
  <c r="F44" i="1"/>
  <c r="C45" i="1"/>
  <c r="D45" i="1"/>
  <c r="E45" i="1"/>
  <c r="F45" i="1"/>
  <c r="C988" i="1"/>
  <c r="D988" i="1"/>
  <c r="E988" i="1"/>
  <c r="F988" i="1"/>
  <c r="C486" i="1"/>
  <c r="D486" i="1"/>
  <c r="E486" i="1"/>
  <c r="F486" i="1"/>
  <c r="C46" i="1"/>
  <c r="D46" i="1"/>
  <c r="E46" i="1"/>
  <c r="F46" i="1"/>
  <c r="C791" i="1"/>
  <c r="D791" i="1"/>
  <c r="E791" i="1"/>
  <c r="F791" i="1"/>
  <c r="C1027" i="1"/>
  <c r="D1027" i="1"/>
  <c r="E1027" i="1"/>
  <c r="F1027" i="1"/>
  <c r="C487" i="1"/>
  <c r="D487" i="1"/>
  <c r="E487" i="1"/>
  <c r="F487" i="1"/>
  <c r="C488" i="1"/>
  <c r="D488" i="1"/>
  <c r="E488" i="1"/>
  <c r="F488" i="1"/>
  <c r="C489" i="1"/>
  <c r="D489" i="1"/>
  <c r="E489" i="1"/>
  <c r="F489" i="1"/>
  <c r="C47" i="1"/>
  <c r="D47" i="1"/>
  <c r="E47" i="1"/>
  <c r="F47" i="1"/>
  <c r="C48" i="1"/>
  <c r="D48" i="1"/>
  <c r="E48" i="1"/>
  <c r="F48" i="1"/>
  <c r="C490" i="1"/>
  <c r="D490" i="1"/>
  <c r="E490" i="1"/>
  <c r="F490" i="1"/>
  <c r="C49" i="1"/>
  <c r="D49" i="1"/>
  <c r="E49" i="1"/>
  <c r="F49" i="1"/>
  <c r="C50" i="1"/>
  <c r="D50" i="1"/>
  <c r="E50" i="1"/>
  <c r="F50" i="1"/>
  <c r="C491" i="1"/>
  <c r="D491" i="1"/>
  <c r="E491" i="1"/>
  <c r="F491" i="1"/>
  <c r="C51" i="1"/>
  <c r="D51" i="1"/>
  <c r="E51" i="1"/>
  <c r="F51" i="1"/>
  <c r="C492" i="1"/>
  <c r="D492" i="1"/>
  <c r="E492" i="1"/>
  <c r="F492" i="1"/>
  <c r="C837" i="1"/>
  <c r="D837" i="1"/>
  <c r="E837" i="1"/>
  <c r="F837" i="1"/>
  <c r="C493" i="1"/>
  <c r="D493" i="1"/>
  <c r="E493" i="1"/>
  <c r="F493" i="1"/>
  <c r="C1059" i="1"/>
  <c r="D1059" i="1"/>
  <c r="E1059" i="1"/>
  <c r="F1059" i="1"/>
  <c r="C494" i="1"/>
  <c r="D494" i="1"/>
  <c r="E494" i="1"/>
  <c r="F494" i="1"/>
  <c r="C52" i="1"/>
  <c r="D52" i="1"/>
  <c r="E52" i="1"/>
  <c r="F52" i="1"/>
  <c r="C53" i="1"/>
  <c r="D53" i="1"/>
  <c r="E53" i="1"/>
  <c r="F53" i="1"/>
  <c r="C818" i="1"/>
  <c r="D818" i="1"/>
  <c r="E818" i="1"/>
  <c r="F818" i="1"/>
  <c r="C1081" i="1"/>
  <c r="D1081" i="1"/>
  <c r="E1081" i="1"/>
  <c r="F1081" i="1"/>
  <c r="C495" i="1"/>
  <c r="D495" i="1"/>
  <c r="E495" i="1"/>
  <c r="F495" i="1"/>
  <c r="C496" i="1"/>
  <c r="D496" i="1"/>
  <c r="E496" i="1"/>
  <c r="F496" i="1"/>
  <c r="C54" i="1"/>
  <c r="D54" i="1"/>
  <c r="E54" i="1"/>
  <c r="F54" i="1"/>
  <c r="C497" i="1"/>
  <c r="D497" i="1"/>
  <c r="E497" i="1"/>
  <c r="F497" i="1"/>
  <c r="C55" i="1"/>
  <c r="D55" i="1"/>
  <c r="E55" i="1"/>
  <c r="F55" i="1"/>
  <c r="C56" i="1"/>
  <c r="D56" i="1"/>
  <c r="E56" i="1"/>
  <c r="F56" i="1"/>
  <c r="C57" i="1"/>
  <c r="D57" i="1"/>
  <c r="E57" i="1"/>
  <c r="F57" i="1"/>
  <c r="C463" i="1"/>
  <c r="D463" i="1"/>
  <c r="E463" i="1"/>
  <c r="F463" i="1"/>
  <c r="C58" i="1"/>
  <c r="D58" i="1"/>
  <c r="E58" i="1"/>
  <c r="F58" i="1"/>
  <c r="C498" i="1"/>
  <c r="D498" i="1"/>
  <c r="E498" i="1"/>
  <c r="F498" i="1"/>
  <c r="C499" i="1"/>
  <c r="D499" i="1"/>
  <c r="E499" i="1"/>
  <c r="F499" i="1"/>
  <c r="C945" i="1"/>
  <c r="D945" i="1"/>
  <c r="E945" i="1"/>
  <c r="F945" i="1"/>
  <c r="C59" i="1"/>
  <c r="D59" i="1"/>
  <c r="E59" i="1"/>
  <c r="F59" i="1"/>
  <c r="C60" i="1"/>
  <c r="D60" i="1"/>
  <c r="E60" i="1"/>
  <c r="F60" i="1"/>
  <c r="C500" i="1"/>
  <c r="D500" i="1"/>
  <c r="E500" i="1"/>
  <c r="F500" i="1"/>
  <c r="C61" i="1"/>
  <c r="D61" i="1"/>
  <c r="E61" i="1"/>
  <c r="F61" i="1"/>
  <c r="C501" i="1"/>
  <c r="D501" i="1"/>
  <c r="E501" i="1"/>
  <c r="F501" i="1"/>
  <c r="C62" i="1"/>
  <c r="D62" i="1"/>
  <c r="E62" i="1"/>
  <c r="F62" i="1"/>
  <c r="C468" i="1"/>
  <c r="D468" i="1"/>
  <c r="E468" i="1"/>
  <c r="F468" i="1"/>
  <c r="C63" i="1"/>
  <c r="D63" i="1"/>
  <c r="E63" i="1"/>
  <c r="F63" i="1"/>
  <c r="C64" i="1"/>
  <c r="D64" i="1"/>
  <c r="E64" i="1"/>
  <c r="F64" i="1"/>
  <c r="C502" i="1"/>
  <c r="D502" i="1"/>
  <c r="E502" i="1"/>
  <c r="F502" i="1"/>
  <c r="C996" i="1"/>
  <c r="D996" i="1"/>
  <c r="E996" i="1"/>
  <c r="F996" i="1"/>
  <c r="C843" i="1"/>
  <c r="D843" i="1"/>
  <c r="E843" i="1"/>
  <c r="F843" i="1"/>
  <c r="C1028" i="1"/>
  <c r="D1028" i="1"/>
  <c r="E1028" i="1"/>
  <c r="F1028" i="1"/>
  <c r="C914" i="1"/>
  <c r="D914" i="1"/>
  <c r="E914" i="1"/>
  <c r="F914" i="1"/>
  <c r="C65" i="1"/>
  <c r="D65" i="1"/>
  <c r="E65" i="1"/>
  <c r="F65" i="1"/>
  <c r="C66" i="1"/>
  <c r="D66" i="1"/>
  <c r="E66" i="1"/>
  <c r="F66" i="1"/>
  <c r="C67" i="1"/>
  <c r="D67" i="1"/>
  <c r="E67" i="1"/>
  <c r="F67" i="1"/>
  <c r="C1066" i="1"/>
  <c r="D1066" i="1"/>
  <c r="E1066" i="1"/>
  <c r="F1066" i="1"/>
  <c r="C68" i="1"/>
  <c r="D68" i="1"/>
  <c r="E68" i="1"/>
  <c r="F68" i="1"/>
  <c r="C69" i="1"/>
  <c r="D69" i="1"/>
  <c r="E69" i="1"/>
  <c r="F69" i="1"/>
  <c r="C503" i="1"/>
  <c r="D503" i="1"/>
  <c r="E503" i="1"/>
  <c r="F503" i="1"/>
  <c r="C70" i="1"/>
  <c r="D70" i="1"/>
  <c r="E70" i="1"/>
  <c r="F70" i="1"/>
  <c r="C953" i="1"/>
  <c r="D953" i="1"/>
  <c r="E953" i="1"/>
  <c r="F953" i="1"/>
  <c r="C504" i="1"/>
  <c r="D504" i="1"/>
  <c r="E504" i="1"/>
  <c r="F504" i="1"/>
  <c r="C71" i="1"/>
  <c r="D71" i="1"/>
  <c r="E71" i="1"/>
  <c r="F71" i="1"/>
  <c r="C72" i="1"/>
  <c r="D72" i="1"/>
  <c r="E72" i="1"/>
  <c r="F72" i="1"/>
  <c r="C505" i="1"/>
  <c r="D505" i="1"/>
  <c r="E505" i="1"/>
  <c r="F505" i="1"/>
  <c r="C506" i="1"/>
  <c r="D506" i="1"/>
  <c r="E506" i="1"/>
  <c r="F506" i="1"/>
  <c r="C507" i="1"/>
  <c r="D507" i="1"/>
  <c r="E507" i="1"/>
  <c r="F507" i="1"/>
  <c r="C73" i="1"/>
  <c r="D73" i="1"/>
  <c r="E73" i="1"/>
  <c r="F73" i="1"/>
  <c r="C508" i="1"/>
  <c r="D508" i="1"/>
  <c r="E508" i="1"/>
  <c r="F508" i="1"/>
  <c r="C1053" i="1"/>
  <c r="D1053" i="1"/>
  <c r="E1053" i="1"/>
  <c r="F1053" i="1"/>
  <c r="C509" i="1"/>
  <c r="D509" i="1"/>
  <c r="E509" i="1"/>
  <c r="F509" i="1"/>
  <c r="C949" i="1"/>
  <c r="D949" i="1"/>
  <c r="E949" i="1"/>
  <c r="F949" i="1"/>
  <c r="C74" i="1"/>
  <c r="D74" i="1"/>
  <c r="E74" i="1"/>
  <c r="F74" i="1"/>
  <c r="C761" i="1"/>
  <c r="D761" i="1"/>
  <c r="E761" i="1"/>
  <c r="F761" i="1"/>
  <c r="C1075" i="1"/>
  <c r="D1075" i="1"/>
  <c r="E1075" i="1"/>
  <c r="F1075" i="1"/>
  <c r="C778" i="1"/>
  <c r="D778" i="1"/>
  <c r="E778" i="1"/>
  <c r="F778" i="1"/>
  <c r="C510" i="1"/>
  <c r="D510" i="1"/>
  <c r="E510" i="1"/>
  <c r="F510" i="1"/>
  <c r="C75" i="1"/>
  <c r="D75" i="1"/>
  <c r="E75" i="1"/>
  <c r="F75" i="1"/>
  <c r="C76" i="1"/>
  <c r="D76" i="1"/>
  <c r="E76" i="1"/>
  <c r="F76" i="1"/>
  <c r="C77" i="1"/>
  <c r="D77" i="1"/>
  <c r="E77" i="1"/>
  <c r="F77" i="1"/>
  <c r="C936" i="1"/>
  <c r="D936" i="1"/>
  <c r="E936" i="1"/>
  <c r="F936" i="1"/>
  <c r="C467" i="1"/>
  <c r="D467" i="1"/>
  <c r="E467" i="1"/>
  <c r="F467" i="1"/>
  <c r="C78" i="1"/>
  <c r="D78" i="1"/>
  <c r="E78" i="1"/>
  <c r="F78" i="1"/>
  <c r="C861" i="1"/>
  <c r="D861" i="1"/>
  <c r="E861" i="1"/>
  <c r="F861" i="1"/>
  <c r="C79" i="1"/>
  <c r="D79" i="1"/>
  <c r="E79" i="1"/>
  <c r="F79" i="1"/>
  <c r="C511" i="1"/>
  <c r="D511" i="1"/>
  <c r="E511" i="1"/>
  <c r="F511" i="1"/>
  <c r="C774" i="1"/>
  <c r="D774" i="1"/>
  <c r="E774" i="1"/>
  <c r="F774" i="1"/>
  <c r="C512" i="1"/>
  <c r="D512" i="1"/>
  <c r="E512" i="1"/>
  <c r="F512" i="1"/>
  <c r="C890" i="1"/>
  <c r="D890" i="1"/>
  <c r="E890" i="1"/>
  <c r="F890" i="1"/>
  <c r="C80" i="1"/>
  <c r="D80" i="1"/>
  <c r="E80" i="1"/>
  <c r="F80" i="1"/>
  <c r="C513" i="1"/>
  <c r="D513" i="1"/>
  <c r="E513" i="1"/>
  <c r="F513" i="1"/>
  <c r="C81" i="1"/>
  <c r="D81" i="1"/>
  <c r="E81" i="1"/>
  <c r="F81" i="1"/>
  <c r="C82" i="1"/>
  <c r="D82" i="1"/>
  <c r="E82" i="1"/>
  <c r="F82" i="1"/>
  <c r="C853" i="1"/>
  <c r="D853" i="1"/>
  <c r="E853" i="1"/>
  <c r="F853" i="1"/>
  <c r="C514" i="1"/>
  <c r="D514" i="1"/>
  <c r="E514" i="1"/>
  <c r="F514" i="1"/>
  <c r="C515" i="1"/>
  <c r="D515" i="1"/>
  <c r="E515" i="1"/>
  <c r="F515" i="1"/>
  <c r="C83" i="1"/>
  <c r="D83" i="1"/>
  <c r="E83" i="1"/>
  <c r="F83" i="1"/>
  <c r="C516" i="1"/>
  <c r="D516" i="1"/>
  <c r="E516" i="1"/>
  <c r="F516" i="1"/>
  <c r="C517" i="1"/>
  <c r="D517" i="1"/>
  <c r="E517" i="1"/>
  <c r="F517" i="1"/>
  <c r="C518" i="1"/>
  <c r="D518" i="1"/>
  <c r="E518" i="1"/>
  <c r="F518" i="1"/>
  <c r="C840" i="1"/>
  <c r="D840" i="1"/>
  <c r="E840" i="1"/>
  <c r="F840" i="1"/>
  <c r="C519" i="1"/>
  <c r="D519" i="1"/>
  <c r="E519" i="1"/>
  <c r="F519" i="1"/>
  <c r="C520" i="1"/>
  <c r="D520" i="1"/>
  <c r="E520" i="1"/>
  <c r="F520" i="1"/>
  <c r="C1019" i="1"/>
  <c r="D1019" i="1"/>
  <c r="E1019" i="1"/>
  <c r="F1019" i="1"/>
  <c r="C521" i="1"/>
  <c r="D521" i="1"/>
  <c r="E521" i="1"/>
  <c r="F521" i="1"/>
  <c r="C966" i="1"/>
  <c r="D966" i="1"/>
  <c r="E966" i="1"/>
  <c r="F966" i="1"/>
  <c r="C851" i="1"/>
  <c r="D851" i="1"/>
  <c r="E851" i="1"/>
  <c r="F851" i="1"/>
  <c r="C809" i="1"/>
  <c r="D809" i="1"/>
  <c r="E809" i="1"/>
  <c r="F809" i="1"/>
  <c r="C522" i="1"/>
  <c r="D522" i="1"/>
  <c r="E522" i="1"/>
  <c r="F522" i="1"/>
  <c r="C870" i="1"/>
  <c r="D870" i="1"/>
  <c r="E870" i="1"/>
  <c r="F870" i="1"/>
  <c r="C84" i="1"/>
  <c r="D84" i="1"/>
  <c r="E84" i="1"/>
  <c r="F84" i="1"/>
  <c r="C523" i="1"/>
  <c r="D523" i="1"/>
  <c r="E523" i="1"/>
  <c r="F523" i="1"/>
  <c r="C524" i="1"/>
  <c r="D524" i="1"/>
  <c r="E524" i="1"/>
  <c r="F524" i="1"/>
  <c r="C85" i="1"/>
  <c r="D85" i="1"/>
  <c r="E85" i="1"/>
  <c r="F85" i="1"/>
  <c r="C525" i="1"/>
  <c r="D525" i="1"/>
  <c r="E525" i="1"/>
  <c r="F525" i="1"/>
  <c r="C86" i="1"/>
  <c r="D86" i="1"/>
  <c r="E86" i="1"/>
  <c r="F86" i="1"/>
  <c r="C526" i="1"/>
  <c r="D526" i="1"/>
  <c r="E526" i="1"/>
  <c r="F526" i="1"/>
  <c r="C527" i="1"/>
  <c r="D527" i="1"/>
  <c r="E527" i="1"/>
  <c r="F527" i="1"/>
  <c r="C923" i="1"/>
  <c r="D923" i="1"/>
  <c r="E923" i="1"/>
  <c r="F923" i="1"/>
  <c r="C87" i="1"/>
  <c r="D87" i="1"/>
  <c r="E87" i="1"/>
  <c r="F87" i="1"/>
  <c r="C528" i="1"/>
  <c r="D528" i="1"/>
  <c r="E528" i="1"/>
  <c r="F528" i="1"/>
  <c r="C88" i="1"/>
  <c r="D88" i="1"/>
  <c r="E88" i="1"/>
  <c r="F88" i="1"/>
  <c r="C89" i="1"/>
  <c r="D89" i="1"/>
  <c r="E89" i="1"/>
  <c r="F89" i="1"/>
  <c r="C90" i="1"/>
  <c r="D90" i="1"/>
  <c r="E90" i="1"/>
  <c r="F90" i="1"/>
  <c r="C803" i="1"/>
  <c r="D803" i="1"/>
  <c r="E803" i="1"/>
  <c r="F803" i="1"/>
  <c r="C785" i="1"/>
  <c r="D785" i="1"/>
  <c r="E785" i="1"/>
  <c r="F785" i="1"/>
  <c r="C871" i="1"/>
  <c r="D871" i="1"/>
  <c r="E871" i="1"/>
  <c r="F871" i="1"/>
  <c r="C91" i="1"/>
  <c r="D91" i="1"/>
  <c r="E91" i="1"/>
  <c r="F91" i="1"/>
  <c r="C902" i="1"/>
  <c r="D902" i="1"/>
  <c r="E902" i="1"/>
  <c r="F902" i="1"/>
  <c r="C916" i="1"/>
  <c r="D916" i="1"/>
  <c r="E916" i="1"/>
  <c r="F916" i="1"/>
  <c r="C465" i="1"/>
  <c r="D465" i="1"/>
  <c r="E465" i="1"/>
  <c r="F465" i="1"/>
  <c r="C92" i="1"/>
  <c r="D92" i="1"/>
  <c r="E92" i="1"/>
  <c r="F92" i="1"/>
  <c r="C529" i="1"/>
  <c r="D529" i="1"/>
  <c r="E529" i="1"/>
  <c r="F529" i="1"/>
  <c r="C93" i="1"/>
  <c r="D93" i="1"/>
  <c r="E93" i="1"/>
  <c r="F93" i="1"/>
  <c r="C94" i="1"/>
  <c r="D94" i="1"/>
  <c r="E94" i="1"/>
  <c r="F94" i="1"/>
  <c r="C530" i="1"/>
  <c r="D530" i="1"/>
  <c r="E530" i="1"/>
  <c r="F530" i="1"/>
  <c r="C531" i="1"/>
  <c r="D531" i="1"/>
  <c r="E531" i="1"/>
  <c r="F531" i="1"/>
  <c r="C95" i="1"/>
  <c r="D95" i="1"/>
  <c r="E95" i="1"/>
  <c r="F95" i="1"/>
  <c r="C96" i="1"/>
  <c r="D96" i="1"/>
  <c r="E96" i="1"/>
  <c r="F96" i="1"/>
  <c r="C97" i="1"/>
  <c r="D97" i="1"/>
  <c r="E97" i="1"/>
  <c r="F97" i="1"/>
  <c r="C98" i="1"/>
  <c r="D98" i="1"/>
  <c r="E98" i="1"/>
  <c r="F98" i="1"/>
  <c r="C99" i="1"/>
  <c r="D99" i="1"/>
  <c r="E99" i="1"/>
  <c r="F99" i="1"/>
  <c r="C1071" i="1"/>
  <c r="D1071" i="1"/>
  <c r="E1071" i="1"/>
  <c r="F1071" i="1"/>
  <c r="C100" i="1"/>
  <c r="D100" i="1"/>
  <c r="E100" i="1"/>
  <c r="F100" i="1"/>
  <c r="C101" i="1"/>
  <c r="D101" i="1"/>
  <c r="E101" i="1"/>
  <c r="F101" i="1"/>
  <c r="C1029" i="1"/>
  <c r="D1029" i="1"/>
  <c r="E1029" i="1"/>
  <c r="F1029" i="1"/>
  <c r="C1021" i="1"/>
  <c r="D1021" i="1"/>
  <c r="E1021" i="1"/>
  <c r="F1021" i="1"/>
  <c r="C1048" i="1"/>
  <c r="D1048" i="1"/>
  <c r="E1048" i="1"/>
  <c r="F1048" i="1"/>
  <c r="C102" i="1"/>
  <c r="D102" i="1"/>
  <c r="E102" i="1"/>
  <c r="F102" i="1"/>
  <c r="C103" i="1"/>
  <c r="D103" i="1"/>
  <c r="E103" i="1"/>
  <c r="F103" i="1"/>
  <c r="C532" i="1"/>
  <c r="D532" i="1"/>
  <c r="E532" i="1"/>
  <c r="F532" i="1"/>
  <c r="C104" i="1"/>
  <c r="D104" i="1"/>
  <c r="E104" i="1"/>
  <c r="F104" i="1"/>
  <c r="C105" i="1"/>
  <c r="D105" i="1"/>
  <c r="E105" i="1"/>
  <c r="F105" i="1"/>
  <c r="C952" i="1"/>
  <c r="D952" i="1"/>
  <c r="E952" i="1"/>
  <c r="F952" i="1"/>
  <c r="C1000" i="1"/>
  <c r="D1000" i="1"/>
  <c r="E1000" i="1"/>
  <c r="F1000" i="1"/>
  <c r="C533" i="1"/>
  <c r="D533" i="1"/>
  <c r="E533" i="1"/>
  <c r="F533" i="1"/>
  <c r="C534" i="1"/>
  <c r="D534" i="1"/>
  <c r="E534" i="1"/>
  <c r="F534" i="1"/>
  <c r="C106" i="1"/>
  <c r="D106" i="1"/>
  <c r="E106" i="1"/>
  <c r="F106" i="1"/>
  <c r="C107" i="1"/>
  <c r="D107" i="1"/>
  <c r="E107" i="1"/>
  <c r="F107" i="1"/>
  <c r="C108" i="1"/>
  <c r="D108" i="1"/>
  <c r="E108" i="1"/>
  <c r="F108" i="1"/>
  <c r="C972" i="1"/>
  <c r="D972" i="1"/>
  <c r="E972" i="1"/>
  <c r="F972" i="1"/>
  <c r="C926" i="1"/>
  <c r="D926" i="1"/>
  <c r="E926" i="1"/>
  <c r="F926" i="1"/>
  <c r="C109" i="1"/>
  <c r="D109" i="1"/>
  <c r="E109" i="1"/>
  <c r="F109" i="1"/>
  <c r="C535" i="1"/>
  <c r="D535" i="1"/>
  <c r="E535" i="1"/>
  <c r="F535" i="1"/>
  <c r="C466" i="1"/>
  <c r="D466" i="1"/>
  <c r="E466" i="1"/>
  <c r="F466" i="1"/>
  <c r="C536" i="1"/>
  <c r="D536" i="1"/>
  <c r="E536" i="1"/>
  <c r="F536" i="1"/>
  <c r="C827" i="1"/>
  <c r="D827" i="1"/>
  <c r="E827" i="1"/>
  <c r="F827" i="1"/>
  <c r="C537" i="1"/>
  <c r="D537" i="1"/>
  <c r="E537" i="1"/>
  <c r="F537" i="1"/>
  <c r="C538" i="1"/>
  <c r="D538" i="1"/>
  <c r="E538" i="1"/>
  <c r="F538" i="1"/>
  <c r="C872" i="1"/>
  <c r="D872" i="1"/>
  <c r="E872" i="1"/>
  <c r="F872" i="1"/>
  <c r="C942" i="1"/>
  <c r="D942" i="1"/>
  <c r="E942" i="1"/>
  <c r="F942" i="1"/>
  <c r="C838" i="1"/>
  <c r="D838" i="1"/>
  <c r="E838" i="1"/>
  <c r="F838" i="1"/>
  <c r="C110" i="1"/>
  <c r="D110" i="1"/>
  <c r="E110" i="1"/>
  <c r="F110" i="1"/>
  <c r="C111" i="1"/>
  <c r="D111" i="1"/>
  <c r="E111" i="1"/>
  <c r="F111" i="1"/>
  <c r="C1072" i="1"/>
  <c r="D1072" i="1"/>
  <c r="E1072" i="1"/>
  <c r="F1072" i="1"/>
  <c r="C539" i="1"/>
  <c r="D539" i="1"/>
  <c r="E539" i="1"/>
  <c r="F539" i="1"/>
  <c r="C112" i="1"/>
  <c r="D112" i="1"/>
  <c r="E112" i="1"/>
  <c r="F112" i="1"/>
  <c r="C113" i="1"/>
  <c r="D113" i="1"/>
  <c r="E113" i="1"/>
  <c r="F113" i="1"/>
  <c r="C540" i="1"/>
  <c r="D540" i="1"/>
  <c r="E540" i="1"/>
  <c r="F540" i="1"/>
  <c r="C114" i="1"/>
  <c r="D114" i="1"/>
  <c r="E114" i="1"/>
  <c r="F114" i="1"/>
  <c r="C115" i="1"/>
  <c r="D115" i="1"/>
  <c r="E115" i="1"/>
  <c r="F115" i="1"/>
  <c r="C541" i="1"/>
  <c r="D541" i="1"/>
  <c r="E541" i="1"/>
  <c r="F541" i="1"/>
  <c r="C542" i="1"/>
  <c r="D542" i="1"/>
  <c r="E542" i="1"/>
  <c r="F542" i="1"/>
  <c r="C1040" i="1"/>
  <c r="D1040" i="1"/>
  <c r="E1040" i="1"/>
  <c r="F1040" i="1"/>
  <c r="C779" i="1"/>
  <c r="D779" i="1"/>
  <c r="E779" i="1"/>
  <c r="F779" i="1"/>
  <c r="C116" i="1"/>
  <c r="D116" i="1"/>
  <c r="E116" i="1"/>
  <c r="F116" i="1"/>
  <c r="C1016" i="1"/>
  <c r="D1016" i="1"/>
  <c r="E1016" i="1"/>
  <c r="F1016" i="1"/>
  <c r="C117" i="1"/>
  <c r="D117" i="1"/>
  <c r="E117" i="1"/>
  <c r="F117" i="1"/>
  <c r="C543" i="1"/>
  <c r="D543" i="1"/>
  <c r="E543" i="1"/>
  <c r="F543" i="1"/>
  <c r="C544" i="1"/>
  <c r="D544" i="1"/>
  <c r="E544" i="1"/>
  <c r="F544" i="1"/>
  <c r="C118" i="1"/>
  <c r="D118" i="1"/>
  <c r="E118" i="1"/>
  <c r="F118" i="1"/>
  <c r="C119" i="1"/>
  <c r="D119" i="1"/>
  <c r="E119" i="1"/>
  <c r="F119" i="1"/>
  <c r="C120" i="1"/>
  <c r="D120" i="1"/>
  <c r="E120" i="1"/>
  <c r="F120" i="1"/>
  <c r="C121" i="1"/>
  <c r="D121" i="1"/>
  <c r="E121" i="1"/>
  <c r="F121" i="1"/>
  <c r="C963" i="1"/>
  <c r="D963" i="1"/>
  <c r="E963" i="1"/>
  <c r="F963" i="1"/>
  <c r="C122" i="1"/>
  <c r="D122" i="1"/>
  <c r="E122" i="1"/>
  <c r="F122" i="1"/>
  <c r="C123" i="1"/>
  <c r="D123" i="1"/>
  <c r="E123" i="1"/>
  <c r="F123" i="1"/>
  <c r="C1054" i="1"/>
  <c r="D1054" i="1"/>
  <c r="E1054" i="1"/>
  <c r="F1054" i="1"/>
  <c r="C545" i="1"/>
  <c r="D545" i="1"/>
  <c r="E545" i="1"/>
  <c r="F545" i="1"/>
  <c r="C124" i="1"/>
  <c r="D124" i="1"/>
  <c r="E124" i="1"/>
  <c r="F124" i="1"/>
  <c r="C857" i="1"/>
  <c r="D857" i="1"/>
  <c r="E857" i="1"/>
  <c r="F857" i="1"/>
  <c r="C908" i="1"/>
  <c r="D908" i="1"/>
  <c r="E908" i="1"/>
  <c r="F908" i="1"/>
  <c r="C899" i="1"/>
  <c r="D899" i="1"/>
  <c r="E899" i="1"/>
  <c r="F899" i="1"/>
  <c r="C125" i="1"/>
  <c r="D125" i="1"/>
  <c r="E125" i="1"/>
  <c r="F125" i="1"/>
  <c r="C546" i="1"/>
  <c r="D546" i="1"/>
  <c r="E546" i="1"/>
  <c r="F546" i="1"/>
  <c r="C547" i="1"/>
  <c r="D547" i="1"/>
  <c r="E547" i="1"/>
  <c r="F547" i="1"/>
  <c r="C1088" i="1"/>
  <c r="D1088" i="1"/>
  <c r="E1088" i="1"/>
  <c r="F1088" i="1"/>
  <c r="C548" i="1"/>
  <c r="D548" i="1"/>
  <c r="E548" i="1"/>
  <c r="F548" i="1"/>
  <c r="C126" i="1"/>
  <c r="D126" i="1"/>
  <c r="E126" i="1"/>
  <c r="F126" i="1"/>
  <c r="C940" i="1"/>
  <c r="D940" i="1"/>
  <c r="E940" i="1"/>
  <c r="F940" i="1"/>
  <c r="C762" i="1"/>
  <c r="D762" i="1"/>
  <c r="E762" i="1"/>
  <c r="F762" i="1"/>
  <c r="C549" i="1"/>
  <c r="D549" i="1"/>
  <c r="E549" i="1"/>
  <c r="F549" i="1"/>
  <c r="C127" i="1"/>
  <c r="D127" i="1"/>
  <c r="E127" i="1"/>
  <c r="F127" i="1"/>
  <c r="C128" i="1"/>
  <c r="D128" i="1"/>
  <c r="E128" i="1"/>
  <c r="F128" i="1"/>
  <c r="C550" i="1"/>
  <c r="D550" i="1"/>
  <c r="E550" i="1"/>
  <c r="F550" i="1"/>
  <c r="C834" i="1"/>
  <c r="D834" i="1"/>
  <c r="E834" i="1"/>
  <c r="F834" i="1"/>
  <c r="C1038" i="1"/>
  <c r="D1038" i="1"/>
  <c r="E1038" i="1"/>
  <c r="F1038" i="1"/>
  <c r="C129" i="1"/>
  <c r="D129" i="1"/>
  <c r="E129" i="1"/>
  <c r="F129" i="1"/>
  <c r="C130" i="1"/>
  <c r="D130" i="1"/>
  <c r="E130" i="1"/>
  <c r="F130" i="1"/>
  <c r="C14" i="1"/>
  <c r="D14" i="1"/>
  <c r="E14" i="1"/>
  <c r="F14" i="1"/>
  <c r="C551" i="1"/>
  <c r="D551" i="1"/>
  <c r="E551" i="1"/>
  <c r="F551" i="1"/>
  <c r="C131" i="1"/>
  <c r="D131" i="1"/>
  <c r="E131" i="1"/>
  <c r="F131" i="1"/>
  <c r="C552" i="1"/>
  <c r="D552" i="1"/>
  <c r="E552" i="1"/>
  <c r="F552" i="1"/>
  <c r="C553" i="1"/>
  <c r="D553" i="1"/>
  <c r="E553" i="1"/>
  <c r="F553" i="1"/>
  <c r="C554" i="1"/>
  <c r="D554" i="1"/>
  <c r="E554" i="1"/>
  <c r="F554" i="1"/>
  <c r="C132" i="1"/>
  <c r="D132" i="1"/>
  <c r="E132" i="1"/>
  <c r="F132" i="1"/>
  <c r="C1001" i="1"/>
  <c r="D1001" i="1"/>
  <c r="E1001" i="1"/>
  <c r="F1001" i="1"/>
  <c r="C823" i="1"/>
  <c r="D823" i="1"/>
  <c r="E823" i="1"/>
  <c r="F823" i="1"/>
  <c r="C888" i="1"/>
  <c r="D888" i="1"/>
  <c r="E888" i="1"/>
  <c r="F888" i="1"/>
  <c r="C133" i="1"/>
  <c r="D133" i="1"/>
  <c r="E133" i="1"/>
  <c r="F133" i="1"/>
  <c r="C555" i="1"/>
  <c r="D555" i="1"/>
  <c r="E555" i="1"/>
  <c r="F555" i="1"/>
  <c r="C134" i="1"/>
  <c r="D134" i="1"/>
  <c r="E134" i="1"/>
  <c r="F134" i="1"/>
  <c r="C556" i="1"/>
  <c r="D556" i="1"/>
  <c r="E556" i="1"/>
  <c r="F556" i="1"/>
  <c r="C557" i="1"/>
  <c r="D557" i="1"/>
  <c r="E557" i="1"/>
  <c r="F557" i="1"/>
  <c r="C925" i="1"/>
  <c r="D925" i="1"/>
  <c r="E925" i="1"/>
  <c r="F925" i="1"/>
  <c r="C461" i="1"/>
  <c r="D461" i="1"/>
  <c r="E461" i="1"/>
  <c r="F461" i="1"/>
  <c r="C772" i="1"/>
  <c r="D772" i="1"/>
  <c r="E772" i="1"/>
  <c r="F772" i="1"/>
  <c r="C817" i="1"/>
  <c r="D817" i="1"/>
  <c r="E817" i="1"/>
  <c r="F817" i="1"/>
  <c r="C135" i="1"/>
  <c r="D135" i="1"/>
  <c r="E135" i="1"/>
  <c r="F135" i="1"/>
  <c r="C788" i="1"/>
  <c r="D788" i="1"/>
  <c r="E788" i="1"/>
  <c r="F788" i="1"/>
  <c r="C558" i="1"/>
  <c r="D558" i="1"/>
  <c r="E558" i="1"/>
  <c r="F558" i="1"/>
  <c r="C559" i="1"/>
  <c r="D559" i="1"/>
  <c r="E559" i="1"/>
  <c r="F559" i="1"/>
  <c r="C136" i="1"/>
  <c r="D136" i="1"/>
  <c r="E136" i="1"/>
  <c r="F136" i="1"/>
  <c r="C560" i="1"/>
  <c r="D560" i="1"/>
  <c r="E560" i="1"/>
  <c r="F560" i="1"/>
  <c r="C137" i="1"/>
  <c r="D137" i="1"/>
  <c r="E137" i="1"/>
  <c r="F137" i="1"/>
  <c r="C846" i="1"/>
  <c r="D846" i="1"/>
  <c r="E846" i="1"/>
  <c r="F846" i="1"/>
  <c r="C770" i="1"/>
  <c r="D770" i="1"/>
  <c r="E770" i="1"/>
  <c r="F770" i="1"/>
  <c r="C138" i="1"/>
  <c r="D138" i="1"/>
  <c r="E138" i="1"/>
  <c r="F138" i="1"/>
  <c r="C561" i="1"/>
  <c r="D561" i="1"/>
  <c r="E561" i="1"/>
  <c r="F561" i="1"/>
  <c r="C562" i="1"/>
  <c r="D562" i="1"/>
  <c r="E562" i="1"/>
  <c r="F562" i="1"/>
  <c r="C139" i="1"/>
  <c r="D139" i="1"/>
  <c r="E139" i="1"/>
  <c r="F139" i="1"/>
  <c r="C140" i="1"/>
  <c r="D140" i="1"/>
  <c r="E140" i="1"/>
  <c r="F140" i="1"/>
  <c r="C141" i="1"/>
  <c r="D141" i="1"/>
  <c r="E141" i="1"/>
  <c r="F141" i="1"/>
  <c r="C887" i="1"/>
  <c r="D887" i="1"/>
  <c r="E887" i="1"/>
  <c r="F887" i="1"/>
  <c r="C563" i="1"/>
  <c r="D563" i="1"/>
  <c r="E563" i="1"/>
  <c r="F563" i="1"/>
  <c r="C564" i="1"/>
  <c r="D564" i="1"/>
  <c r="E564" i="1"/>
  <c r="F564" i="1"/>
  <c r="C565" i="1"/>
  <c r="D565" i="1"/>
  <c r="E565" i="1"/>
  <c r="F565" i="1"/>
  <c r="C993" i="1"/>
  <c r="D993" i="1"/>
  <c r="E993" i="1"/>
  <c r="F993" i="1"/>
  <c r="C885" i="1"/>
  <c r="D885" i="1"/>
  <c r="E885" i="1"/>
  <c r="F885" i="1"/>
  <c r="C142" i="1"/>
  <c r="D142" i="1"/>
  <c r="E142" i="1"/>
  <c r="F142" i="1"/>
  <c r="C143" i="1"/>
  <c r="D143" i="1"/>
  <c r="E143" i="1"/>
  <c r="F143" i="1"/>
  <c r="C566" i="1"/>
  <c r="D566" i="1"/>
  <c r="E566" i="1"/>
  <c r="F566" i="1"/>
  <c r="C917" i="1"/>
  <c r="D917" i="1"/>
  <c r="E917" i="1"/>
  <c r="F917" i="1"/>
  <c r="C144" i="1"/>
  <c r="D144" i="1"/>
  <c r="E144" i="1"/>
  <c r="F144" i="1"/>
  <c r="C830" i="1"/>
  <c r="D830" i="1"/>
  <c r="E830" i="1"/>
  <c r="F830" i="1"/>
  <c r="C145" i="1"/>
  <c r="D145" i="1"/>
  <c r="E145" i="1"/>
  <c r="F145" i="1"/>
  <c r="C146" i="1"/>
  <c r="D146" i="1"/>
  <c r="E146" i="1"/>
  <c r="F146" i="1"/>
  <c r="C147" i="1"/>
  <c r="D147" i="1"/>
  <c r="E147" i="1"/>
  <c r="F147" i="1"/>
  <c r="C567" i="1"/>
  <c r="D567" i="1"/>
  <c r="E567" i="1"/>
  <c r="F567" i="1"/>
  <c r="C568" i="1"/>
  <c r="D568" i="1"/>
  <c r="E568" i="1"/>
  <c r="F568" i="1"/>
  <c r="C148" i="1"/>
  <c r="D148" i="1"/>
  <c r="E148" i="1"/>
  <c r="F148" i="1"/>
  <c r="C149" i="1"/>
  <c r="D149" i="1"/>
  <c r="E149" i="1"/>
  <c r="F149" i="1"/>
  <c r="C569" i="1"/>
  <c r="D569" i="1"/>
  <c r="E569" i="1"/>
  <c r="F569" i="1"/>
  <c r="C150" i="1"/>
  <c r="D150" i="1"/>
  <c r="E150" i="1"/>
  <c r="F150" i="1"/>
  <c r="C1045" i="1"/>
  <c r="D1045" i="1"/>
  <c r="E1045" i="1"/>
  <c r="F1045" i="1"/>
  <c r="C836" i="1"/>
  <c r="D836" i="1"/>
  <c r="E836" i="1"/>
  <c r="F836" i="1"/>
  <c r="C151" i="1"/>
  <c r="D151" i="1"/>
  <c r="E151" i="1"/>
  <c r="F151" i="1"/>
  <c r="C152" i="1"/>
  <c r="D152" i="1"/>
  <c r="E152" i="1"/>
  <c r="F152" i="1"/>
  <c r="C153" i="1"/>
  <c r="D153" i="1"/>
  <c r="E153" i="1"/>
  <c r="F153" i="1"/>
  <c r="C1063" i="1"/>
  <c r="D1063" i="1"/>
  <c r="E1063" i="1"/>
  <c r="F1063" i="1"/>
  <c r="C1051" i="1"/>
  <c r="D1051" i="1"/>
  <c r="E1051" i="1"/>
  <c r="F1051" i="1"/>
  <c r="C154" i="1"/>
  <c r="D154" i="1"/>
  <c r="E154" i="1"/>
  <c r="F154" i="1"/>
  <c r="C907" i="1"/>
  <c r="D907" i="1"/>
  <c r="E907" i="1"/>
  <c r="F907" i="1"/>
  <c r="C155" i="1"/>
  <c r="D155" i="1"/>
  <c r="E155" i="1"/>
  <c r="F155" i="1"/>
  <c r="C570" i="1"/>
  <c r="D570" i="1"/>
  <c r="E570" i="1"/>
  <c r="F570" i="1"/>
  <c r="C950" i="1"/>
  <c r="D950" i="1"/>
  <c r="E950" i="1"/>
  <c r="F950" i="1"/>
  <c r="C156" i="1"/>
  <c r="D156" i="1"/>
  <c r="E156" i="1"/>
  <c r="F156" i="1"/>
  <c r="C157" i="1"/>
  <c r="D157" i="1"/>
  <c r="E157" i="1"/>
  <c r="F157" i="1"/>
  <c r="C158" i="1"/>
  <c r="D158" i="1"/>
  <c r="E158" i="1"/>
  <c r="F158" i="1"/>
  <c r="C571" i="1"/>
  <c r="D571" i="1"/>
  <c r="E571" i="1"/>
  <c r="F571" i="1"/>
  <c r="C1035" i="1"/>
  <c r="D1035" i="1"/>
  <c r="E1035" i="1"/>
  <c r="F1035" i="1"/>
  <c r="C572" i="1"/>
  <c r="D572" i="1"/>
  <c r="E572" i="1"/>
  <c r="F572" i="1"/>
  <c r="C819" i="1"/>
  <c r="D819" i="1"/>
  <c r="E819" i="1"/>
  <c r="F819" i="1"/>
  <c r="C159" i="1"/>
  <c r="D159" i="1"/>
  <c r="E159" i="1"/>
  <c r="F159" i="1"/>
  <c r="C160" i="1"/>
  <c r="D160" i="1"/>
  <c r="E160" i="1"/>
  <c r="F160" i="1"/>
  <c r="C161" i="1"/>
  <c r="D161" i="1"/>
  <c r="E161" i="1"/>
  <c r="F161" i="1"/>
  <c r="C162" i="1"/>
  <c r="D162" i="1"/>
  <c r="E162" i="1"/>
  <c r="F162" i="1"/>
  <c r="C573" i="1"/>
  <c r="D573" i="1"/>
  <c r="E573" i="1"/>
  <c r="F573" i="1"/>
  <c r="C163" i="1"/>
  <c r="D163" i="1"/>
  <c r="E163" i="1"/>
  <c r="F163" i="1"/>
  <c r="C164" i="1"/>
  <c r="D164" i="1"/>
  <c r="E164" i="1"/>
  <c r="F164" i="1"/>
  <c r="C165" i="1"/>
  <c r="D165" i="1"/>
  <c r="E165" i="1"/>
  <c r="F165" i="1"/>
  <c r="C939" i="1"/>
  <c r="D939" i="1"/>
  <c r="E939" i="1"/>
  <c r="F939" i="1"/>
  <c r="C166" i="1"/>
  <c r="D166" i="1"/>
  <c r="E166" i="1"/>
  <c r="F166" i="1"/>
  <c r="C6" i="1"/>
  <c r="D6" i="1"/>
  <c r="E6" i="1"/>
  <c r="F6" i="1"/>
  <c r="C574" i="1"/>
  <c r="D574" i="1"/>
  <c r="E574" i="1"/>
  <c r="F574" i="1"/>
  <c r="C167" i="1"/>
  <c r="D167" i="1"/>
  <c r="E167" i="1"/>
  <c r="F167" i="1"/>
  <c r="C575" i="1"/>
  <c r="D575" i="1"/>
  <c r="E575" i="1"/>
  <c r="F575" i="1"/>
  <c r="C168" i="1"/>
  <c r="D168" i="1"/>
  <c r="E168" i="1"/>
  <c r="F168" i="1"/>
  <c r="C169" i="1"/>
  <c r="D169" i="1"/>
  <c r="E169" i="1"/>
  <c r="F169" i="1"/>
  <c r="C170" i="1"/>
  <c r="D170" i="1"/>
  <c r="E170" i="1"/>
  <c r="F170" i="1"/>
  <c r="C171" i="1"/>
  <c r="D171" i="1"/>
  <c r="E171" i="1"/>
  <c r="F171" i="1"/>
  <c r="C172" i="1"/>
  <c r="D172" i="1"/>
  <c r="E172" i="1"/>
  <c r="F172" i="1"/>
  <c r="C173" i="1"/>
  <c r="D173" i="1"/>
  <c r="E173" i="1"/>
  <c r="F173" i="1"/>
  <c r="C873" i="1"/>
  <c r="D873" i="1"/>
  <c r="E873" i="1"/>
  <c r="F873" i="1"/>
  <c r="C576" i="1"/>
  <c r="D576" i="1"/>
  <c r="E576" i="1"/>
  <c r="F576" i="1"/>
  <c r="C896" i="1"/>
  <c r="D896" i="1"/>
  <c r="E896" i="1"/>
  <c r="F896" i="1"/>
  <c r="C577" i="1"/>
  <c r="D577" i="1"/>
  <c r="E577" i="1"/>
  <c r="F577" i="1"/>
  <c r="C174" i="1"/>
  <c r="D174" i="1"/>
  <c r="E174" i="1"/>
  <c r="F174" i="1"/>
  <c r="C462" i="1"/>
  <c r="D462" i="1"/>
  <c r="E462" i="1"/>
  <c r="F462" i="1"/>
  <c r="C802" i="1"/>
  <c r="D802" i="1"/>
  <c r="E802" i="1"/>
  <c r="F802" i="1"/>
  <c r="C175" i="1"/>
  <c r="D175" i="1"/>
  <c r="E175" i="1"/>
  <c r="F175" i="1"/>
  <c r="C578" i="1"/>
  <c r="D578" i="1"/>
  <c r="E578" i="1"/>
  <c r="F578" i="1"/>
  <c r="C176" i="1"/>
  <c r="D176" i="1"/>
  <c r="E176" i="1"/>
  <c r="F176" i="1"/>
  <c r="C1062" i="1"/>
  <c r="D1062" i="1"/>
  <c r="E1062" i="1"/>
  <c r="F1062" i="1"/>
  <c r="C760" i="1"/>
  <c r="D760" i="1"/>
  <c r="E760" i="1"/>
  <c r="F760" i="1"/>
  <c r="C177" i="1"/>
  <c r="D177" i="1"/>
  <c r="E177" i="1"/>
  <c r="F177" i="1"/>
  <c r="C178" i="1"/>
  <c r="D178" i="1"/>
  <c r="E178" i="1"/>
  <c r="F178" i="1"/>
  <c r="C935" i="1"/>
  <c r="D935" i="1"/>
  <c r="E935" i="1"/>
  <c r="F935" i="1"/>
  <c r="C806" i="1"/>
  <c r="D806" i="1"/>
  <c r="E806" i="1"/>
  <c r="F806" i="1"/>
  <c r="C849" i="1"/>
  <c r="D849" i="1"/>
  <c r="E849" i="1"/>
  <c r="F849" i="1"/>
  <c r="C763" i="1"/>
  <c r="D763" i="1"/>
  <c r="E763" i="1"/>
  <c r="F763" i="1"/>
  <c r="C179" i="1"/>
  <c r="D179" i="1"/>
  <c r="E179" i="1"/>
  <c r="F179" i="1"/>
  <c r="C180" i="1"/>
  <c r="D180" i="1"/>
  <c r="E180" i="1"/>
  <c r="F180" i="1"/>
  <c r="C181" i="1"/>
  <c r="D181" i="1"/>
  <c r="E181" i="1"/>
  <c r="F181" i="1"/>
  <c r="C579" i="1"/>
  <c r="D579" i="1"/>
  <c r="E579" i="1"/>
  <c r="F579" i="1"/>
  <c r="C182" i="1"/>
  <c r="D182" i="1"/>
  <c r="E182" i="1"/>
  <c r="F182" i="1"/>
  <c r="C183" i="1"/>
  <c r="D183" i="1"/>
  <c r="E183" i="1"/>
  <c r="F183" i="1"/>
  <c r="C184" i="1"/>
  <c r="D184" i="1"/>
  <c r="E184" i="1"/>
  <c r="F184" i="1"/>
  <c r="C1023" i="1"/>
  <c r="D1023" i="1"/>
  <c r="E1023" i="1"/>
  <c r="F1023" i="1"/>
  <c r="C957" i="1"/>
  <c r="D957" i="1"/>
  <c r="E957" i="1"/>
  <c r="F957" i="1"/>
  <c r="C185" i="1"/>
  <c r="D185" i="1"/>
  <c r="E185" i="1"/>
  <c r="F185" i="1"/>
  <c r="C186" i="1"/>
  <c r="D186" i="1"/>
  <c r="E186" i="1"/>
  <c r="F186" i="1"/>
  <c r="C798" i="1"/>
  <c r="D798" i="1"/>
  <c r="E798" i="1"/>
  <c r="F798" i="1"/>
  <c r="C187" i="1"/>
  <c r="D187" i="1"/>
  <c r="E187" i="1"/>
  <c r="F187" i="1"/>
  <c r="C1037" i="1"/>
  <c r="D1037" i="1"/>
  <c r="E1037" i="1"/>
  <c r="F1037" i="1"/>
  <c r="C580" i="1"/>
  <c r="D580" i="1"/>
  <c r="E580" i="1"/>
  <c r="F580" i="1"/>
  <c r="C188" i="1"/>
  <c r="D188" i="1"/>
  <c r="E188" i="1"/>
  <c r="F188" i="1"/>
  <c r="C189" i="1"/>
  <c r="D189" i="1"/>
  <c r="E189" i="1"/>
  <c r="F189" i="1"/>
  <c r="C190" i="1"/>
  <c r="D190" i="1"/>
  <c r="E190" i="1"/>
  <c r="F190" i="1"/>
  <c r="C581" i="1"/>
  <c r="D581" i="1"/>
  <c r="E581" i="1"/>
  <c r="F581" i="1"/>
  <c r="C897" i="1"/>
  <c r="D897" i="1"/>
  <c r="E897" i="1"/>
  <c r="F897" i="1"/>
  <c r="C934" i="1"/>
  <c r="D934" i="1"/>
  <c r="E934" i="1"/>
  <c r="F934" i="1"/>
  <c r="C858" i="1"/>
  <c r="D858" i="1"/>
  <c r="E858" i="1"/>
  <c r="F858" i="1"/>
  <c r="C582" i="1"/>
  <c r="D582" i="1"/>
  <c r="E582" i="1"/>
  <c r="F582" i="1"/>
  <c r="C583" i="1"/>
  <c r="D583" i="1"/>
  <c r="E583" i="1"/>
  <c r="F583" i="1"/>
  <c r="C1017" i="1"/>
  <c r="D1017" i="1"/>
  <c r="E1017" i="1"/>
  <c r="F1017" i="1"/>
  <c r="C584" i="1"/>
  <c r="D584" i="1"/>
  <c r="E584" i="1"/>
  <c r="F584" i="1"/>
  <c r="C191" i="1"/>
  <c r="D191" i="1"/>
  <c r="E191" i="1"/>
  <c r="F191" i="1"/>
  <c r="C938" i="1"/>
  <c r="D938" i="1"/>
  <c r="E938" i="1"/>
  <c r="F938" i="1"/>
  <c r="C585" i="1"/>
  <c r="D585" i="1"/>
  <c r="E585" i="1"/>
  <c r="F585" i="1"/>
  <c r="C192" i="1"/>
  <c r="D192" i="1"/>
  <c r="E192" i="1"/>
  <c r="F192" i="1"/>
  <c r="C193" i="1"/>
  <c r="D193" i="1"/>
  <c r="E193" i="1"/>
  <c r="F193" i="1"/>
  <c r="C906" i="1"/>
  <c r="D906" i="1"/>
  <c r="E906" i="1"/>
  <c r="F906" i="1"/>
  <c r="C1085" i="1"/>
  <c r="D1085" i="1"/>
  <c r="E1085" i="1"/>
  <c r="F1085" i="1"/>
  <c r="C194" i="1"/>
  <c r="D194" i="1"/>
  <c r="E194" i="1"/>
  <c r="F194" i="1"/>
  <c r="C586" i="1"/>
  <c r="D586" i="1"/>
  <c r="E586" i="1"/>
  <c r="F586" i="1"/>
  <c r="C587" i="1"/>
  <c r="D587" i="1"/>
  <c r="E587" i="1"/>
  <c r="F587" i="1"/>
  <c r="C588" i="1"/>
  <c r="D588" i="1"/>
  <c r="E588" i="1"/>
  <c r="F588" i="1"/>
  <c r="C195" i="1"/>
  <c r="D195" i="1"/>
  <c r="E195" i="1"/>
  <c r="F195" i="1"/>
  <c r="C863" i="1"/>
  <c r="D863" i="1"/>
  <c r="E863" i="1"/>
  <c r="F863" i="1"/>
  <c r="C196" i="1"/>
  <c r="D196" i="1"/>
  <c r="E196" i="1"/>
  <c r="F196" i="1"/>
  <c r="C589" i="1"/>
  <c r="D589" i="1"/>
  <c r="E589" i="1"/>
  <c r="F589" i="1"/>
  <c r="C197" i="1"/>
  <c r="D197" i="1"/>
  <c r="E197" i="1"/>
  <c r="F197" i="1"/>
  <c r="C1055" i="1"/>
  <c r="D1055" i="1"/>
  <c r="E1055" i="1"/>
  <c r="F1055" i="1"/>
  <c r="C590" i="1"/>
  <c r="D590" i="1"/>
  <c r="E590" i="1"/>
  <c r="F590" i="1"/>
  <c r="C1078" i="1"/>
  <c r="D1078" i="1"/>
  <c r="E1078" i="1"/>
  <c r="F1078" i="1"/>
  <c r="C591" i="1"/>
  <c r="D591" i="1"/>
  <c r="E591" i="1"/>
  <c r="F591" i="1"/>
  <c r="C198" i="1"/>
  <c r="D198" i="1"/>
  <c r="E198" i="1"/>
  <c r="F198" i="1"/>
  <c r="C1049" i="1"/>
  <c r="D1049" i="1"/>
  <c r="E1049" i="1"/>
  <c r="F1049" i="1"/>
  <c r="C592" i="1"/>
  <c r="D592" i="1"/>
  <c r="E592" i="1"/>
  <c r="F592" i="1"/>
  <c r="C970" i="1"/>
  <c r="D970" i="1"/>
  <c r="E970" i="1"/>
  <c r="F970" i="1"/>
  <c r="C971" i="1"/>
  <c r="D971" i="1"/>
  <c r="E971" i="1"/>
  <c r="F971" i="1"/>
  <c r="C199" i="1"/>
  <c r="D199" i="1"/>
  <c r="E199" i="1"/>
  <c r="F199" i="1"/>
  <c r="C593" i="1"/>
  <c r="D593" i="1"/>
  <c r="E593" i="1"/>
  <c r="F593" i="1"/>
  <c r="C200" i="1"/>
  <c r="D200" i="1"/>
  <c r="E200" i="1"/>
  <c r="F200" i="1"/>
  <c r="C201" i="1"/>
  <c r="D201" i="1"/>
  <c r="E201" i="1"/>
  <c r="F201" i="1"/>
  <c r="C202" i="1"/>
  <c r="D202" i="1"/>
  <c r="E202" i="1"/>
  <c r="F202" i="1"/>
  <c r="C989" i="1"/>
  <c r="D989" i="1"/>
  <c r="E989" i="1"/>
  <c r="F989" i="1"/>
  <c r="C203" i="1"/>
  <c r="D203" i="1"/>
  <c r="E203" i="1"/>
  <c r="F203" i="1"/>
  <c r="C204" i="1"/>
  <c r="D204" i="1"/>
  <c r="E204" i="1"/>
  <c r="F204" i="1"/>
  <c r="C594" i="1"/>
  <c r="D594" i="1"/>
  <c r="E594" i="1"/>
  <c r="F594" i="1"/>
  <c r="C894" i="1"/>
  <c r="D894" i="1"/>
  <c r="E894" i="1"/>
  <c r="F894" i="1"/>
  <c r="C205" i="1"/>
  <c r="D205" i="1"/>
  <c r="E205" i="1"/>
  <c r="F205" i="1"/>
  <c r="C595" i="1"/>
  <c r="D595" i="1"/>
  <c r="E595" i="1"/>
  <c r="F595" i="1"/>
  <c r="C206" i="1"/>
  <c r="D206" i="1"/>
  <c r="E206" i="1"/>
  <c r="F206" i="1"/>
  <c r="C1083" i="1"/>
  <c r="D1083" i="1"/>
  <c r="E1083" i="1"/>
  <c r="F1083" i="1"/>
  <c r="C997" i="1"/>
  <c r="D997" i="1"/>
  <c r="E997" i="1"/>
  <c r="F997" i="1"/>
  <c r="C596" i="1"/>
  <c r="D596" i="1"/>
  <c r="E596" i="1"/>
  <c r="F596" i="1"/>
  <c r="C207" i="1"/>
  <c r="D207" i="1"/>
  <c r="E207" i="1"/>
  <c r="F207" i="1"/>
  <c r="C1030" i="1"/>
  <c r="D1030" i="1"/>
  <c r="E1030" i="1"/>
  <c r="F1030" i="1"/>
  <c r="C208" i="1"/>
  <c r="D208" i="1"/>
  <c r="E208" i="1"/>
  <c r="F208" i="1"/>
  <c r="C820" i="1"/>
  <c r="D820" i="1"/>
  <c r="E820" i="1"/>
  <c r="F820" i="1"/>
  <c r="C209" i="1"/>
  <c r="D209" i="1"/>
  <c r="E209" i="1"/>
  <c r="F209" i="1"/>
  <c r="C210" i="1"/>
  <c r="D210" i="1"/>
  <c r="E210" i="1"/>
  <c r="F210" i="1"/>
  <c r="C211" i="1"/>
  <c r="D211" i="1"/>
  <c r="E211" i="1"/>
  <c r="F211" i="1"/>
  <c r="C212" i="1"/>
  <c r="D212" i="1"/>
  <c r="E212" i="1"/>
  <c r="F212" i="1"/>
  <c r="C213" i="1"/>
  <c r="D213" i="1"/>
  <c r="E213" i="1"/>
  <c r="F213" i="1"/>
  <c r="C7" i="1"/>
  <c r="D7" i="1"/>
  <c r="E7" i="1"/>
  <c r="F7" i="1"/>
  <c r="C214" i="1"/>
  <c r="D214" i="1"/>
  <c r="E214" i="1"/>
  <c r="F214" i="1"/>
  <c r="C215" i="1"/>
  <c r="D215" i="1"/>
  <c r="E215" i="1"/>
  <c r="F215" i="1"/>
  <c r="C216" i="1"/>
  <c r="D216" i="1"/>
  <c r="E216" i="1"/>
  <c r="F216" i="1"/>
  <c r="C217" i="1"/>
  <c r="D217" i="1"/>
  <c r="E217" i="1"/>
  <c r="F217" i="1"/>
  <c r="C218" i="1"/>
  <c r="D218" i="1"/>
  <c r="E218" i="1"/>
  <c r="F218" i="1"/>
  <c r="C924" i="1"/>
  <c r="D924" i="1"/>
  <c r="E924" i="1"/>
  <c r="F924" i="1"/>
  <c r="C219" i="1"/>
  <c r="D219" i="1"/>
  <c r="E219" i="1"/>
  <c r="F219" i="1"/>
  <c r="C1073" i="1"/>
  <c r="D1073" i="1"/>
  <c r="E1073" i="1"/>
  <c r="F1073" i="1"/>
  <c r="C220" i="1"/>
  <c r="D220" i="1"/>
  <c r="E220" i="1"/>
  <c r="F220" i="1"/>
  <c r="C597" i="1"/>
  <c r="D597" i="1"/>
  <c r="E597" i="1"/>
  <c r="F597" i="1"/>
  <c r="C221" i="1"/>
  <c r="D221" i="1"/>
  <c r="E221" i="1"/>
  <c r="F221" i="1"/>
  <c r="C804" i="1"/>
  <c r="D804" i="1"/>
  <c r="E804" i="1"/>
  <c r="F804" i="1"/>
  <c r="C222" i="1"/>
  <c r="D222" i="1"/>
  <c r="E222" i="1"/>
  <c r="F222" i="1"/>
  <c r="C223" i="1"/>
  <c r="D223" i="1"/>
  <c r="E223" i="1"/>
  <c r="F223" i="1"/>
  <c r="C598" i="1"/>
  <c r="D598" i="1"/>
  <c r="E598" i="1"/>
  <c r="F598" i="1"/>
  <c r="C224" i="1"/>
  <c r="D224" i="1"/>
  <c r="E224" i="1"/>
  <c r="F224" i="1"/>
  <c r="C898" i="1"/>
  <c r="D898" i="1"/>
  <c r="E898" i="1"/>
  <c r="F898" i="1"/>
  <c r="C225" i="1"/>
  <c r="D225" i="1"/>
  <c r="E225" i="1"/>
  <c r="F225" i="1"/>
  <c r="C599" i="1"/>
  <c r="D599" i="1"/>
  <c r="E599" i="1"/>
  <c r="F599" i="1"/>
  <c r="C226" i="1"/>
  <c r="D226" i="1"/>
  <c r="E226" i="1"/>
  <c r="F226" i="1"/>
  <c r="C227" i="1"/>
  <c r="D227" i="1"/>
  <c r="E227" i="1"/>
  <c r="F227" i="1"/>
  <c r="C228" i="1"/>
  <c r="D228" i="1"/>
  <c r="E228" i="1"/>
  <c r="F228" i="1"/>
  <c r="C229" i="1"/>
  <c r="D229" i="1"/>
  <c r="E229" i="1"/>
  <c r="F229" i="1"/>
  <c r="C1008" i="1"/>
  <c r="D1008" i="1"/>
  <c r="E1008" i="1"/>
  <c r="F1008" i="1"/>
  <c r="C842" i="1"/>
  <c r="D842" i="1"/>
  <c r="E842" i="1"/>
  <c r="F842" i="1"/>
  <c r="C230" i="1"/>
  <c r="D230" i="1"/>
  <c r="E230" i="1"/>
  <c r="F230" i="1"/>
  <c r="C1014" i="1"/>
  <c r="D1014" i="1"/>
  <c r="E1014" i="1"/>
  <c r="F1014" i="1"/>
  <c r="C231" i="1"/>
  <c r="D231" i="1"/>
  <c r="E231" i="1"/>
  <c r="F231" i="1"/>
  <c r="C845" i="1"/>
  <c r="D845" i="1"/>
  <c r="E845" i="1"/>
  <c r="F845" i="1"/>
  <c r="C600" i="1"/>
  <c r="D600" i="1"/>
  <c r="E600" i="1"/>
  <c r="F600" i="1"/>
  <c r="C786" i="1"/>
  <c r="D786" i="1"/>
  <c r="E786" i="1"/>
  <c r="F786" i="1"/>
  <c r="C232" i="1"/>
  <c r="D232" i="1"/>
  <c r="E232" i="1"/>
  <c r="F232" i="1"/>
  <c r="C233" i="1"/>
  <c r="D233" i="1"/>
  <c r="E233" i="1"/>
  <c r="F233" i="1"/>
  <c r="C601" i="1"/>
  <c r="D601" i="1"/>
  <c r="E601" i="1"/>
  <c r="F601" i="1"/>
  <c r="C234" i="1"/>
  <c r="D234" i="1"/>
  <c r="E234" i="1"/>
  <c r="F234" i="1"/>
  <c r="C602" i="1"/>
  <c r="D602" i="1"/>
  <c r="E602" i="1"/>
  <c r="F602" i="1"/>
  <c r="C784" i="1"/>
  <c r="D784" i="1"/>
  <c r="E784" i="1"/>
  <c r="F784" i="1"/>
  <c r="C986" i="1"/>
  <c r="D986" i="1"/>
  <c r="E986" i="1"/>
  <c r="F986" i="1"/>
  <c r="C603" i="1"/>
  <c r="D603" i="1"/>
  <c r="E603" i="1"/>
  <c r="F603" i="1"/>
  <c r="C235" i="1"/>
  <c r="D235" i="1"/>
  <c r="E235" i="1"/>
  <c r="F235" i="1"/>
  <c r="C833" i="1"/>
  <c r="D833" i="1"/>
  <c r="E833" i="1"/>
  <c r="F833" i="1"/>
  <c r="C604" i="1"/>
  <c r="D604" i="1"/>
  <c r="E604" i="1"/>
  <c r="F604" i="1"/>
  <c r="C1046" i="1"/>
  <c r="D1046" i="1"/>
  <c r="E1046" i="1"/>
  <c r="F1046" i="1"/>
  <c r="C605" i="1"/>
  <c r="D605" i="1"/>
  <c r="E605" i="1"/>
  <c r="F605" i="1"/>
  <c r="C236" i="1"/>
  <c r="D236" i="1"/>
  <c r="E236" i="1"/>
  <c r="F236" i="1"/>
  <c r="C606" i="1"/>
  <c r="D606" i="1"/>
  <c r="E606" i="1"/>
  <c r="F606" i="1"/>
  <c r="C607" i="1"/>
  <c r="D607" i="1"/>
  <c r="E607" i="1"/>
  <c r="F607" i="1"/>
  <c r="C237" i="1"/>
  <c r="D237" i="1"/>
  <c r="E237" i="1"/>
  <c r="F237" i="1"/>
  <c r="C608" i="1"/>
  <c r="D608" i="1"/>
  <c r="E608" i="1"/>
  <c r="F608" i="1"/>
  <c r="C609" i="1"/>
  <c r="D609" i="1"/>
  <c r="E609" i="1"/>
  <c r="F609" i="1"/>
  <c r="C610" i="1"/>
  <c r="D610" i="1"/>
  <c r="E610" i="1"/>
  <c r="F610" i="1"/>
  <c r="C611" i="1"/>
  <c r="D611" i="1"/>
  <c r="E611" i="1"/>
  <c r="F611" i="1"/>
  <c r="C912" i="1"/>
  <c r="D912" i="1"/>
  <c r="E912" i="1"/>
  <c r="F912" i="1"/>
  <c r="C238" i="1"/>
  <c r="D238" i="1"/>
  <c r="E238" i="1"/>
  <c r="F238" i="1"/>
  <c r="C1074" i="1"/>
  <c r="D1074" i="1"/>
  <c r="E1074" i="1"/>
  <c r="F1074" i="1"/>
  <c r="C764" i="1"/>
  <c r="D764" i="1"/>
  <c r="E764" i="1"/>
  <c r="F764" i="1"/>
  <c r="C862" i="1"/>
  <c r="D862" i="1"/>
  <c r="E862" i="1"/>
  <c r="F862" i="1"/>
  <c r="C239" i="1"/>
  <c r="D239" i="1"/>
  <c r="E239" i="1"/>
  <c r="F239" i="1"/>
  <c r="C240" i="1"/>
  <c r="D240" i="1"/>
  <c r="E240" i="1"/>
  <c r="F240" i="1"/>
  <c r="C951" i="1"/>
  <c r="D951" i="1"/>
  <c r="E951" i="1"/>
  <c r="F951" i="1"/>
  <c r="C937" i="1"/>
  <c r="D937" i="1"/>
  <c r="E937" i="1"/>
  <c r="F937" i="1"/>
  <c r="C241" i="1"/>
  <c r="D241" i="1"/>
  <c r="E241" i="1"/>
  <c r="F241" i="1"/>
  <c r="C781" i="1"/>
  <c r="D781" i="1"/>
  <c r="E781" i="1"/>
  <c r="F781" i="1"/>
  <c r="C242" i="1"/>
  <c r="D242" i="1"/>
  <c r="E242" i="1"/>
  <c r="F242" i="1"/>
  <c r="C771" i="1"/>
  <c r="D771" i="1"/>
  <c r="E771" i="1"/>
  <c r="F771" i="1"/>
  <c r="C243" i="1"/>
  <c r="D243" i="1"/>
  <c r="E243" i="1"/>
  <c r="F243" i="1"/>
  <c r="C244" i="1"/>
  <c r="D244" i="1"/>
  <c r="E244" i="1"/>
  <c r="F244" i="1"/>
  <c r="C765" i="1"/>
  <c r="D765" i="1"/>
  <c r="E765" i="1"/>
  <c r="F765" i="1"/>
  <c r="C1011" i="1"/>
  <c r="D1011" i="1"/>
  <c r="E1011" i="1"/>
  <c r="F1011" i="1"/>
  <c r="C245" i="1"/>
  <c r="D245" i="1"/>
  <c r="E245" i="1"/>
  <c r="F245" i="1"/>
  <c r="C246" i="1"/>
  <c r="D246" i="1"/>
  <c r="E246" i="1"/>
  <c r="F246" i="1"/>
  <c r="C247" i="1"/>
  <c r="D247" i="1"/>
  <c r="E247" i="1"/>
  <c r="F247" i="1"/>
  <c r="C999" i="1"/>
  <c r="D999" i="1"/>
  <c r="E999" i="1"/>
  <c r="F999" i="1"/>
  <c r="C612" i="1"/>
  <c r="D612" i="1"/>
  <c r="E612" i="1"/>
  <c r="F612" i="1"/>
  <c r="C248" i="1"/>
  <c r="D248" i="1"/>
  <c r="E248" i="1"/>
  <c r="F248" i="1"/>
  <c r="C909" i="1"/>
  <c r="D909" i="1"/>
  <c r="E909" i="1"/>
  <c r="F909" i="1"/>
  <c r="C249" i="1"/>
  <c r="D249" i="1"/>
  <c r="E249" i="1"/>
  <c r="F249" i="1"/>
  <c r="C250" i="1"/>
  <c r="D250" i="1"/>
  <c r="E250" i="1"/>
  <c r="F250" i="1"/>
  <c r="C613" i="1"/>
  <c r="D613" i="1"/>
  <c r="E613" i="1"/>
  <c r="F613" i="1"/>
  <c r="C780" i="1"/>
  <c r="D780" i="1"/>
  <c r="E780" i="1"/>
  <c r="F780" i="1"/>
  <c r="C614" i="1"/>
  <c r="D614" i="1"/>
  <c r="E614" i="1"/>
  <c r="F614" i="1"/>
  <c r="C615" i="1"/>
  <c r="D615" i="1"/>
  <c r="E615" i="1"/>
  <c r="F615" i="1"/>
  <c r="C991" i="1"/>
  <c r="D991" i="1"/>
  <c r="E991" i="1"/>
  <c r="F991" i="1"/>
  <c r="C1005" i="1"/>
  <c r="D1005" i="1"/>
  <c r="E1005" i="1"/>
  <c r="F1005" i="1"/>
  <c r="C616" i="1"/>
  <c r="D616" i="1"/>
  <c r="E616" i="1"/>
  <c r="F616" i="1"/>
  <c r="C855" i="1"/>
  <c r="D855" i="1"/>
  <c r="E855" i="1"/>
  <c r="F855" i="1"/>
  <c r="C251" i="1"/>
  <c r="D251" i="1"/>
  <c r="E251" i="1"/>
  <c r="F251" i="1"/>
  <c r="C905" i="1"/>
  <c r="D905" i="1"/>
  <c r="E905" i="1"/>
  <c r="F905" i="1"/>
  <c r="C252" i="1"/>
  <c r="D252" i="1"/>
  <c r="E252" i="1"/>
  <c r="F252" i="1"/>
  <c r="C617" i="1"/>
  <c r="D617" i="1"/>
  <c r="E617" i="1"/>
  <c r="F617" i="1"/>
  <c r="C253" i="1"/>
  <c r="D253" i="1"/>
  <c r="E253" i="1"/>
  <c r="F253" i="1"/>
  <c r="C1020" i="1"/>
  <c r="D1020" i="1"/>
  <c r="E1020" i="1"/>
  <c r="F1020" i="1"/>
  <c r="C254" i="1"/>
  <c r="D254" i="1"/>
  <c r="E254" i="1"/>
  <c r="F254" i="1"/>
  <c r="C2" i="1"/>
  <c r="D2" i="1"/>
  <c r="E2" i="1"/>
  <c r="F2" i="1"/>
  <c r="C255" i="1"/>
  <c r="D255" i="1"/>
  <c r="E255" i="1"/>
  <c r="F255" i="1"/>
  <c r="C256" i="1"/>
  <c r="D256" i="1"/>
  <c r="E256" i="1"/>
  <c r="F256" i="1"/>
  <c r="C618" i="1"/>
  <c r="D618" i="1"/>
  <c r="E618" i="1"/>
  <c r="F618" i="1"/>
  <c r="C1084" i="1"/>
  <c r="D1084" i="1"/>
  <c r="E1084" i="1"/>
  <c r="F1084" i="1"/>
  <c r="C874" i="1"/>
  <c r="D874" i="1"/>
  <c r="E874" i="1"/>
  <c r="F874" i="1"/>
  <c r="C619" i="1"/>
  <c r="D619" i="1"/>
  <c r="E619" i="1"/>
  <c r="F619" i="1"/>
  <c r="C783" i="1"/>
  <c r="D783" i="1"/>
  <c r="E783" i="1"/>
  <c r="F783" i="1"/>
  <c r="C257" i="1"/>
  <c r="D257" i="1"/>
  <c r="E257" i="1"/>
  <c r="F257" i="1"/>
  <c r="C1050" i="1"/>
  <c r="D1050" i="1"/>
  <c r="E1050" i="1"/>
  <c r="F1050" i="1"/>
  <c r="C258" i="1"/>
  <c r="D258" i="1"/>
  <c r="E258" i="1"/>
  <c r="F258" i="1"/>
  <c r="C259" i="1"/>
  <c r="D259" i="1"/>
  <c r="E259" i="1"/>
  <c r="F259" i="1"/>
  <c r="C620" i="1"/>
  <c r="D620" i="1"/>
  <c r="E620" i="1"/>
  <c r="F620" i="1"/>
  <c r="C260" i="1"/>
  <c r="D260" i="1"/>
  <c r="E260" i="1"/>
  <c r="F260" i="1"/>
  <c r="C261" i="1"/>
  <c r="D261" i="1"/>
  <c r="E261" i="1"/>
  <c r="F261" i="1"/>
  <c r="C262" i="1"/>
  <c r="D262" i="1"/>
  <c r="E262" i="1"/>
  <c r="F262" i="1"/>
  <c r="C621" i="1"/>
  <c r="D621" i="1"/>
  <c r="E621" i="1"/>
  <c r="F621" i="1"/>
  <c r="C985" i="1"/>
  <c r="D985" i="1"/>
  <c r="E985" i="1"/>
  <c r="F985" i="1"/>
  <c r="C622" i="1"/>
  <c r="D622" i="1"/>
  <c r="E622" i="1"/>
  <c r="F622" i="1"/>
  <c r="C623" i="1"/>
  <c r="D623" i="1"/>
  <c r="E623" i="1"/>
  <c r="F623" i="1"/>
  <c r="C263" i="1"/>
  <c r="D263" i="1"/>
  <c r="E263" i="1"/>
  <c r="F263" i="1"/>
  <c r="C264" i="1"/>
  <c r="D264" i="1"/>
  <c r="E264" i="1"/>
  <c r="F264" i="1"/>
  <c r="C852" i="1"/>
  <c r="D852" i="1"/>
  <c r="E852" i="1"/>
  <c r="F852" i="1"/>
  <c r="C265" i="1"/>
  <c r="D265" i="1"/>
  <c r="E265" i="1"/>
  <c r="F265" i="1"/>
  <c r="C266" i="1"/>
  <c r="D266" i="1"/>
  <c r="E266" i="1"/>
  <c r="F266" i="1"/>
  <c r="C624" i="1"/>
  <c r="D624" i="1"/>
  <c r="E624" i="1"/>
  <c r="F624" i="1"/>
  <c r="C267" i="1"/>
  <c r="D267" i="1"/>
  <c r="E267" i="1"/>
  <c r="F267" i="1"/>
  <c r="C268" i="1"/>
  <c r="D268" i="1"/>
  <c r="E268" i="1"/>
  <c r="F268" i="1"/>
  <c r="C1013" i="1"/>
  <c r="D1013" i="1"/>
  <c r="E1013" i="1"/>
  <c r="F1013" i="1"/>
  <c r="C269" i="1"/>
  <c r="D269" i="1"/>
  <c r="E269" i="1"/>
  <c r="F269" i="1"/>
  <c r="C270" i="1"/>
  <c r="D270" i="1"/>
  <c r="E270" i="1"/>
  <c r="F270" i="1"/>
  <c r="C875" i="1"/>
  <c r="D875" i="1"/>
  <c r="E875" i="1"/>
  <c r="F875" i="1"/>
  <c r="C271" i="1"/>
  <c r="D271" i="1"/>
  <c r="E271" i="1"/>
  <c r="F271" i="1"/>
  <c r="C625" i="1"/>
  <c r="D625" i="1"/>
  <c r="E625" i="1"/>
  <c r="F625" i="1"/>
  <c r="C1042" i="1"/>
  <c r="D1042" i="1"/>
  <c r="E1042" i="1"/>
  <c r="F1042" i="1"/>
  <c r="C626" i="1"/>
  <c r="D626" i="1"/>
  <c r="E626" i="1"/>
  <c r="F626" i="1"/>
  <c r="C627" i="1"/>
  <c r="D627" i="1"/>
  <c r="E627" i="1"/>
  <c r="F627" i="1"/>
  <c r="C628" i="1"/>
  <c r="D628" i="1"/>
  <c r="E628" i="1"/>
  <c r="F628" i="1"/>
  <c r="C629" i="1"/>
  <c r="D629" i="1"/>
  <c r="E629" i="1"/>
  <c r="F629" i="1"/>
  <c r="C630" i="1"/>
  <c r="D630" i="1"/>
  <c r="E630" i="1"/>
  <c r="F630" i="1"/>
  <c r="C272" i="1"/>
  <c r="D272" i="1"/>
  <c r="E272" i="1"/>
  <c r="F272" i="1"/>
  <c r="C631" i="1"/>
  <c r="D631" i="1"/>
  <c r="E631" i="1"/>
  <c r="F631" i="1"/>
  <c r="C984" i="1"/>
  <c r="D984" i="1"/>
  <c r="E984" i="1"/>
  <c r="F984" i="1"/>
  <c r="C632" i="1"/>
  <c r="D632" i="1"/>
  <c r="E632" i="1"/>
  <c r="F632" i="1"/>
  <c r="C273" i="1"/>
  <c r="D273" i="1"/>
  <c r="E273" i="1"/>
  <c r="F273" i="1"/>
  <c r="C274" i="1"/>
  <c r="D274" i="1"/>
  <c r="E274" i="1"/>
  <c r="F274" i="1"/>
  <c r="C1056" i="1"/>
  <c r="D1056" i="1"/>
  <c r="E1056" i="1"/>
  <c r="F1056" i="1"/>
  <c r="C275" i="1"/>
  <c r="D275" i="1"/>
  <c r="E275" i="1"/>
  <c r="F275" i="1"/>
  <c r="C276" i="1"/>
  <c r="D276" i="1"/>
  <c r="E276" i="1"/>
  <c r="F276" i="1"/>
  <c r="C633" i="1"/>
  <c r="D633" i="1"/>
  <c r="E633" i="1"/>
  <c r="F633" i="1"/>
  <c r="C277" i="1"/>
  <c r="D277" i="1"/>
  <c r="E277" i="1"/>
  <c r="F277" i="1"/>
  <c r="C278" i="1"/>
  <c r="D278" i="1"/>
  <c r="E278" i="1"/>
  <c r="F278" i="1"/>
  <c r="C279" i="1"/>
  <c r="D279" i="1"/>
  <c r="E279" i="1"/>
  <c r="F279" i="1"/>
  <c r="C1077" i="1"/>
  <c r="D1077" i="1"/>
  <c r="E1077" i="1"/>
  <c r="F1077" i="1"/>
  <c r="C634" i="1"/>
  <c r="D634" i="1"/>
  <c r="E634" i="1"/>
  <c r="F634" i="1"/>
  <c r="C635" i="1"/>
  <c r="D635" i="1"/>
  <c r="E635" i="1"/>
  <c r="F635" i="1"/>
  <c r="C280" i="1"/>
  <c r="D280" i="1"/>
  <c r="E280" i="1"/>
  <c r="F280" i="1"/>
  <c r="C960" i="1"/>
  <c r="D960" i="1"/>
  <c r="E960" i="1"/>
  <c r="F960" i="1"/>
  <c r="C281" i="1"/>
  <c r="D281" i="1"/>
  <c r="E281" i="1"/>
  <c r="F281" i="1"/>
  <c r="C464" i="1"/>
  <c r="D464" i="1"/>
  <c r="E464" i="1"/>
  <c r="F464" i="1"/>
  <c r="C1082" i="1"/>
  <c r="D1082" i="1"/>
  <c r="E1082" i="1"/>
  <c r="F1082" i="1"/>
  <c r="C636" i="1"/>
  <c r="D636" i="1"/>
  <c r="E636" i="1"/>
  <c r="F636" i="1"/>
  <c r="C637" i="1"/>
  <c r="D637" i="1"/>
  <c r="E637" i="1"/>
  <c r="F637" i="1"/>
  <c r="C998" i="1"/>
  <c r="D998" i="1"/>
  <c r="E998" i="1"/>
  <c r="F998" i="1"/>
  <c r="C282" i="1"/>
  <c r="D282" i="1"/>
  <c r="E282" i="1"/>
  <c r="F282" i="1"/>
  <c r="C839" i="1"/>
  <c r="D839" i="1"/>
  <c r="E839" i="1"/>
  <c r="F839" i="1"/>
  <c r="C812" i="1"/>
  <c r="D812" i="1"/>
  <c r="E812" i="1"/>
  <c r="F812" i="1"/>
  <c r="C638" i="1"/>
  <c r="D638" i="1"/>
  <c r="E638" i="1"/>
  <c r="F638" i="1"/>
  <c r="C903" i="1"/>
  <c r="D903" i="1"/>
  <c r="E903" i="1"/>
  <c r="F903" i="1"/>
  <c r="C848" i="1"/>
  <c r="D848" i="1"/>
  <c r="E848" i="1"/>
  <c r="F848" i="1"/>
  <c r="C1058" i="1"/>
  <c r="D1058" i="1"/>
  <c r="E1058" i="1"/>
  <c r="F1058" i="1"/>
  <c r="C794" i="1"/>
  <c r="D794" i="1"/>
  <c r="E794" i="1"/>
  <c r="F794" i="1"/>
  <c r="C1064" i="1"/>
  <c r="D1064" i="1"/>
  <c r="E1064" i="1"/>
  <c r="F1064" i="1"/>
  <c r="C1070" i="1"/>
  <c r="D1070" i="1"/>
  <c r="E1070" i="1"/>
  <c r="F1070" i="1"/>
  <c r="C283" i="1"/>
  <c r="D283" i="1"/>
  <c r="E283" i="1"/>
  <c r="F283" i="1"/>
  <c r="C1043" i="1"/>
  <c r="D1043" i="1"/>
  <c r="E1043" i="1"/>
  <c r="F1043" i="1"/>
  <c r="C639" i="1"/>
  <c r="D639" i="1"/>
  <c r="E639" i="1"/>
  <c r="F639" i="1"/>
  <c r="C929" i="1"/>
  <c r="D929" i="1"/>
  <c r="E929" i="1"/>
  <c r="F929" i="1"/>
  <c r="C1015" i="1"/>
  <c r="D1015" i="1"/>
  <c r="E1015" i="1"/>
  <c r="F1015" i="1"/>
  <c r="C640" i="1"/>
  <c r="D640" i="1"/>
  <c r="E640" i="1"/>
  <c r="F640" i="1"/>
  <c r="C284" i="1"/>
  <c r="D284" i="1"/>
  <c r="E284" i="1"/>
  <c r="F284" i="1"/>
  <c r="C285" i="1"/>
  <c r="D285" i="1"/>
  <c r="E285" i="1"/>
  <c r="F285" i="1"/>
  <c r="C286" i="1"/>
  <c r="D286" i="1"/>
  <c r="E286" i="1"/>
  <c r="F286" i="1"/>
  <c r="C641" i="1"/>
  <c r="D641" i="1"/>
  <c r="E641" i="1"/>
  <c r="F641" i="1"/>
  <c r="C642" i="1"/>
  <c r="D642" i="1"/>
  <c r="E642" i="1"/>
  <c r="F642" i="1"/>
  <c r="C287" i="1"/>
  <c r="D287" i="1"/>
  <c r="E287" i="1"/>
  <c r="F287" i="1"/>
  <c r="C643" i="1"/>
  <c r="D643" i="1"/>
  <c r="E643" i="1"/>
  <c r="F643" i="1"/>
  <c r="C1031" i="1"/>
  <c r="D1031" i="1"/>
  <c r="E1031" i="1"/>
  <c r="F1031" i="1"/>
  <c r="C644" i="1"/>
  <c r="D644" i="1"/>
  <c r="E644" i="1"/>
  <c r="F644" i="1"/>
  <c r="C288" i="1"/>
  <c r="D288" i="1"/>
  <c r="E288" i="1"/>
  <c r="F288" i="1"/>
  <c r="C645" i="1"/>
  <c r="D645" i="1"/>
  <c r="E645" i="1"/>
  <c r="F645" i="1"/>
  <c r="C289" i="1"/>
  <c r="D289" i="1"/>
  <c r="E289" i="1"/>
  <c r="F289" i="1"/>
  <c r="C876" i="1"/>
  <c r="D876" i="1"/>
  <c r="E876" i="1"/>
  <c r="F876" i="1"/>
  <c r="C290" i="1"/>
  <c r="D290" i="1"/>
  <c r="E290" i="1"/>
  <c r="F290" i="1"/>
  <c r="C291" i="1"/>
  <c r="D291" i="1"/>
  <c r="E291" i="1"/>
  <c r="F291" i="1"/>
  <c r="C292" i="1"/>
  <c r="D292" i="1"/>
  <c r="E292" i="1"/>
  <c r="F292" i="1"/>
  <c r="C293" i="1"/>
  <c r="D293" i="1"/>
  <c r="E293" i="1"/>
  <c r="F293" i="1"/>
  <c r="C1086" i="1"/>
  <c r="D1086" i="1"/>
  <c r="E1086" i="1"/>
  <c r="F1086" i="1"/>
  <c r="C813" i="1"/>
  <c r="D813" i="1"/>
  <c r="E813" i="1"/>
  <c r="F813" i="1"/>
  <c r="C646" i="1"/>
  <c r="D646" i="1"/>
  <c r="E646" i="1"/>
  <c r="F646" i="1"/>
  <c r="C647" i="1"/>
  <c r="D647" i="1"/>
  <c r="E647" i="1"/>
  <c r="F647" i="1"/>
  <c r="C648" i="1"/>
  <c r="D648" i="1"/>
  <c r="E648" i="1"/>
  <c r="F648" i="1"/>
  <c r="C979" i="1"/>
  <c r="D979" i="1"/>
  <c r="E979" i="1"/>
  <c r="F979" i="1"/>
  <c r="C294" i="1"/>
  <c r="D294" i="1"/>
  <c r="E294" i="1"/>
  <c r="F294" i="1"/>
  <c r="C649" i="1"/>
  <c r="D649" i="1"/>
  <c r="E649" i="1"/>
  <c r="F649" i="1"/>
  <c r="C295" i="1"/>
  <c r="D295" i="1"/>
  <c r="E295" i="1"/>
  <c r="F295" i="1"/>
  <c r="C296" i="1"/>
  <c r="D296" i="1"/>
  <c r="E296" i="1"/>
  <c r="F296" i="1"/>
  <c r="C297" i="1"/>
  <c r="D297" i="1"/>
  <c r="E297" i="1"/>
  <c r="F297" i="1"/>
  <c r="C928" i="1"/>
  <c r="D928" i="1"/>
  <c r="E928" i="1"/>
  <c r="F928" i="1"/>
  <c r="C810" i="1"/>
  <c r="D810" i="1"/>
  <c r="E810" i="1"/>
  <c r="F810" i="1"/>
  <c r="C298" i="1"/>
  <c r="D298" i="1"/>
  <c r="E298" i="1"/>
  <c r="F298" i="1"/>
  <c r="C650" i="1"/>
  <c r="D650" i="1"/>
  <c r="E650" i="1"/>
  <c r="F650" i="1"/>
  <c r="C815" i="1"/>
  <c r="D815" i="1"/>
  <c r="E815" i="1"/>
  <c r="F815" i="1"/>
  <c r="C651" i="1"/>
  <c r="D651" i="1"/>
  <c r="E651" i="1"/>
  <c r="F651" i="1"/>
  <c r="C299" i="1"/>
  <c r="D299" i="1"/>
  <c r="E299" i="1"/>
  <c r="F299" i="1"/>
  <c r="C300" i="1"/>
  <c r="D300" i="1"/>
  <c r="E300" i="1"/>
  <c r="F300" i="1"/>
  <c r="C652" i="1"/>
  <c r="D652" i="1"/>
  <c r="E652" i="1"/>
  <c r="F652" i="1"/>
  <c r="C301" i="1"/>
  <c r="D301" i="1"/>
  <c r="E301" i="1"/>
  <c r="F301" i="1"/>
  <c r="C653" i="1"/>
  <c r="D653" i="1"/>
  <c r="E653" i="1"/>
  <c r="F653" i="1"/>
  <c r="C1032" i="1"/>
  <c r="D1032" i="1"/>
  <c r="E1032" i="1"/>
  <c r="F1032" i="1"/>
  <c r="C654" i="1"/>
  <c r="D654" i="1"/>
  <c r="E654" i="1"/>
  <c r="F654" i="1"/>
  <c r="C302" i="1"/>
  <c r="D302" i="1"/>
  <c r="E302" i="1"/>
  <c r="F302" i="1"/>
  <c r="C860" i="1"/>
  <c r="D860" i="1"/>
  <c r="E860" i="1"/>
  <c r="F860" i="1"/>
  <c r="C655" i="1"/>
  <c r="D655" i="1"/>
  <c r="E655" i="1"/>
  <c r="F655" i="1"/>
  <c r="C656" i="1"/>
  <c r="D656" i="1"/>
  <c r="E656" i="1"/>
  <c r="F656" i="1"/>
  <c r="C789" i="1"/>
  <c r="D789" i="1"/>
  <c r="E789" i="1"/>
  <c r="F789" i="1"/>
  <c r="C657" i="1"/>
  <c r="D657" i="1"/>
  <c r="E657" i="1"/>
  <c r="F657" i="1"/>
  <c r="C303" i="1"/>
  <c r="D303" i="1"/>
  <c r="E303" i="1"/>
  <c r="F303" i="1"/>
  <c r="C304" i="1"/>
  <c r="D304" i="1"/>
  <c r="E304" i="1"/>
  <c r="F304" i="1"/>
  <c r="C1080" i="1"/>
  <c r="D1080" i="1"/>
  <c r="E1080" i="1"/>
  <c r="F1080" i="1"/>
  <c r="C658" i="1"/>
  <c r="D658" i="1"/>
  <c r="E658" i="1"/>
  <c r="F658" i="1"/>
  <c r="C659" i="1"/>
  <c r="D659" i="1"/>
  <c r="E659" i="1"/>
  <c r="F659" i="1"/>
  <c r="C305" i="1"/>
  <c r="D305" i="1"/>
  <c r="E305" i="1"/>
  <c r="F305" i="1"/>
  <c r="C306" i="1"/>
  <c r="D306" i="1"/>
  <c r="E306" i="1"/>
  <c r="F306" i="1"/>
  <c r="C307" i="1"/>
  <c r="D307" i="1"/>
  <c r="E307" i="1"/>
  <c r="F307" i="1"/>
  <c r="C308" i="1"/>
  <c r="D308" i="1"/>
  <c r="E308" i="1"/>
  <c r="F308" i="1"/>
  <c r="C309" i="1"/>
  <c r="D309" i="1"/>
  <c r="E309" i="1"/>
  <c r="F309" i="1"/>
  <c r="C310" i="1"/>
  <c r="D310" i="1"/>
  <c r="E310" i="1"/>
  <c r="F310" i="1"/>
  <c r="C1012" i="1"/>
  <c r="D1012" i="1"/>
  <c r="E1012" i="1"/>
  <c r="F1012" i="1"/>
  <c r="C311" i="1"/>
  <c r="D311" i="1"/>
  <c r="E311" i="1"/>
  <c r="F311" i="1"/>
  <c r="C312" i="1"/>
  <c r="D312" i="1"/>
  <c r="E312" i="1"/>
  <c r="F312" i="1"/>
  <c r="C660" i="1"/>
  <c r="D660" i="1"/>
  <c r="E660" i="1"/>
  <c r="F660" i="1"/>
  <c r="C661" i="1"/>
  <c r="D661" i="1"/>
  <c r="E661" i="1"/>
  <c r="F661" i="1"/>
  <c r="C958" i="1"/>
  <c r="D958" i="1"/>
  <c r="E958" i="1"/>
  <c r="F958" i="1"/>
  <c r="C313" i="1"/>
  <c r="D313" i="1"/>
  <c r="E313" i="1"/>
  <c r="F313" i="1"/>
  <c r="C1036" i="1"/>
  <c r="D1036" i="1"/>
  <c r="E1036" i="1"/>
  <c r="F1036" i="1"/>
  <c r="C314" i="1"/>
  <c r="D314" i="1"/>
  <c r="E314" i="1"/>
  <c r="F314" i="1"/>
  <c r="C662" i="1"/>
  <c r="D662" i="1"/>
  <c r="E662" i="1"/>
  <c r="F662" i="1"/>
  <c r="C315" i="1"/>
  <c r="D315" i="1"/>
  <c r="E315" i="1"/>
  <c r="F315" i="1"/>
  <c r="C663" i="1"/>
  <c r="D663" i="1"/>
  <c r="E663" i="1"/>
  <c r="F663" i="1"/>
  <c r="C316" i="1"/>
  <c r="D316" i="1"/>
  <c r="E316" i="1"/>
  <c r="F316" i="1"/>
  <c r="C884" i="1"/>
  <c r="D884" i="1"/>
  <c r="E884" i="1"/>
  <c r="F884" i="1"/>
  <c r="C317" i="1"/>
  <c r="D317" i="1"/>
  <c r="E317" i="1"/>
  <c r="F317" i="1"/>
  <c r="C664" i="1"/>
  <c r="D664" i="1"/>
  <c r="E664" i="1"/>
  <c r="F664" i="1"/>
  <c r="C665" i="1"/>
  <c r="D665" i="1"/>
  <c r="E665" i="1"/>
  <c r="F665" i="1"/>
  <c r="C666" i="1"/>
  <c r="D666" i="1"/>
  <c r="E666" i="1"/>
  <c r="F666" i="1"/>
  <c r="C1041" i="1"/>
  <c r="D1041" i="1"/>
  <c r="E1041" i="1"/>
  <c r="F1041" i="1"/>
  <c r="C992" i="1"/>
  <c r="D992" i="1"/>
  <c r="E992" i="1"/>
  <c r="F992" i="1"/>
  <c r="C318" i="1"/>
  <c r="D318" i="1"/>
  <c r="E318" i="1"/>
  <c r="F318" i="1"/>
  <c r="C667" i="1"/>
  <c r="D667" i="1"/>
  <c r="E667" i="1"/>
  <c r="F667" i="1"/>
  <c r="C668" i="1"/>
  <c r="D668" i="1"/>
  <c r="E668" i="1"/>
  <c r="F668" i="1"/>
  <c r="C975" i="1"/>
  <c r="D975" i="1"/>
  <c r="E975" i="1"/>
  <c r="F975" i="1"/>
  <c r="C319" i="1"/>
  <c r="D319" i="1"/>
  <c r="E319" i="1"/>
  <c r="F319" i="1"/>
  <c r="C865" i="1"/>
  <c r="D865" i="1"/>
  <c r="E865" i="1"/>
  <c r="F865" i="1"/>
  <c r="C766" i="1"/>
  <c r="D766" i="1"/>
  <c r="E766" i="1"/>
  <c r="F766" i="1"/>
  <c r="C1076" i="1"/>
  <c r="D1076" i="1"/>
  <c r="E1076" i="1"/>
  <c r="F1076" i="1"/>
  <c r="C816" i="1"/>
  <c r="D816" i="1"/>
  <c r="E816" i="1"/>
  <c r="F816" i="1"/>
  <c r="C669" i="1"/>
  <c r="D669" i="1"/>
  <c r="E669" i="1"/>
  <c r="F669" i="1"/>
  <c r="C320" i="1"/>
  <c r="D320" i="1"/>
  <c r="E320" i="1"/>
  <c r="F320" i="1"/>
  <c r="C877" i="1"/>
  <c r="D877" i="1"/>
  <c r="E877" i="1"/>
  <c r="F877" i="1"/>
  <c r="C841" i="1"/>
  <c r="D841" i="1"/>
  <c r="E841" i="1"/>
  <c r="F841" i="1"/>
  <c r="C822" i="1"/>
  <c r="D822" i="1"/>
  <c r="E822" i="1"/>
  <c r="F822" i="1"/>
  <c r="C930" i="1"/>
  <c r="D930" i="1"/>
  <c r="E930" i="1"/>
  <c r="F930" i="1"/>
  <c r="C987" i="1"/>
  <c r="D987" i="1"/>
  <c r="E987" i="1"/>
  <c r="F987" i="1"/>
  <c r="C889" i="1"/>
  <c r="D889" i="1"/>
  <c r="E889" i="1"/>
  <c r="F889" i="1"/>
  <c r="C321" i="1"/>
  <c r="D321" i="1"/>
  <c r="E321" i="1"/>
  <c r="F321" i="1"/>
  <c r="C670" i="1"/>
  <c r="D670" i="1"/>
  <c r="E670" i="1"/>
  <c r="F670" i="1"/>
  <c r="C671" i="1"/>
  <c r="D671" i="1"/>
  <c r="E671" i="1"/>
  <c r="F671" i="1"/>
  <c r="C883" i="1"/>
  <c r="D883" i="1"/>
  <c r="E883" i="1"/>
  <c r="F883" i="1"/>
  <c r="C322" i="1"/>
  <c r="D322" i="1"/>
  <c r="E322" i="1"/>
  <c r="F322" i="1"/>
  <c r="C323" i="1"/>
  <c r="D323" i="1"/>
  <c r="E323" i="1"/>
  <c r="F323" i="1"/>
  <c r="C672" i="1"/>
  <c r="D672" i="1"/>
  <c r="E672" i="1"/>
  <c r="F672" i="1"/>
  <c r="C324" i="1"/>
  <c r="D324" i="1"/>
  <c r="E324" i="1"/>
  <c r="F324" i="1"/>
  <c r="C799" i="1"/>
  <c r="D799" i="1"/>
  <c r="E799" i="1"/>
  <c r="F799" i="1"/>
  <c r="C325" i="1"/>
  <c r="D325" i="1"/>
  <c r="E325" i="1"/>
  <c r="F325" i="1"/>
  <c r="C673" i="1"/>
  <c r="D673" i="1"/>
  <c r="E673" i="1"/>
  <c r="F673" i="1"/>
  <c r="C326" i="1"/>
  <c r="D326" i="1"/>
  <c r="E326" i="1"/>
  <c r="F326" i="1"/>
  <c r="C327" i="1"/>
  <c r="D327" i="1"/>
  <c r="E327" i="1"/>
  <c r="F327" i="1"/>
  <c r="C328" i="1"/>
  <c r="D328" i="1"/>
  <c r="E328" i="1"/>
  <c r="F328" i="1"/>
  <c r="C329" i="1"/>
  <c r="D329" i="1"/>
  <c r="E329" i="1"/>
  <c r="F329" i="1"/>
  <c r="C674" i="1"/>
  <c r="D674" i="1"/>
  <c r="E674" i="1"/>
  <c r="F674" i="1"/>
  <c r="C330" i="1"/>
  <c r="D330" i="1"/>
  <c r="E330" i="1"/>
  <c r="F330" i="1"/>
  <c r="C331" i="1"/>
  <c r="D331" i="1"/>
  <c r="E331" i="1"/>
  <c r="F331" i="1"/>
  <c r="C332" i="1"/>
  <c r="D332" i="1"/>
  <c r="E332" i="1"/>
  <c r="F332" i="1"/>
  <c r="C333" i="1"/>
  <c r="D333" i="1"/>
  <c r="E333" i="1"/>
  <c r="F333" i="1"/>
  <c r="C334" i="1"/>
  <c r="D334" i="1"/>
  <c r="E334" i="1"/>
  <c r="F334" i="1"/>
  <c r="C335" i="1"/>
  <c r="D335" i="1"/>
  <c r="E335" i="1"/>
  <c r="F335" i="1"/>
  <c r="C675" i="1"/>
  <c r="D675" i="1"/>
  <c r="E675" i="1"/>
  <c r="F675" i="1"/>
  <c r="C676" i="1"/>
  <c r="D676" i="1"/>
  <c r="E676" i="1"/>
  <c r="F676" i="1"/>
  <c r="C677" i="1"/>
  <c r="D677" i="1"/>
  <c r="E677" i="1"/>
  <c r="F677" i="1"/>
  <c r="C964" i="1"/>
  <c r="D964" i="1"/>
  <c r="E964" i="1"/>
  <c r="F964" i="1"/>
  <c r="C336" i="1"/>
  <c r="D336" i="1"/>
  <c r="E336" i="1"/>
  <c r="F336" i="1"/>
  <c r="C678" i="1"/>
  <c r="D678" i="1"/>
  <c r="E678" i="1"/>
  <c r="F678" i="1"/>
  <c r="C679" i="1"/>
  <c r="D679" i="1"/>
  <c r="E679" i="1"/>
  <c r="F679" i="1"/>
  <c r="C900" i="1"/>
  <c r="D900" i="1"/>
  <c r="E900" i="1"/>
  <c r="F900" i="1"/>
  <c r="C337" i="1"/>
  <c r="D337" i="1"/>
  <c r="E337" i="1"/>
  <c r="F337" i="1"/>
  <c r="C338" i="1"/>
  <c r="D338" i="1"/>
  <c r="E338" i="1"/>
  <c r="F338" i="1"/>
  <c r="C339" i="1"/>
  <c r="D339" i="1"/>
  <c r="E339" i="1"/>
  <c r="F339" i="1"/>
  <c r="C340" i="1"/>
  <c r="D340" i="1"/>
  <c r="E340" i="1"/>
  <c r="F340" i="1"/>
  <c r="C1069" i="1"/>
  <c r="D1069" i="1"/>
  <c r="E1069" i="1"/>
  <c r="F1069" i="1"/>
  <c r="C1067" i="1"/>
  <c r="D1067" i="1"/>
  <c r="E1067" i="1"/>
  <c r="F1067" i="1"/>
  <c r="C974" i="1"/>
  <c r="D974" i="1"/>
  <c r="E974" i="1"/>
  <c r="F974" i="1"/>
  <c r="C680" i="1"/>
  <c r="D680" i="1"/>
  <c r="E680" i="1"/>
  <c r="F680" i="1"/>
  <c r="C10" i="1"/>
  <c r="D10" i="1"/>
  <c r="E10" i="1"/>
  <c r="F10" i="1"/>
  <c r="C681" i="1"/>
  <c r="D681" i="1"/>
  <c r="E681" i="1"/>
  <c r="F681" i="1"/>
  <c r="C892" i="1"/>
  <c r="D892" i="1"/>
  <c r="E892" i="1"/>
  <c r="F892" i="1"/>
  <c r="C682" i="1"/>
  <c r="D682" i="1"/>
  <c r="E682" i="1"/>
  <c r="F682" i="1"/>
  <c r="C341" i="1"/>
  <c r="D341" i="1"/>
  <c r="E341" i="1"/>
  <c r="F341" i="1"/>
  <c r="C342" i="1"/>
  <c r="D342" i="1"/>
  <c r="E342" i="1"/>
  <c r="F342" i="1"/>
  <c r="C1044" i="1"/>
  <c r="D1044" i="1"/>
  <c r="E1044" i="1"/>
  <c r="F1044" i="1"/>
  <c r="C343" i="1"/>
  <c r="D343" i="1"/>
  <c r="E343" i="1"/>
  <c r="F343" i="1"/>
  <c r="C1003" i="1"/>
  <c r="D1003" i="1"/>
  <c r="E1003" i="1"/>
  <c r="F1003" i="1"/>
  <c r="C683" i="1"/>
  <c r="D683" i="1"/>
  <c r="E683" i="1"/>
  <c r="F683" i="1"/>
  <c r="C684" i="1"/>
  <c r="D684" i="1"/>
  <c r="E684" i="1"/>
  <c r="F684" i="1"/>
  <c r="C344" i="1"/>
  <c r="D344" i="1"/>
  <c r="E344" i="1"/>
  <c r="F344" i="1"/>
  <c r="C915" i="1"/>
  <c r="D915" i="1"/>
  <c r="E915" i="1"/>
  <c r="F915" i="1"/>
  <c r="C776" i="1"/>
  <c r="D776" i="1"/>
  <c r="E776" i="1"/>
  <c r="F776" i="1"/>
  <c r="C807" i="1"/>
  <c r="D807" i="1"/>
  <c r="E807" i="1"/>
  <c r="F807" i="1"/>
  <c r="C345" i="1"/>
  <c r="D345" i="1"/>
  <c r="E345" i="1"/>
  <c r="F345" i="1"/>
  <c r="C910" i="1"/>
  <c r="D910" i="1"/>
  <c r="E910" i="1"/>
  <c r="F910" i="1"/>
  <c r="C913" i="1"/>
  <c r="D913" i="1"/>
  <c r="E913" i="1"/>
  <c r="F913" i="1"/>
  <c r="C685" i="1"/>
  <c r="D685" i="1"/>
  <c r="E685" i="1"/>
  <c r="F685" i="1"/>
  <c r="C1052" i="1"/>
  <c r="D1052" i="1"/>
  <c r="E1052" i="1"/>
  <c r="F1052" i="1"/>
  <c r="C686" i="1"/>
  <c r="D686" i="1"/>
  <c r="E686" i="1"/>
  <c r="F686" i="1"/>
  <c r="C346" i="1"/>
  <c r="D346" i="1"/>
  <c r="E346" i="1"/>
  <c r="F346" i="1"/>
  <c r="C878" i="1"/>
  <c r="D878" i="1"/>
  <c r="E878" i="1"/>
  <c r="F878" i="1"/>
  <c r="C977" i="1"/>
  <c r="D977" i="1"/>
  <c r="E977" i="1"/>
  <c r="F977" i="1"/>
  <c r="C347" i="1"/>
  <c r="D347" i="1"/>
  <c r="E347" i="1"/>
  <c r="F347" i="1"/>
  <c r="C348" i="1"/>
  <c r="D348" i="1"/>
  <c r="E348" i="1"/>
  <c r="F348" i="1"/>
  <c r="C349" i="1"/>
  <c r="D349" i="1"/>
  <c r="E349" i="1"/>
  <c r="F349" i="1"/>
  <c r="C982" i="1"/>
  <c r="D982" i="1"/>
  <c r="E982" i="1"/>
  <c r="F982" i="1"/>
  <c r="C767" i="1"/>
  <c r="D767" i="1"/>
  <c r="E767" i="1"/>
  <c r="F767" i="1"/>
  <c r="C350" i="1"/>
  <c r="D350" i="1"/>
  <c r="E350" i="1"/>
  <c r="F350" i="1"/>
  <c r="C1010" i="1"/>
  <c r="D1010" i="1"/>
  <c r="E1010" i="1"/>
  <c r="F1010" i="1"/>
  <c r="C932" i="1"/>
  <c r="D932" i="1"/>
  <c r="E932" i="1"/>
  <c r="F932" i="1"/>
  <c r="C687" i="1"/>
  <c r="D687" i="1"/>
  <c r="E687" i="1"/>
  <c r="F687" i="1"/>
  <c r="C931" i="1"/>
  <c r="D931" i="1"/>
  <c r="E931" i="1"/>
  <c r="F931" i="1"/>
  <c r="C351" i="1"/>
  <c r="D351" i="1"/>
  <c r="E351" i="1"/>
  <c r="F351" i="1"/>
  <c r="C352" i="1"/>
  <c r="D352" i="1"/>
  <c r="E352" i="1"/>
  <c r="F352" i="1"/>
  <c r="C353" i="1"/>
  <c r="D353" i="1"/>
  <c r="E353" i="1"/>
  <c r="F353" i="1"/>
  <c r="C946" i="1"/>
  <c r="D946" i="1"/>
  <c r="E946" i="1"/>
  <c r="F946" i="1"/>
  <c r="C980" i="1"/>
  <c r="D980" i="1"/>
  <c r="E980" i="1"/>
  <c r="F980" i="1"/>
  <c r="C354" i="1"/>
  <c r="D354" i="1"/>
  <c r="E354" i="1"/>
  <c r="F354" i="1"/>
  <c r="C943" i="1"/>
  <c r="D943" i="1"/>
  <c r="E943" i="1"/>
  <c r="F943" i="1"/>
  <c r="C796" i="1"/>
  <c r="D796" i="1"/>
  <c r="E796" i="1"/>
  <c r="F796" i="1"/>
  <c r="C355" i="1"/>
  <c r="D355" i="1"/>
  <c r="E355" i="1"/>
  <c r="F355" i="1"/>
  <c r="C797" i="1"/>
  <c r="D797" i="1"/>
  <c r="E797" i="1"/>
  <c r="F797" i="1"/>
  <c r="C688" i="1"/>
  <c r="D688" i="1"/>
  <c r="E688" i="1"/>
  <c r="F688" i="1"/>
  <c r="C901" i="1"/>
  <c r="D901" i="1"/>
  <c r="E901" i="1"/>
  <c r="F901" i="1"/>
  <c r="C886" i="1"/>
  <c r="D886" i="1"/>
  <c r="E886" i="1"/>
  <c r="F886" i="1"/>
  <c r="C689" i="1"/>
  <c r="D689" i="1"/>
  <c r="E689" i="1"/>
  <c r="F689" i="1"/>
  <c r="C356" i="1"/>
  <c r="D356" i="1"/>
  <c r="E356" i="1"/>
  <c r="F356" i="1"/>
  <c r="C690" i="1"/>
  <c r="D690" i="1"/>
  <c r="E690" i="1"/>
  <c r="F690" i="1"/>
  <c r="C895" i="1"/>
  <c r="D895" i="1"/>
  <c r="E895" i="1"/>
  <c r="F895" i="1"/>
  <c r="C691" i="1"/>
  <c r="D691" i="1"/>
  <c r="E691" i="1"/>
  <c r="F691" i="1"/>
  <c r="C692" i="1"/>
  <c r="D692" i="1"/>
  <c r="E692" i="1"/>
  <c r="F692" i="1"/>
  <c r="C693" i="1"/>
  <c r="D693" i="1"/>
  <c r="E693" i="1"/>
  <c r="F693" i="1"/>
  <c r="C357" i="1"/>
  <c r="D357" i="1"/>
  <c r="E357" i="1"/>
  <c r="F357" i="1"/>
  <c r="C358" i="1"/>
  <c r="D358" i="1"/>
  <c r="E358" i="1"/>
  <c r="F358" i="1"/>
  <c r="C359" i="1"/>
  <c r="D359" i="1"/>
  <c r="E359" i="1"/>
  <c r="F359" i="1"/>
  <c r="C360" i="1"/>
  <c r="D360" i="1"/>
  <c r="E360" i="1"/>
  <c r="F360" i="1"/>
  <c r="C361" i="1"/>
  <c r="D361" i="1"/>
  <c r="E361" i="1"/>
  <c r="F361" i="1"/>
  <c r="C832" i="1"/>
  <c r="D832" i="1"/>
  <c r="E832" i="1"/>
  <c r="F832" i="1"/>
  <c r="C694" i="1"/>
  <c r="D694" i="1"/>
  <c r="E694" i="1"/>
  <c r="F694" i="1"/>
  <c r="C695" i="1"/>
  <c r="D695" i="1"/>
  <c r="E695" i="1"/>
  <c r="F695" i="1"/>
  <c r="C696" i="1"/>
  <c r="D696" i="1"/>
  <c r="E696" i="1"/>
  <c r="F696" i="1"/>
  <c r="C362" i="1"/>
  <c r="D362" i="1"/>
  <c r="E362" i="1"/>
  <c r="F362" i="1"/>
  <c r="C363" i="1"/>
  <c r="D363" i="1"/>
  <c r="E363" i="1"/>
  <c r="F363" i="1"/>
  <c r="C1033" i="1"/>
  <c r="D1033" i="1"/>
  <c r="E1033" i="1"/>
  <c r="F1033" i="1"/>
  <c r="C1068" i="1"/>
  <c r="D1068" i="1"/>
  <c r="E1068" i="1"/>
  <c r="F1068" i="1"/>
  <c r="C11" i="1"/>
  <c r="D11" i="1"/>
  <c r="E11" i="1"/>
  <c r="F11" i="1"/>
  <c r="C364" i="1"/>
  <c r="D364" i="1"/>
  <c r="E364" i="1"/>
  <c r="F364" i="1"/>
  <c r="C697" i="1"/>
  <c r="D697" i="1"/>
  <c r="E697" i="1"/>
  <c r="F697" i="1"/>
  <c r="C698" i="1"/>
  <c r="D698" i="1"/>
  <c r="E698" i="1"/>
  <c r="F698" i="1"/>
  <c r="C768" i="1"/>
  <c r="D768" i="1"/>
  <c r="E768" i="1"/>
  <c r="F768" i="1"/>
  <c r="C1018" i="1"/>
  <c r="D1018" i="1"/>
  <c r="E1018" i="1"/>
  <c r="F1018" i="1"/>
  <c r="C1060" i="1"/>
  <c r="D1060" i="1"/>
  <c r="E1060" i="1"/>
  <c r="F1060" i="1"/>
  <c r="C365" i="1"/>
  <c r="D365" i="1"/>
  <c r="E365" i="1"/>
  <c r="F365" i="1"/>
  <c r="C366" i="1"/>
  <c r="D366" i="1"/>
  <c r="E366" i="1"/>
  <c r="F366" i="1"/>
  <c r="C367" i="1"/>
  <c r="D367" i="1"/>
  <c r="E367" i="1"/>
  <c r="F367" i="1"/>
  <c r="C699" i="1"/>
  <c r="D699" i="1"/>
  <c r="E699" i="1"/>
  <c r="F699" i="1"/>
  <c r="C368" i="1"/>
  <c r="D368" i="1"/>
  <c r="E368" i="1"/>
  <c r="F368" i="1"/>
  <c r="C369" i="1"/>
  <c r="D369" i="1"/>
  <c r="E369" i="1"/>
  <c r="F369" i="1"/>
  <c r="C370" i="1"/>
  <c r="D370" i="1"/>
  <c r="E370" i="1"/>
  <c r="F370" i="1"/>
  <c r="C990" i="1"/>
  <c r="D990" i="1"/>
  <c r="E990" i="1"/>
  <c r="F990" i="1"/>
  <c r="C371" i="1"/>
  <c r="D371" i="1"/>
  <c r="E371" i="1"/>
  <c r="F371" i="1"/>
  <c r="C372" i="1"/>
  <c r="D372" i="1"/>
  <c r="E372" i="1"/>
  <c r="F372" i="1"/>
  <c r="C373" i="1"/>
  <c r="D373" i="1"/>
  <c r="E373" i="1"/>
  <c r="F373" i="1"/>
  <c r="C374" i="1"/>
  <c r="D374" i="1"/>
  <c r="E374" i="1"/>
  <c r="F374" i="1"/>
  <c r="C375" i="1"/>
  <c r="D375" i="1"/>
  <c r="E375" i="1"/>
  <c r="F375" i="1"/>
  <c r="C969" i="1"/>
  <c r="D969" i="1"/>
  <c r="E969" i="1"/>
  <c r="F969" i="1"/>
  <c r="C978" i="1"/>
  <c r="D978" i="1"/>
  <c r="E978" i="1"/>
  <c r="F978" i="1"/>
  <c r="C847" i="1"/>
  <c r="D847" i="1"/>
  <c r="E847" i="1"/>
  <c r="F847" i="1"/>
  <c r="C376" i="1"/>
  <c r="D376" i="1"/>
  <c r="E376" i="1"/>
  <c r="F376" i="1"/>
  <c r="C954" i="1"/>
  <c r="D954" i="1"/>
  <c r="E954" i="1"/>
  <c r="F954" i="1"/>
  <c r="C377" i="1"/>
  <c r="D377" i="1"/>
  <c r="E377" i="1"/>
  <c r="F377" i="1"/>
  <c r="C378" i="1"/>
  <c r="D378" i="1"/>
  <c r="E378" i="1"/>
  <c r="F378" i="1"/>
  <c r="C879" i="1"/>
  <c r="D879" i="1"/>
  <c r="E879" i="1"/>
  <c r="F879" i="1"/>
  <c r="C790" i="1"/>
  <c r="D790" i="1"/>
  <c r="E790" i="1"/>
  <c r="F790" i="1"/>
  <c r="C379" i="1"/>
  <c r="D379" i="1"/>
  <c r="E379" i="1"/>
  <c r="F379" i="1"/>
  <c r="C380" i="1"/>
  <c r="D380" i="1"/>
  <c r="E380" i="1"/>
  <c r="F380" i="1"/>
  <c r="C700" i="1"/>
  <c r="D700" i="1"/>
  <c r="E700" i="1"/>
  <c r="F700" i="1"/>
  <c r="C701" i="1"/>
  <c r="D701" i="1"/>
  <c r="E701" i="1"/>
  <c r="F701" i="1"/>
  <c r="C702" i="1"/>
  <c r="D702" i="1"/>
  <c r="E702" i="1"/>
  <c r="F702" i="1"/>
  <c r="C703" i="1"/>
  <c r="D703" i="1"/>
  <c r="E703" i="1"/>
  <c r="F703" i="1"/>
  <c r="C381" i="1"/>
  <c r="D381" i="1"/>
  <c r="E381" i="1"/>
  <c r="F381" i="1"/>
  <c r="C382" i="1"/>
  <c r="D382" i="1"/>
  <c r="E382" i="1"/>
  <c r="F382" i="1"/>
  <c r="C383" i="1"/>
  <c r="D383" i="1"/>
  <c r="E383" i="1"/>
  <c r="F383" i="1"/>
  <c r="C704" i="1"/>
  <c r="D704" i="1"/>
  <c r="E704" i="1"/>
  <c r="F704" i="1"/>
  <c r="C9" i="1"/>
  <c r="D9" i="1"/>
  <c r="E9" i="1"/>
  <c r="F9" i="1"/>
  <c r="C705" i="1"/>
  <c r="D705" i="1"/>
  <c r="E705" i="1"/>
  <c r="F705" i="1"/>
  <c r="C384" i="1"/>
  <c r="D384" i="1"/>
  <c r="E384" i="1"/>
  <c r="F384" i="1"/>
  <c r="C385" i="1"/>
  <c r="D385" i="1"/>
  <c r="E385" i="1"/>
  <c r="F385" i="1"/>
  <c r="C706" i="1"/>
  <c r="D706" i="1"/>
  <c r="E706" i="1"/>
  <c r="F706" i="1"/>
  <c r="C386" i="1"/>
  <c r="D386" i="1"/>
  <c r="E386" i="1"/>
  <c r="F386" i="1"/>
  <c r="C707" i="1"/>
  <c r="D707" i="1"/>
  <c r="E707" i="1"/>
  <c r="F707" i="1"/>
  <c r="C387" i="1"/>
  <c r="D387" i="1"/>
  <c r="E387" i="1"/>
  <c r="F387" i="1"/>
  <c r="C850" i="1"/>
  <c r="D850" i="1"/>
  <c r="E850" i="1"/>
  <c r="F850" i="1"/>
  <c r="C831" i="1"/>
  <c r="D831" i="1"/>
  <c r="E831" i="1"/>
  <c r="F831" i="1"/>
  <c r="C941" i="1"/>
  <c r="D941" i="1"/>
  <c r="E941" i="1"/>
  <c r="F941" i="1"/>
  <c r="C708" i="1"/>
  <c r="D708" i="1"/>
  <c r="E708" i="1"/>
  <c r="F708" i="1"/>
  <c r="C709" i="1"/>
  <c r="D709" i="1"/>
  <c r="E709" i="1"/>
  <c r="F709" i="1"/>
  <c r="C388" i="1"/>
  <c r="D388" i="1"/>
  <c r="E388" i="1"/>
  <c r="F388" i="1"/>
  <c r="C710" i="1"/>
  <c r="D710" i="1"/>
  <c r="E710" i="1"/>
  <c r="F710" i="1"/>
  <c r="C711" i="1"/>
  <c r="D711" i="1"/>
  <c r="E711" i="1"/>
  <c r="F711" i="1"/>
  <c r="C904" i="1"/>
  <c r="D904" i="1"/>
  <c r="E904" i="1"/>
  <c r="F904" i="1"/>
  <c r="C829" i="1"/>
  <c r="D829" i="1"/>
  <c r="E829" i="1"/>
  <c r="F829" i="1"/>
  <c r="C712" i="1"/>
  <c r="D712" i="1"/>
  <c r="E712" i="1"/>
  <c r="F712" i="1"/>
  <c r="C713" i="1"/>
  <c r="D713" i="1"/>
  <c r="E713" i="1"/>
  <c r="F713" i="1"/>
  <c r="C714" i="1"/>
  <c r="D714" i="1"/>
  <c r="E714" i="1"/>
  <c r="F714" i="1"/>
  <c r="C880" i="1"/>
  <c r="D880" i="1"/>
  <c r="E880" i="1"/>
  <c r="F880" i="1"/>
  <c r="C995" i="1"/>
  <c r="D995" i="1"/>
  <c r="E995" i="1"/>
  <c r="F995" i="1"/>
  <c r="C389" i="1"/>
  <c r="D389" i="1"/>
  <c r="E389" i="1"/>
  <c r="F389" i="1"/>
  <c r="C921" i="1"/>
  <c r="D921" i="1"/>
  <c r="E921" i="1"/>
  <c r="F921" i="1"/>
  <c r="C715" i="1"/>
  <c r="D715" i="1"/>
  <c r="E715" i="1"/>
  <c r="F715" i="1"/>
  <c r="C814" i="1"/>
  <c r="D814" i="1"/>
  <c r="E814" i="1"/>
  <c r="F814" i="1"/>
  <c r="C716" i="1"/>
  <c r="D716" i="1"/>
  <c r="E716" i="1"/>
  <c r="F716" i="1"/>
  <c r="C800" i="1"/>
  <c r="D800" i="1"/>
  <c r="E800" i="1"/>
  <c r="F800" i="1"/>
  <c r="C390" i="1"/>
  <c r="D390" i="1"/>
  <c r="E390" i="1"/>
  <c r="F390" i="1"/>
  <c r="C866" i="1"/>
  <c r="D866" i="1"/>
  <c r="E866" i="1"/>
  <c r="F866" i="1"/>
  <c r="C911" i="1"/>
  <c r="D911" i="1"/>
  <c r="E911" i="1"/>
  <c r="F911" i="1"/>
  <c r="C717" i="1"/>
  <c r="D717" i="1"/>
  <c r="E717" i="1"/>
  <c r="F717" i="1"/>
  <c r="C391" i="1"/>
  <c r="D391" i="1"/>
  <c r="E391" i="1"/>
  <c r="F391" i="1"/>
  <c r="C392" i="1"/>
  <c r="D392" i="1"/>
  <c r="E392" i="1"/>
  <c r="F392" i="1"/>
  <c r="C393" i="1"/>
  <c r="D393" i="1"/>
  <c r="E393" i="1"/>
  <c r="F393" i="1"/>
  <c r="C394" i="1"/>
  <c r="D394" i="1"/>
  <c r="E394" i="1"/>
  <c r="F394" i="1"/>
  <c r="C1065" i="1"/>
  <c r="D1065" i="1"/>
  <c r="E1065" i="1"/>
  <c r="F1065" i="1"/>
  <c r="C395" i="1"/>
  <c r="D395" i="1"/>
  <c r="E395" i="1"/>
  <c r="F395" i="1"/>
  <c r="C396" i="1"/>
  <c r="D396" i="1"/>
  <c r="E396" i="1"/>
  <c r="F396" i="1"/>
  <c r="C397" i="1"/>
  <c r="D397" i="1"/>
  <c r="E397" i="1"/>
  <c r="F397" i="1"/>
  <c r="C12" i="1"/>
  <c r="D12" i="1"/>
  <c r="E12" i="1"/>
  <c r="F12" i="1"/>
  <c r="C1009" i="1"/>
  <c r="D1009" i="1"/>
  <c r="E1009" i="1"/>
  <c r="F1009" i="1"/>
  <c r="C398" i="1"/>
  <c r="D398" i="1"/>
  <c r="E398" i="1"/>
  <c r="F398" i="1"/>
  <c r="C976" i="1"/>
  <c r="D976" i="1"/>
  <c r="E976" i="1"/>
  <c r="F976" i="1"/>
  <c r="C399" i="1"/>
  <c r="D399" i="1"/>
  <c r="E399" i="1"/>
  <c r="F399" i="1"/>
  <c r="C400" i="1"/>
  <c r="D400" i="1"/>
  <c r="E400" i="1"/>
  <c r="F400" i="1"/>
  <c r="C718" i="1"/>
  <c r="D718" i="1"/>
  <c r="E718" i="1"/>
  <c r="F718" i="1"/>
  <c r="C401" i="1"/>
  <c r="D401" i="1"/>
  <c r="E401" i="1"/>
  <c r="F401" i="1"/>
  <c r="C402" i="1"/>
  <c r="D402" i="1"/>
  <c r="E402" i="1"/>
  <c r="F402" i="1"/>
  <c r="C719" i="1"/>
  <c r="D719" i="1"/>
  <c r="E719" i="1"/>
  <c r="F719" i="1"/>
  <c r="C981" i="1"/>
  <c r="D981" i="1"/>
  <c r="E981" i="1"/>
  <c r="F981" i="1"/>
  <c r="C920" i="1"/>
  <c r="D920" i="1"/>
  <c r="E920" i="1"/>
  <c r="F920" i="1"/>
  <c r="C403" i="1"/>
  <c r="D403" i="1"/>
  <c r="E403" i="1"/>
  <c r="F403" i="1"/>
  <c r="C404" i="1"/>
  <c r="D404" i="1"/>
  <c r="E404" i="1"/>
  <c r="F404" i="1"/>
  <c r="C720" i="1"/>
  <c r="D720" i="1"/>
  <c r="E720" i="1"/>
  <c r="F720" i="1"/>
  <c r="C405" i="1"/>
  <c r="D405" i="1"/>
  <c r="E405" i="1"/>
  <c r="F405" i="1"/>
  <c r="C721" i="1"/>
  <c r="D721" i="1"/>
  <c r="E721" i="1"/>
  <c r="F721" i="1"/>
  <c r="C955" i="1"/>
  <c r="D955" i="1"/>
  <c r="E955" i="1"/>
  <c r="F955" i="1"/>
  <c r="C406" i="1"/>
  <c r="D406" i="1"/>
  <c r="E406" i="1"/>
  <c r="F406" i="1"/>
  <c r="C407" i="1"/>
  <c r="D407" i="1"/>
  <c r="E407" i="1"/>
  <c r="F407" i="1"/>
  <c r="C1007" i="1"/>
  <c r="D1007" i="1"/>
  <c r="E1007" i="1"/>
  <c r="F1007" i="1"/>
  <c r="C408" i="1"/>
  <c r="D408" i="1"/>
  <c r="E408" i="1"/>
  <c r="F408" i="1"/>
  <c r="C409" i="1"/>
  <c r="D409" i="1"/>
  <c r="E409" i="1"/>
  <c r="F409" i="1"/>
  <c r="C965" i="1"/>
  <c r="D965" i="1"/>
  <c r="E965" i="1"/>
  <c r="F965" i="1"/>
  <c r="C410" i="1"/>
  <c r="D410" i="1"/>
  <c r="E410" i="1"/>
  <c r="F410" i="1"/>
  <c r="C1022" i="1"/>
  <c r="D1022" i="1"/>
  <c r="E1022" i="1"/>
  <c r="F1022" i="1"/>
  <c r="C825" i="1"/>
  <c r="D825" i="1"/>
  <c r="E825" i="1"/>
  <c r="F825" i="1"/>
  <c r="C1034" i="1"/>
  <c r="D1034" i="1"/>
  <c r="E1034" i="1"/>
  <c r="F1034" i="1"/>
  <c r="C722" i="1"/>
  <c r="D722" i="1"/>
  <c r="E722" i="1"/>
  <c r="F722" i="1"/>
  <c r="C411" i="1"/>
  <c r="D411" i="1"/>
  <c r="E411" i="1"/>
  <c r="F411" i="1"/>
  <c r="C723" i="1"/>
  <c r="D723" i="1"/>
  <c r="E723" i="1"/>
  <c r="F723" i="1"/>
  <c r="C412" i="1"/>
  <c r="D412" i="1"/>
  <c r="E412" i="1"/>
  <c r="F412" i="1"/>
  <c r="C413" i="1"/>
  <c r="D413" i="1"/>
  <c r="E413" i="1"/>
  <c r="F413" i="1"/>
  <c r="C724" i="1"/>
  <c r="D724" i="1"/>
  <c r="E724" i="1"/>
  <c r="F724" i="1"/>
  <c r="C725" i="1"/>
  <c r="D725" i="1"/>
  <c r="E725" i="1"/>
  <c r="F725" i="1"/>
  <c r="C973" i="1"/>
  <c r="D973" i="1"/>
  <c r="E973" i="1"/>
  <c r="F973" i="1"/>
  <c r="C726" i="1"/>
  <c r="D726" i="1"/>
  <c r="E726" i="1"/>
  <c r="F726" i="1"/>
  <c r="C414" i="1"/>
  <c r="D414" i="1"/>
  <c r="E414" i="1"/>
  <c r="F414" i="1"/>
  <c r="C801" i="1"/>
  <c r="D801" i="1"/>
  <c r="E801" i="1"/>
  <c r="F801" i="1"/>
  <c r="C415" i="1"/>
  <c r="D415" i="1"/>
  <c r="E415" i="1"/>
  <c r="F415" i="1"/>
  <c r="C727" i="1"/>
  <c r="D727" i="1"/>
  <c r="E727" i="1"/>
  <c r="F727" i="1"/>
  <c r="C728" i="1"/>
  <c r="D728" i="1"/>
  <c r="E728" i="1"/>
  <c r="F728" i="1"/>
  <c r="C416" i="1"/>
  <c r="D416" i="1"/>
  <c r="E416" i="1"/>
  <c r="F416" i="1"/>
  <c r="C769" i="1"/>
  <c r="D769" i="1"/>
  <c r="E769" i="1"/>
  <c r="F769" i="1"/>
  <c r="C729" i="1"/>
  <c r="D729" i="1"/>
  <c r="E729" i="1"/>
  <c r="F729" i="1"/>
  <c r="C417" i="1"/>
  <c r="D417" i="1"/>
  <c r="E417" i="1"/>
  <c r="F417" i="1"/>
  <c r="C730" i="1"/>
  <c r="D730" i="1"/>
  <c r="E730" i="1"/>
  <c r="F730" i="1"/>
  <c r="C8" i="1"/>
  <c r="D8" i="1"/>
  <c r="E8" i="1"/>
  <c r="F8" i="1"/>
  <c r="C731" i="1"/>
  <c r="D731" i="1"/>
  <c r="E731" i="1"/>
  <c r="F731" i="1"/>
  <c r="C967" i="1"/>
  <c r="D967" i="1"/>
  <c r="E967" i="1"/>
  <c r="F967" i="1"/>
  <c r="C732" i="1"/>
  <c r="D732" i="1"/>
  <c r="E732" i="1"/>
  <c r="F732" i="1"/>
  <c r="C418" i="1"/>
  <c r="D418" i="1"/>
  <c r="E418" i="1"/>
  <c r="F418" i="1"/>
  <c r="C419" i="1"/>
  <c r="D419" i="1"/>
  <c r="E419" i="1"/>
  <c r="F419" i="1"/>
  <c r="C844" i="1"/>
  <c r="D844" i="1"/>
  <c r="E844" i="1"/>
  <c r="F844" i="1"/>
  <c r="C733" i="1"/>
  <c r="D733" i="1"/>
  <c r="E733" i="1"/>
  <c r="F733" i="1"/>
  <c r="C983" i="1"/>
  <c r="D983" i="1"/>
  <c r="E983" i="1"/>
  <c r="F983" i="1"/>
  <c r="C420" i="1"/>
  <c r="D420" i="1"/>
  <c r="E420" i="1"/>
  <c r="F420" i="1"/>
  <c r="C881" i="1"/>
  <c r="D881" i="1"/>
  <c r="E881" i="1"/>
  <c r="F881" i="1"/>
  <c r="C1047" i="1"/>
  <c r="D1047" i="1"/>
  <c r="E1047" i="1"/>
  <c r="F1047" i="1"/>
  <c r="C421" i="1"/>
  <c r="D421" i="1"/>
  <c r="E421" i="1"/>
  <c r="F421" i="1"/>
  <c r="C13" i="1"/>
  <c r="D13" i="1"/>
  <c r="E13" i="1"/>
  <c r="F13" i="1"/>
  <c r="C734" i="1"/>
  <c r="D734" i="1"/>
  <c r="E734" i="1"/>
  <c r="F734" i="1"/>
  <c r="C919" i="1"/>
  <c r="D919" i="1"/>
  <c r="E919" i="1"/>
  <c r="F919" i="1"/>
  <c r="C422" i="1"/>
  <c r="D422" i="1"/>
  <c r="E422" i="1"/>
  <c r="F422" i="1"/>
  <c r="C735" i="1"/>
  <c r="D735" i="1"/>
  <c r="E735" i="1"/>
  <c r="F735" i="1"/>
  <c r="C423" i="1"/>
  <c r="D423" i="1"/>
  <c r="E423" i="1"/>
  <c r="F423" i="1"/>
  <c r="C961" i="1"/>
  <c r="D961" i="1"/>
  <c r="E961" i="1"/>
  <c r="F961" i="1"/>
  <c r="C1024" i="1"/>
  <c r="D1024" i="1"/>
  <c r="E1024" i="1"/>
  <c r="F1024" i="1"/>
  <c r="C854" i="1"/>
  <c r="D854" i="1"/>
  <c r="E854" i="1"/>
  <c r="F854" i="1"/>
  <c r="C424" i="1"/>
  <c r="D424" i="1"/>
  <c r="E424" i="1"/>
  <c r="F424" i="1"/>
  <c r="C425" i="1"/>
  <c r="D425" i="1"/>
  <c r="E425" i="1"/>
  <c r="F425" i="1"/>
  <c r="C828" i="1"/>
  <c r="D828" i="1"/>
  <c r="E828" i="1"/>
  <c r="F828" i="1"/>
  <c r="C808" i="1"/>
  <c r="D808" i="1"/>
  <c r="E808" i="1"/>
  <c r="F808" i="1"/>
  <c r="C1039" i="1"/>
  <c r="D1039" i="1"/>
  <c r="E1039" i="1"/>
  <c r="F1039" i="1"/>
  <c r="C1087" i="1"/>
  <c r="D1087" i="1"/>
  <c r="E1087" i="1"/>
  <c r="F1087" i="1"/>
  <c r="C426" i="1"/>
  <c r="D426" i="1"/>
  <c r="E426" i="1"/>
  <c r="F426" i="1"/>
  <c r="C736" i="1"/>
  <c r="D736" i="1"/>
  <c r="E736" i="1"/>
  <c r="F736" i="1"/>
  <c r="C427" i="1"/>
  <c r="D427" i="1"/>
  <c r="E427" i="1"/>
  <c r="F427" i="1"/>
  <c r="C1002" i="1"/>
  <c r="D1002" i="1"/>
  <c r="E1002" i="1"/>
  <c r="F1002" i="1"/>
  <c r="C428" i="1"/>
  <c r="D428" i="1"/>
  <c r="E428" i="1"/>
  <c r="F428" i="1"/>
  <c r="C737" i="1"/>
  <c r="D737" i="1"/>
  <c r="E737" i="1"/>
  <c r="F737" i="1"/>
  <c r="C429" i="1"/>
  <c r="D429" i="1"/>
  <c r="E429" i="1"/>
  <c r="F429" i="1"/>
  <c r="C738" i="1"/>
  <c r="D738" i="1"/>
  <c r="E738" i="1"/>
  <c r="F738" i="1"/>
  <c r="C739" i="1"/>
  <c r="D739" i="1"/>
  <c r="E739" i="1"/>
  <c r="F739" i="1"/>
  <c r="C740" i="1"/>
  <c r="D740" i="1"/>
  <c r="E740" i="1"/>
  <c r="F740" i="1"/>
  <c r="C430" i="1"/>
  <c r="D430" i="1"/>
  <c r="E430" i="1"/>
  <c r="F430" i="1"/>
  <c r="C741" i="1"/>
  <c r="D741" i="1"/>
  <c r="E741" i="1"/>
  <c r="F741" i="1"/>
  <c r="C742" i="1"/>
  <c r="D742" i="1"/>
  <c r="E742" i="1"/>
  <c r="F742" i="1"/>
  <c r="C743" i="1"/>
  <c r="D743" i="1"/>
  <c r="E743" i="1"/>
  <c r="F743" i="1"/>
  <c r="C431" i="1"/>
  <c r="D431" i="1"/>
  <c r="E431" i="1"/>
  <c r="F431" i="1"/>
  <c r="C432" i="1"/>
  <c r="D432" i="1"/>
  <c r="E432" i="1"/>
  <c r="F432" i="1"/>
  <c r="C744" i="1"/>
  <c r="D744" i="1"/>
  <c r="E744" i="1"/>
  <c r="F744" i="1"/>
  <c r="C745" i="1"/>
  <c r="D745" i="1"/>
  <c r="E745" i="1"/>
  <c r="F745" i="1"/>
  <c r="C893" i="1"/>
  <c r="D893" i="1"/>
  <c r="E893" i="1"/>
  <c r="F893" i="1"/>
  <c r="C775" i="1"/>
  <c r="D775" i="1"/>
  <c r="E775" i="1"/>
  <c r="F775" i="1"/>
  <c r="C433" i="1"/>
  <c r="D433" i="1"/>
  <c r="E433" i="1"/>
  <c r="F433" i="1"/>
  <c r="C759" i="1"/>
  <c r="D759" i="1"/>
  <c r="E759" i="1"/>
  <c r="F759" i="1"/>
  <c r="C746" i="1"/>
  <c r="D746" i="1"/>
  <c r="E746" i="1"/>
  <c r="F746" i="1"/>
  <c r="C434" i="1"/>
  <c r="D434" i="1"/>
  <c r="E434" i="1"/>
  <c r="F434" i="1"/>
  <c r="C747" i="1"/>
  <c r="D747" i="1"/>
  <c r="E747" i="1"/>
  <c r="F747" i="1"/>
  <c r="C435" i="1"/>
  <c r="D435" i="1"/>
  <c r="E435" i="1"/>
  <c r="F435" i="1"/>
  <c r="C1004" i="1"/>
  <c r="D1004" i="1"/>
  <c r="E1004" i="1"/>
  <c r="F1004" i="1"/>
  <c r="C994" i="1"/>
  <c r="D994" i="1"/>
  <c r="E994" i="1"/>
  <c r="F994" i="1"/>
  <c r="C1079" i="1"/>
  <c r="D1079" i="1"/>
  <c r="E1079" i="1"/>
  <c r="F1079" i="1"/>
  <c r="C748" i="1"/>
  <c r="D748" i="1"/>
  <c r="E748" i="1"/>
  <c r="F748" i="1"/>
  <c r="C749" i="1"/>
  <c r="D749" i="1"/>
  <c r="E749" i="1"/>
  <c r="F749" i="1"/>
  <c r="C436" i="1"/>
  <c r="D436" i="1"/>
  <c r="E436" i="1"/>
  <c r="F436" i="1"/>
  <c r="C437" i="1"/>
  <c r="D437" i="1"/>
  <c r="E437" i="1"/>
  <c r="F437" i="1"/>
  <c r="C438" i="1"/>
  <c r="D438" i="1"/>
  <c r="E438" i="1"/>
  <c r="F438" i="1"/>
  <c r="C439" i="1"/>
  <c r="D439" i="1"/>
  <c r="E439" i="1"/>
  <c r="F439" i="1"/>
  <c r="C750" i="1"/>
  <c r="D750" i="1"/>
  <c r="E750" i="1"/>
  <c r="F750" i="1"/>
  <c r="C821" i="1"/>
  <c r="D821" i="1"/>
  <c r="E821" i="1"/>
  <c r="F821" i="1"/>
  <c r="C751" i="1"/>
  <c r="D751" i="1"/>
  <c r="E751" i="1"/>
  <c r="F751" i="1"/>
  <c r="C752" i="1"/>
  <c r="D752" i="1"/>
  <c r="E752" i="1"/>
  <c r="F752" i="1"/>
  <c r="C753" i="1"/>
  <c r="D753" i="1"/>
  <c r="E753" i="1"/>
  <c r="F753" i="1"/>
  <c r="C440" i="1"/>
  <c r="D440" i="1"/>
  <c r="E440" i="1"/>
  <c r="F440" i="1"/>
  <c r="C754" i="1"/>
  <c r="D754" i="1"/>
  <c r="E754" i="1"/>
  <c r="F754" i="1"/>
  <c r="C441" i="1"/>
  <c r="D441" i="1"/>
  <c r="E441" i="1"/>
  <c r="F441" i="1"/>
  <c r="C442" i="1"/>
  <c r="D442" i="1"/>
  <c r="E442" i="1"/>
  <c r="F442" i="1"/>
  <c r="C959" i="1"/>
  <c r="D959" i="1"/>
  <c r="E959" i="1"/>
  <c r="F959" i="1"/>
  <c r="C1006" i="1"/>
  <c r="D1006" i="1"/>
  <c r="E1006" i="1"/>
  <c r="F1006" i="1"/>
  <c r="C443" i="1"/>
  <c r="D443" i="1"/>
  <c r="E443" i="1"/>
  <c r="F443" i="1"/>
  <c r="C444" i="1"/>
  <c r="D444" i="1"/>
  <c r="E444" i="1"/>
  <c r="F444" i="1"/>
  <c r="C445" i="1"/>
  <c r="D445" i="1"/>
  <c r="E445" i="1"/>
  <c r="F445" i="1"/>
  <c r="C755" i="1"/>
  <c r="D755" i="1"/>
  <c r="E755" i="1"/>
  <c r="F755" i="1"/>
  <c r="C1057" i="1"/>
  <c r="D1057" i="1"/>
  <c r="E1057" i="1"/>
  <c r="F1057" i="1"/>
  <c r="C826" i="1"/>
  <c r="D826" i="1"/>
  <c r="E826" i="1"/>
  <c r="F826" i="1"/>
  <c r="C446" i="1"/>
  <c r="D446" i="1"/>
  <c r="E446" i="1"/>
  <c r="F446" i="1"/>
  <c r="C447" i="1"/>
  <c r="D447" i="1"/>
  <c r="E447" i="1"/>
  <c r="F447" i="1"/>
  <c r="C448" i="1"/>
  <c r="D448" i="1"/>
  <c r="E448" i="1"/>
  <c r="F448" i="1"/>
  <c r="C449" i="1"/>
  <c r="D449" i="1"/>
  <c r="E449" i="1"/>
  <c r="F449" i="1"/>
  <c r="C450" i="1"/>
  <c r="D450" i="1"/>
  <c r="E450" i="1"/>
  <c r="F450" i="1"/>
  <c r="C811" i="1"/>
  <c r="D811" i="1"/>
  <c r="E811" i="1"/>
  <c r="F811" i="1"/>
  <c r="C451" i="1"/>
  <c r="D451" i="1"/>
  <c r="E451" i="1"/>
  <c r="F451" i="1"/>
  <c r="C452" i="1"/>
  <c r="D452" i="1"/>
  <c r="E452" i="1"/>
  <c r="F452" i="1"/>
  <c r="C756" i="1"/>
  <c r="D756" i="1"/>
  <c r="E756" i="1"/>
  <c r="F756" i="1"/>
  <c r="C453" i="1"/>
  <c r="D453" i="1"/>
  <c r="E453" i="1"/>
  <c r="F453" i="1"/>
  <c r="C922" i="1"/>
  <c r="D922" i="1"/>
  <c r="E922" i="1"/>
  <c r="F922" i="1"/>
  <c r="C454" i="1"/>
  <c r="D454" i="1"/>
  <c r="E454" i="1"/>
  <c r="F454" i="1"/>
  <c r="C455" i="1"/>
  <c r="D455" i="1"/>
  <c r="E455" i="1"/>
  <c r="F455" i="1"/>
  <c r="C456" i="1"/>
  <c r="D456" i="1"/>
  <c r="E456" i="1"/>
  <c r="F456" i="1"/>
  <c r="C757" i="1"/>
  <c r="D757" i="1"/>
  <c r="E757" i="1"/>
  <c r="F757" i="1"/>
  <c r="C457" i="1"/>
  <c r="D457" i="1"/>
  <c r="E457" i="1"/>
  <c r="F457" i="1"/>
  <c r="C864" i="1"/>
  <c r="D864" i="1"/>
  <c r="E864" i="1"/>
  <c r="F864" i="1"/>
  <c r="C458" i="1"/>
  <c r="D458" i="1"/>
  <c r="E458" i="1"/>
  <c r="F458" i="1"/>
  <c r="C1061" i="1"/>
  <c r="D1061" i="1"/>
  <c r="E1061" i="1"/>
  <c r="F1061" i="1"/>
  <c r="C459" i="1"/>
  <c r="D459" i="1"/>
  <c r="E459" i="1"/>
  <c r="F459" i="1"/>
  <c r="C758" i="1"/>
  <c r="D758" i="1"/>
  <c r="E758" i="1"/>
  <c r="F758" i="1"/>
  <c r="C947" i="1"/>
  <c r="D947" i="1"/>
  <c r="E947" i="1"/>
  <c r="F947" i="1"/>
  <c r="C927" i="1"/>
  <c r="D927" i="1"/>
  <c r="E927" i="1"/>
  <c r="F927" i="1"/>
  <c r="C460" i="1"/>
  <c r="D460" i="1"/>
  <c r="E460" i="1"/>
  <c r="F460" i="1"/>
  <c r="C773" i="1"/>
  <c r="D773" i="1"/>
  <c r="E773" i="1"/>
  <c r="F773" i="1"/>
  <c r="D15" i="1"/>
  <c r="E15" i="1"/>
  <c r="F15" i="1"/>
  <c r="C15" i="1"/>
  <c r="C54" i="2" l="1"/>
  <c r="G54" i="2"/>
  <c r="E53" i="2"/>
  <c r="D54" i="2"/>
  <c r="H54" i="2"/>
  <c r="F53" i="2"/>
  <c r="E54" i="2"/>
  <c r="C53" i="2"/>
  <c r="G53" i="2"/>
  <c r="F54" i="2"/>
  <c r="D53" i="2"/>
  <c r="H53" i="2"/>
  <c r="F55" i="2"/>
  <c r="G55" i="2"/>
  <c r="D55" i="2"/>
  <c r="H55" i="2"/>
  <c r="E55" i="2"/>
  <c r="C55" i="2"/>
  <c r="C56" i="2"/>
  <c r="G56" i="2"/>
  <c r="D56" i="2"/>
  <c r="H56" i="2"/>
  <c r="E56" i="2"/>
  <c r="F56" i="2"/>
  <c r="D7" i="2"/>
  <c r="H35" i="2" s="1"/>
  <c r="D21" i="2"/>
  <c r="E21" i="2"/>
  <c r="E34" i="2"/>
  <c r="D35" i="2"/>
  <c r="D39" i="2" s="1"/>
  <c r="F20" i="2"/>
  <c r="E32" i="2"/>
  <c r="G20" i="2"/>
  <c r="F32" i="2"/>
  <c r="C19" i="2"/>
  <c r="C32" i="2"/>
  <c r="D46" i="2"/>
  <c r="F34" i="2"/>
  <c r="C21" i="2"/>
  <c r="C46" i="2"/>
  <c r="E20" i="2"/>
  <c r="C22" i="2"/>
  <c r="D32" i="2"/>
  <c r="D34" i="2"/>
  <c r="D5" i="2"/>
  <c r="H33" i="2" s="1"/>
  <c r="D20" i="2"/>
  <c r="G22" i="2"/>
  <c r="C33" i="2"/>
  <c r="C35" i="2"/>
  <c r="C39" i="2" s="1"/>
  <c r="C47" i="2"/>
  <c r="G19" i="2"/>
  <c r="C20" i="2"/>
  <c r="F22" i="2"/>
  <c r="F33" i="2"/>
  <c r="F37" i="2" s="1"/>
  <c r="F35" i="2"/>
  <c r="F39" i="2" s="1"/>
  <c r="D47" i="2"/>
  <c r="F19" i="2"/>
  <c r="G21" i="2"/>
  <c r="E22" i="2"/>
  <c r="E33" i="2"/>
  <c r="E35" i="2"/>
  <c r="E39" i="2" s="1"/>
  <c r="C48" i="2"/>
  <c r="E19" i="2"/>
  <c r="F21" i="2"/>
  <c r="D22" i="2"/>
  <c r="D33" i="2"/>
  <c r="D37" i="2" s="1"/>
  <c r="D48" i="2"/>
  <c r="E48" i="2" s="1"/>
  <c r="D19" i="2"/>
  <c r="C34" i="2"/>
  <c r="D45" i="2"/>
  <c r="C45" i="2"/>
  <c r="D6" i="2"/>
  <c r="H34" i="2" s="1"/>
  <c r="C4" i="2"/>
  <c r="D4" i="2"/>
  <c r="C5" i="2"/>
  <c r="C6" i="2"/>
  <c r="C7" i="2"/>
  <c r="E7" i="2" s="1"/>
  <c r="C12" i="2" s="1"/>
  <c r="E31" i="2" l="1"/>
  <c r="E45" i="2"/>
  <c r="G45" i="2" s="1"/>
  <c r="G18" i="2"/>
  <c r="D31" i="2"/>
  <c r="F31" i="2"/>
  <c r="E18" i="2"/>
  <c r="H21" i="2"/>
  <c r="C25" i="2" s="1"/>
  <c r="C18" i="2"/>
  <c r="H20" i="2"/>
  <c r="C24" i="2" s="1"/>
  <c r="D18" i="2"/>
  <c r="F18" i="2"/>
  <c r="D44" i="2"/>
  <c r="G33" i="2"/>
  <c r="G37" i="2" s="1"/>
  <c r="E37" i="2"/>
  <c r="G48" i="2"/>
  <c r="F48" i="2"/>
  <c r="G35" i="2"/>
  <c r="G39" i="2" s="1"/>
  <c r="C37" i="2"/>
  <c r="C38" i="2"/>
  <c r="C44" i="2"/>
  <c r="E44" i="2" s="1"/>
  <c r="F44" i="2" s="1"/>
  <c r="C31" i="2"/>
  <c r="H19" i="2"/>
  <c r="F23" i="2" s="1"/>
  <c r="H22" i="2"/>
  <c r="D26" i="2" s="1"/>
  <c r="E47" i="2"/>
  <c r="F47" i="2" s="1"/>
  <c r="E46" i="2"/>
  <c r="G46" i="2" s="1"/>
  <c r="E6" i="2"/>
  <c r="C11" i="2" s="1"/>
  <c r="H32" i="2"/>
  <c r="C36" i="2" s="1"/>
  <c r="D8" i="2"/>
  <c r="C8" i="2"/>
  <c r="D38" i="2"/>
  <c r="E38" i="2"/>
  <c r="G34" i="2"/>
  <c r="G38" i="2" s="1"/>
  <c r="F38" i="2"/>
  <c r="D11" i="2"/>
  <c r="D12" i="2"/>
  <c r="E5" i="2"/>
  <c r="D10" i="2" s="1"/>
  <c r="E4" i="2"/>
  <c r="D9" i="2" s="1"/>
  <c r="F45" i="2" l="1"/>
  <c r="H18" i="2"/>
  <c r="G27" i="2" s="1"/>
  <c r="D25" i="2"/>
  <c r="F24" i="2"/>
  <c r="G25" i="2"/>
  <c r="F25" i="2"/>
  <c r="E24" i="2"/>
  <c r="E25" i="2"/>
  <c r="G24" i="2"/>
  <c r="C26" i="2"/>
  <c r="G26" i="2"/>
  <c r="D24" i="2"/>
  <c r="F46" i="2"/>
  <c r="D23" i="2"/>
  <c r="G44" i="2"/>
  <c r="G47" i="2"/>
  <c r="F26" i="2"/>
  <c r="E26" i="2"/>
  <c r="E36" i="2"/>
  <c r="G23" i="2"/>
  <c r="E23" i="2"/>
  <c r="C23" i="2"/>
  <c r="E8" i="2"/>
  <c r="C13" i="2" s="1"/>
  <c r="F36" i="2"/>
  <c r="D36" i="2"/>
  <c r="C9" i="2"/>
  <c r="C10" i="2"/>
  <c r="D27" i="2" l="1"/>
  <c r="C27" i="2"/>
  <c r="E27" i="2"/>
  <c r="F27" i="2"/>
  <c r="D13" i="2"/>
  <c r="G32" i="2"/>
  <c r="G36" i="2" l="1"/>
  <c r="G31" i="2"/>
  <c r="H31" i="2" l="1"/>
  <c r="C40" i="2" l="1"/>
  <c r="F40" i="2"/>
  <c r="E40" i="2"/>
  <c r="D40" i="2"/>
  <c r="G40" i="2"/>
</calcChain>
</file>

<file path=xl/sharedStrings.xml><?xml version="1.0" encoding="utf-8"?>
<sst xmlns="http://schemas.openxmlformats.org/spreadsheetml/2006/main" count="8737" uniqueCount="2078">
  <si>
    <t>タイムスタンプ</t>
  </si>
  <si>
    <t>問１　お子様は何年生ですか。</t>
  </si>
  <si>
    <t>問２　11月22日（ふれあいホリデー）はお子様と一緒に過ごされましたか。</t>
  </si>
  <si>
    <t>問３−Ａ１　主にどのように過ごされましたか。</t>
  </si>
  <si>
    <t>問３－Ａ２　前の問い（ 問３－Ａ１）で回答された内容について具体的に記入してください。</t>
  </si>
  <si>
    <t>問３−Ｂ１　お子様はどのように過ごされましたか。</t>
  </si>
  <si>
    <t>問４　あなたは休暇を取得されましたか</t>
  </si>
  <si>
    <t>問４－１　「取得していない」と回答いただいた方は、次のどれにあたりますか。</t>
  </si>
  <si>
    <t>問４－２　前の問（問４－１）で「取得するつもりはなかった」または「取得しにくかった」と回答いただいた方は、理由等をお答えください。</t>
  </si>
  <si>
    <t>問５　来年度実施する場合、過ごし方について考えを教えてください。</t>
  </si>
  <si>
    <t>問６　来年度実施する場合、適切な時期について考えを教えてください。</t>
  </si>
  <si>
    <t>問７　今後に向けてお気づきの点などを教えてください。</t>
  </si>
  <si>
    <t>未就学児, 小学校３年生</t>
  </si>
  <si>
    <t>過ごした</t>
  </si>
  <si>
    <t>イベント等に参加した</t>
  </si>
  <si>
    <t>栞づくりに参加した</t>
  </si>
  <si>
    <t>取得していない</t>
  </si>
  <si>
    <t>そもそも働いていない</t>
  </si>
  <si>
    <t>11月の同じ時期</t>
  </si>
  <si>
    <t>小学校６年生</t>
  </si>
  <si>
    <t>過ごしていない</t>
  </si>
  <si>
    <t>（回答者様以外の）家族、親類等と過ごした</t>
  </si>
  <si>
    <t>自営業だから, 取得するつもりはなかった</t>
  </si>
  <si>
    <t>勝手に休みを作られても困る。</t>
  </si>
  <si>
    <t>体験等に取り組むつもりはない</t>
  </si>
  <si>
    <t>しなくていい</t>
  </si>
  <si>
    <t>中学校１年生, 中学校２年生</t>
  </si>
  <si>
    <t>倉吉市外へ出かけた</t>
  </si>
  <si>
    <t>お買い物</t>
  </si>
  <si>
    <t>勤務日ではなかった</t>
  </si>
  <si>
    <t>体験等に取り組みたいが休暇が取得できるか分からない</t>
  </si>
  <si>
    <t>未就学児, 中学校３年生</t>
  </si>
  <si>
    <t>家庭で過ごした</t>
  </si>
  <si>
    <t>小さい子どもが居るので外出しにくい</t>
  </si>
  <si>
    <t>取得した</t>
  </si>
  <si>
    <t>家庭でふれあいや体験活動等に取り組みたい</t>
  </si>
  <si>
    <t>いつでもいいが、告知は早くして欲しい</t>
  </si>
  <si>
    <t>小学校１年生, 小学校２年生, 小学校４年生</t>
  </si>
  <si>
    <t>放課後児童クラブ等を利用した</t>
  </si>
  <si>
    <t>業務多忙で取得できなかった</t>
  </si>
  <si>
    <t>夏休み内で</t>
  </si>
  <si>
    <t>小学校１年生</t>
  </si>
  <si>
    <t>職場で推奨されたが取得しなかった, 取得しにくかった</t>
  </si>
  <si>
    <t>休みにくい雰囲気</t>
  </si>
  <si>
    <t>休みが取れたら考える</t>
  </si>
  <si>
    <t>わからない</t>
  </si>
  <si>
    <t>中学校２年生, 中学校卒業後</t>
  </si>
  <si>
    <t>その他</t>
  </si>
  <si>
    <t>病院受診など</t>
  </si>
  <si>
    <t>小学校２年生</t>
  </si>
  <si>
    <t>大掃除大作戦</t>
  </si>
  <si>
    <t>いつでも</t>
  </si>
  <si>
    <t>未就学児, 小学校４年生, 小学校５年生</t>
  </si>
  <si>
    <t>ふれあいホリデーをやめてほしい</t>
  </si>
  <si>
    <t>特になし</t>
  </si>
  <si>
    <t>市主催のイベントに出かけた</t>
  </si>
  <si>
    <t>５月のゴールデンウィーク期間中</t>
  </si>
  <si>
    <t>小学校４年生</t>
  </si>
  <si>
    <t>子どもだけで過ごした</t>
  </si>
  <si>
    <t>取得するつもりはなかった</t>
  </si>
  <si>
    <t>有休が残っていなかった</t>
  </si>
  <si>
    <t>イベント等で体験活動に参加したい</t>
  </si>
  <si>
    <t>2月がいい</t>
  </si>
  <si>
    <t>やるなら誰もが年に一度は参加できるように、一年間に3回くらいに設けてください。</t>
  </si>
  <si>
    <t>未就学児, 小学校１年生</t>
  </si>
  <si>
    <t>イベントに参加した</t>
  </si>
  <si>
    <t>母親がみた</t>
  </si>
  <si>
    <t>小学校４年生, 小学校６年生</t>
  </si>
  <si>
    <t>取得しにくかった</t>
  </si>
  <si>
    <t>業務のシフトが決まっているから</t>
  </si>
  <si>
    <t>事業所にも休暇を取得できるように働きかけてほしい。</t>
  </si>
  <si>
    <t>小学校６年生, 中学校２年生</t>
  </si>
  <si>
    <t>映画鑑賞とショッピング</t>
  </si>
  <si>
    <t>もともと勤務してない</t>
  </si>
  <si>
    <t>いつでもいい</t>
  </si>
  <si>
    <t>広報が足りない。
あまり話題になっていない。</t>
  </si>
  <si>
    <t>小学校５年生, 中学校２年生</t>
  </si>
  <si>
    <t>倉吉市内へ出かけた</t>
  </si>
  <si>
    <t>病院めぐり</t>
  </si>
  <si>
    <t>なし</t>
  </si>
  <si>
    <t>特定の日にするのではなく、子どもにも、有休みたいな、出席扱いになる日を１年に１日与えては？</t>
  </si>
  <si>
    <t>未就学児, 小学校４年生, 中学校３年生</t>
  </si>
  <si>
    <t>徳田先生と遊んだ</t>
  </si>
  <si>
    <t>佐藤さんお疲れ様</t>
  </si>
  <si>
    <t>中学校１年生, 中学校３年生</t>
  </si>
  <si>
    <t>買い物</t>
  </si>
  <si>
    <t>家に居るから</t>
  </si>
  <si>
    <t>小学校３年生, 中学校２年生, 中学校３年生</t>
  </si>
  <si>
    <t>業務多忙で取得できなかった, 取得しにくかった</t>
  </si>
  <si>
    <t>希望する休みが他にあり
休暇を取れなかった。</t>
  </si>
  <si>
    <t>中学校３年生</t>
  </si>
  <si>
    <t>家で一緒に過ごした。</t>
  </si>
  <si>
    <t>勤務表がでていたため</t>
  </si>
  <si>
    <t>中学校１年生</t>
  </si>
  <si>
    <t>三朝町の三徳山へ紅葉を見に行きました</t>
  </si>
  <si>
    <t>時期はいつでも良いですが、定期テスト前の休暇だと、出かけるのもはばかります。</t>
  </si>
  <si>
    <t>小学生向けの体験イベントはあったようですが、中学生向けは、あったでしょうか？私が知らなかっただけなのかもしれませんが。中学生向けのイベントがあると良いと思います。</t>
  </si>
  <si>
    <t>未就学児, 小学校６年生, 中学校１年生, 中学校３年生</t>
  </si>
  <si>
    <t>ゆっくり過ごした</t>
  </si>
  <si>
    <t>期末テスト前だったので家で勉強しないといけなかった</t>
  </si>
  <si>
    <t xml:space="preserve">ふれあいホリデーというものが職場には認識されてない。
また、中学生は、期末テスト前で勉強しないといけないので休んでもしょうがないと思った。
ふれあいホリデーをやる意味がないので、やめてほしい。
</t>
  </si>
  <si>
    <t>今回は、期末テスト前で、出かけることができなかった。</t>
  </si>
  <si>
    <t>実施しなくてよい</t>
  </si>
  <si>
    <t>ふれあいホリデーはなくてよい。</t>
  </si>
  <si>
    <t>職場が倉吉市以外のため</t>
  </si>
  <si>
    <t>中学校２年生</t>
  </si>
  <si>
    <t>午前中は親子で午後は友達と過ごしていました</t>
  </si>
  <si>
    <t>自営業だから</t>
  </si>
  <si>
    <t>小学校４年生, 中学校２年生</t>
  </si>
  <si>
    <t>小学校の教員をしてます
倉吉市ではないので休みではなく、三朝です
1日学校オープンでもあり、参観日でもあり、休めませんでした</t>
  </si>
  <si>
    <t>わかりません</t>
  </si>
  <si>
    <t>体感的活動はよいと思うけど、親が休めるかどうかわからないので、ふれあいホリデーという名前はやめた方がよいと思う
親子でふれあってほしいと言われても、仕事が休めないのでふれあえません
子どもだけで家にいた
学校を休みにするなら、体験ホリデーとい名前にして、体感的な活動を朝から夕方まで開催してほしい
ぜひ、参加させたい
親は参加できない前提で</t>
  </si>
  <si>
    <t>自営業だから, 取得するつもりはなかった, 取得しにくかった</t>
  </si>
  <si>
    <t>勝手な、一方的な、ホリデーで腹立たしいくらいです　子どもへの恩恵などありません　</t>
  </si>
  <si>
    <t>やめてください</t>
  </si>
  <si>
    <t>だからやめてください</t>
  </si>
  <si>
    <t>当日、朝早くからノーヘル縦列で自転車に乗って出かける中学生グループをみました　わが家も早々に親は休めないと話していました　どちらもむなしいです</t>
  </si>
  <si>
    <t>中学校１年生, 中学校卒業後</t>
  </si>
  <si>
    <t>友達と遊んでいた</t>
  </si>
  <si>
    <t>職場のスタッフが不足してしまうから</t>
  </si>
  <si>
    <t>中学生男子は親と過ごすなんてあり得ない</t>
  </si>
  <si>
    <t>子どもはテスト勉強をしていた。</t>
  </si>
  <si>
    <t>親は休みじゃないので、年休取得しなければならない。ふれあいホリデーの意味がちょっとよくわからない。本当に必要かな？と思った。</t>
  </si>
  <si>
    <t>他に休暇取得する人があった</t>
  </si>
  <si>
    <t>職場や地域の理解、周知など、体制の整備が必要だと思う。</t>
  </si>
  <si>
    <t>休業の主旨を知らなかった。分かっていても休業取得しにくい。</t>
  </si>
  <si>
    <t>子どもが大きくなると、部活で日程が合いません。</t>
  </si>
  <si>
    <t>職種や職場環境、また家庭の状況によっては難しいと思います。</t>
  </si>
  <si>
    <t>子供が友達のところへ遊びに行った</t>
  </si>
  <si>
    <t>出雲大社へ行きました。</t>
  </si>
  <si>
    <t>周りの人はふれあいホリデーだと知らなくて休みを取っていない保護者も結構ありました。
休みになっても友達と遊びに行っている子ども達も結構あったみたいで休みである必要があるのかどうか疑問です。
我が家は来年も休みになれば家族でどこかにお出かけしたいと思います。普段行かない所に平日行けたので、人も少なくて過ごしやすかったです。</t>
  </si>
  <si>
    <t>小学校６年生, 中学校３年生</t>
  </si>
  <si>
    <t>午前中は、祖母と過ごして、
午後は、習い事の為に市外へ外出しました。</t>
  </si>
  <si>
    <t>学校行事が続くと休みを取りにくい</t>
  </si>
  <si>
    <t>アンケートをする前に来年度も11月に行うと新聞で知りました。アンケートの意味はあるのでしょうか。</t>
  </si>
  <si>
    <t>保護者の休暇取得を進めておられますが、例えば倉吉市役所に勤務されている小中学校の保護者が全員休暇を取ることができるのでしょうか。一斉に休業日を作るのではなく、家庭の都合に合わせて年に1回休める日を設けて欲しいです。その場合、子どもは出席扱いにして、子ども版の有休のようにしてはどうでしょうか。ご検討よろしくお願いします。</t>
  </si>
  <si>
    <t>上の子は受験勉強、下の子とキーホルダー作りなど</t>
  </si>
  <si>
    <t>専業主婦</t>
  </si>
  <si>
    <t>城崎温泉へ旅行</t>
  </si>
  <si>
    <t>周知をもう少し早くして欲しい
チラシまで気が付かなかったです</t>
  </si>
  <si>
    <t>小学校４年生, 中学校１年生</t>
  </si>
  <si>
    <t>食事と買い物</t>
  </si>
  <si>
    <t>小中のお子さんがいる社員が多く休めない。代わりとなる社員が不足するので言えない雰囲気だ。</t>
  </si>
  <si>
    <t>実施するにあたり、祝日にするとか皆んなが子供と過ごせるようにしてほしい。推奨のみでは休めないのが実情なので、親にとって困る施策でしかなく廃止してほしい。</t>
  </si>
  <si>
    <t>小学校２年生, 小学校５年生, 中学校１年生</t>
  </si>
  <si>
    <t>子どもの1人が体調不良のため家で過ごした</t>
  </si>
  <si>
    <t>自分は自由がきく仕事なので休みを取ったが、周囲では休みを取得できず、困っている小学校保護者が多くいた。市外に勤めている人は特に休みを取得しにくく、実施するなら中部圏域で連携する必要があるのではないか。
2学期は学校行事も多く、今回は同じ週には小学校の参観日、中文祭があり、そう何度も休めないのではないか。
どうしても休みを取得できない人の救済で、コミセンが子どもだけの参加も認める体験を催してくれたが、昼食付きではないため、子どもたちを預かってあげる保護者もいた。祖父母に預ける保護者もいたと聞いている。親子の体験会を用意してくれていたが、定員が少ないものは3人きょうだいで申し込むのは気が引けた。また、今後実施するのであれば、どうしても休めない人のための救済も必要だと思う。
おそらく、ここで休みを取得できる家庭はふだんから家族できちんとふれあいを持てている家庭だと思う。
下に未就学児のきょうだいがいる家庭は、子どもの病気で仕事を休まなければならないことも多く、さらに休みを取得するのはハードルが高いのでは。特に、秋口は病気が流行し始める時期なので。
中学は、2学期は毎月、行事の振替休日で月曜日が休みになる日があり、また3連休かと正直うんざりした。パープルタウンに買い物に行ったところ、中学生が子どもだけで大勢遊び、走り回っていた。未来中心に友だちで遊びに行っていたという話も聞いた。たぶん、ゲームセンター、カラオケにも中学生が多くいたのでは？
旅行などに出かけた家庭もあったと思うが、中学生は親よりも友だちと遊びたい年頃だと思う。
休みを設けることが、ふれあい促進になるのか。PTAの役員を受けているが、土日や平日夜の会合、講演会等に動員がかかり、子どもを家に置いてそれらに参加する現状は激しく矛盾していないか。
今後も継続するのであれば、大型連休付近に設定する、中学校区で日程をずらす、土曜参観で親子体験をするなど、保護者が困らない方法でお願いしたい。</t>
  </si>
  <si>
    <t>小学校３年生, 中学校１年生</t>
  </si>
  <si>
    <t>夫は病院勤務、私はこども園で勤務しています。病院やこども園で勤務する、すべての小、中学生をお持ちの保護者が有給を取得することは現実的に難しいです。</t>
  </si>
  <si>
    <t>休めないと思います。</t>
  </si>
  <si>
    <t>実施するならば、その方法を検討するべきです。</t>
  </si>
  <si>
    <t xml:space="preserve">とても残念な企画でした。1つめが「小、中学生をお持ちの保護者が一斉に休む」ということが現実的ではないからです。我が家は病院とこども園に勤務している実態ですが、他にも老人ホームや児童養護施設、証券会社、公立保育園等に勤務されている方の実態は数値として把握されてからの計画だったのでしょうか。２つめは、「子どもに対する罪悪感、申し訳なさ」についてです。「○○ちゃんは△△するってー」と残念そうに呟いた子どもに対して、親として、誰も悪者にならないように諭すことが苦しかったです。
　働き盛りの方が小、中学生のお子さんをお持ちの家庭が多い中部地区で、一体誰に対しての、どこを対象としての「ふれあいホリデー」だったのか。。アイディアは素敵だと思いますが、対象とする地域の賛同や協力、保障が完全に得られないまま進めることは如何なことかな、と考えます。
</t>
  </si>
  <si>
    <t>友だちと遊びに行きました</t>
  </si>
  <si>
    <t>家族よりも友だちを優先すると思います</t>
  </si>
  <si>
    <t>土曜、日曜日と私用があり3連休は取得しにくかった。</t>
  </si>
  <si>
    <t>親が仕事でも、子供達だけで参加出来るイベントを開催してほしい。</t>
  </si>
  <si>
    <t xml:space="preserve">子供達だけで、朝からスーパーに買い物に来てた。
近くの公民館などで、気軽に子供だけで、参加出来るイベントを開催してもらえると、安心できる。
</t>
  </si>
  <si>
    <t>市内でお昼ごはんを食べたり、お買い物をしたりしました。久しぶりの平日のお休みだったので、ゆっくりと過ごすことが出来ました。</t>
  </si>
  <si>
    <t>わが子と一緒に過ごす時間を大切にできる取り組みだと思います。こういった時間が少しずつ増えていったらなぁ…と感じました。</t>
  </si>
  <si>
    <t>第二子(年中児)が体調不良で休みだったため自宅で過ごした。第一子(小1)と料理を作った。</t>
  </si>
  <si>
    <t>育児休暇中</t>
  </si>
  <si>
    <t>ふれあいホリデーがあってもなくても、ふれあいを大切にする家庭とそうでない家庭は分かれると思うので、わざわざこのような休日を持つのは不要かと思います。どうしても学童等に行かなければならない知人家族の話を聞くと可哀想だと感じました。</t>
  </si>
  <si>
    <t>家族で旅行</t>
  </si>
  <si>
    <t>早くから日程等告知があったので飛行機や宿泊先の予約、旅の計画が出来て良かった。</t>
  </si>
  <si>
    <t>小学校３年生</t>
  </si>
  <si>
    <t>チラシに載っている博物館のイベントに参加しました</t>
  </si>
  <si>
    <t xml:space="preserve">普段から土日に市内の色々なイベントに参加しているので、イベントの内容的には特別な日だとは感じませんでしたが、平日休みは新鮮で良かったです。3連休になったのも嬉しいです
</t>
  </si>
  <si>
    <t>ジョイフルパークに遊びに行きました。</t>
  </si>
  <si>
    <t>親が休めないとあまり意味がないなと思いました。今回は母親のみ休めていたので有意義に過ごせました。</t>
  </si>
  <si>
    <t>放課後児童クラブ勤務のため。</t>
  </si>
  <si>
    <t>放課後児童クラブ勤務</t>
  </si>
  <si>
    <t>勤務にかわりはないのでいつでもよい。</t>
  </si>
  <si>
    <t>職業柄、ふれあいホリデーを実施してもらっても休むことはできません。同じような方はたくさんいらっしゃると思います。</t>
  </si>
  <si>
    <t>シフトが休みなら休めばいいと思った。出かけるなら家族揃って休みの日に出かけたい。</t>
  </si>
  <si>
    <t xml:space="preserve">イベントの情報があれば考える </t>
  </si>
  <si>
    <t>朝からショッピングモールに行った</t>
  </si>
  <si>
    <t>遠出をする</t>
  </si>
  <si>
    <t>特になにもしていない。</t>
  </si>
  <si>
    <t>休暇が取れるか分からない</t>
  </si>
  <si>
    <t>いつでもよいが休めるか分からない</t>
  </si>
  <si>
    <t>親は、有給を取得しなくてはならなく行事や子どもの体調不良で有給が足りないのになかなか休めない。今後も実施するのであれば親も祝日等扱いを考えてほしい。</t>
  </si>
  <si>
    <t>小学校５年生</t>
  </si>
  <si>
    <t>特にすることもなく家で過ごした。</t>
  </si>
  <si>
    <t>取り組み自体をやめて欲しい。</t>
  </si>
  <si>
    <t>わざわざ仕事も休まなくてはいけないし、そうでなくても休日があるのだからそれで十分だし余計な出費も増える。取り組み自体迷惑。やめて欲しい。</t>
  </si>
  <si>
    <t>小学校３年生, 中学校１年生, 中学校３年生</t>
  </si>
  <si>
    <t>知り合いに預けた</t>
  </si>
  <si>
    <t>学校行事で有給を使っており、休みにくい</t>
  </si>
  <si>
    <t>小学校２年生, 小学校６年生</t>
  </si>
  <si>
    <t>取得するつもりはなかった, 取得しにくかった</t>
  </si>
  <si>
    <t>兄が中学生で、期末テスト前で勉強しないといけなかった。
だから、出かけることができなかった。なので、休みを取る意味がないと思った。</t>
  </si>
  <si>
    <t>来年度は、実施しないでほしい。</t>
  </si>
  <si>
    <t>ふれあいホリデーといって簡単に休めない。行事や参観日、懇談等に休みを優先したいので。</t>
  </si>
  <si>
    <t xml:space="preserve">わざわざ休みにしないでも土日に家族で、出かけている。
親は、仕事を休まないといけないし、色々と大変な気がした。
</t>
  </si>
  <si>
    <t>10月</t>
  </si>
  <si>
    <t>職場同僚も小学生、中学生の親。みんなが休むなんてことはできない。</t>
  </si>
  <si>
    <t>親が休みとれないのに意味があるのか疑問。結果、子供が1人で過ごすようになる。やめてほしい。</t>
  </si>
  <si>
    <t>市内一斉に行われたため同じ境遇の同僚も多く、自分だけが休みを申請するのは申し訳なく感じたから。</t>
  </si>
  <si>
    <t>実施がなくても良い</t>
  </si>
  <si>
    <t>小学校３年生, 小学校６年生</t>
  </si>
  <si>
    <t>金曜日休むと3連休になるため休めない</t>
  </si>
  <si>
    <t>仕事の休みがとりづらい。</t>
  </si>
  <si>
    <t>同月に既に参観日やマラソン大会などのために有給を利用していたため。</t>
  </si>
  <si>
    <t>学校の年間行事をみて時期を検討して頂きたい</t>
  </si>
  <si>
    <t>期末テスト前で三連休になっても出掛ける気にはならないし、親がいても意味がないと感じたから。</t>
  </si>
  <si>
    <t>学校の年間行事をよくみてから時期を決定して頂きたい</t>
  </si>
  <si>
    <t>家でゆっくり</t>
  </si>
  <si>
    <t>育児休業中</t>
  </si>
  <si>
    <t>平日は仕事があるので
なかなか休める親は少ないと思う</t>
  </si>
  <si>
    <t>未就学児, 小学校３年生, 小学校５年生</t>
  </si>
  <si>
    <t>学校の友達と遊んでいた</t>
  </si>
  <si>
    <t>取り組みを知らずに通常通りの仕事だった</t>
  </si>
  <si>
    <t>前月にお知らせが欲しい</t>
  </si>
  <si>
    <t>小学校１年生, 小学校４年生, 中学校１年生</t>
  </si>
  <si>
    <t>平日は仕事の為</t>
  </si>
  <si>
    <t>小学校３年生, 小学校５年生, 小学校６年生, 中学校卒業後</t>
  </si>
  <si>
    <t>いつもの休日と同じように過ごした。</t>
  </si>
  <si>
    <t>未就学児, 小学校２年生</t>
  </si>
  <si>
    <t>赤ちゃんがいるため、家でゆっくり過ごしました</t>
  </si>
  <si>
    <t>一緒に年末の大掃除をした。</t>
  </si>
  <si>
    <t>専業主婦だから。</t>
  </si>
  <si>
    <t>いつでもいい。</t>
  </si>
  <si>
    <t>毎回親が休みを取れない家庭の子供は学校の授業や友達とふれあいホリデーの話をした時など辛い気持ちになったりする事もあるではと思う。親が休みを取得しやすくなるような配慮も含めた上で実施してもらえるとありがたいです。</t>
  </si>
  <si>
    <t>同じようなお子様がおられる家庭が多い為、休みが取れなかった</t>
  </si>
  <si>
    <t>家族の時間を過ごしたい</t>
  </si>
  <si>
    <t>6月や9月行事ごとが少ない頃</t>
  </si>
  <si>
    <t>このような休みを作るのであれば、行事の少ない時ゃ、親の休みも取りやすいよう工夫していただきたい</t>
  </si>
  <si>
    <t>小学校１年生, 小学校６年生</t>
  </si>
  <si>
    <t>東京、横浜旅行</t>
  </si>
  <si>
    <t>旅行</t>
  </si>
  <si>
    <t>家族で県外に用事で出かけた</t>
  </si>
  <si>
    <t>私の職場は子育て中の方が多く、今回は私が休みを取りましたが、他の保護者の方は休みを取れないので、難しいと思いました。</t>
  </si>
  <si>
    <t>小学校４年生, 中学校１年生, 中学校卒業後</t>
  </si>
  <si>
    <t>ふれあいホリデーは必要ない</t>
  </si>
  <si>
    <t>お昼ご飯を食べに出かけた以外は自宅</t>
  </si>
  <si>
    <t>期末テストに向けての学習を見守った</t>
  </si>
  <si>
    <t>仕事をしていない</t>
  </si>
  <si>
    <t>USJに行った</t>
  </si>
  <si>
    <t>またUSJへ行きたい</t>
  </si>
  <si>
    <t>小学校２年生, 小学校３年生</t>
  </si>
  <si>
    <t>ショッピングモールにいった</t>
  </si>
  <si>
    <t>祝日やイベント（参観日や運動会など）がないとき</t>
  </si>
  <si>
    <t>土日、祝日、夏休み、冬休み、春休みと休みがいっぱいあるのに…
仕事の休みが取れる人はいいが、取れない人にとっては大変。休みがとれた家庭は楽しめるが、取れなかった家庭はどうなるんでしょうか…子どもに、さみしい思いさせるくらいならふれあいホリデーは必要ないです。土日とかにちゃんとふれあってるから。今後はないほうがいいと思った。</t>
  </si>
  <si>
    <t>他にも必要な休みを取得した為</t>
  </si>
  <si>
    <t>小学校５年生, 中学校３年生</t>
  </si>
  <si>
    <t>買い物をした</t>
  </si>
  <si>
    <t>家族で出かけたい</t>
  </si>
  <si>
    <t>買い物にでかけたり、外食をした</t>
  </si>
  <si>
    <t>知らなくて勤務にしていた。職場の人が教えてくれたので、有休を使った。</t>
  </si>
  <si>
    <t>いつでも。</t>
  </si>
  <si>
    <t>数カ月前から、もっと大きく宣伝してほしい。</t>
  </si>
  <si>
    <t>自宅で勉強</t>
  </si>
  <si>
    <t>受験生の為、本人も勉強等する予定だった</t>
  </si>
  <si>
    <t>特に変わりなし</t>
  </si>
  <si>
    <t>小学生まではあってもいいと思うが、中学生はなかなか難しくなってくる時期だと思う。
職場によっては、土日も含め、なかなか休みもとれない所もあると思う。</t>
  </si>
  <si>
    <t>業務多忙で取得できなかった, 取得するつもりはなかった</t>
  </si>
  <si>
    <t>そのために休みを取ろうとは思わないから。</t>
  </si>
  <si>
    <t>子供が望めば考える</t>
  </si>
  <si>
    <t>単身赴任中の父親のいる神戸市まで車で出かけ、家族で一緒に過ごした。</t>
  </si>
  <si>
    <t>今回、同じ月に参観日やマラソン大会など行事が重なっており休暇が取りにくかった。
体験などする気がある家庭は、わざわざ平日休みにしなくてもすると思う。休暇が簡単に取得できる職場ばかりではないので、同じ月に行事をいくつも入れないで欲しい！もう少し家庭への理解をしてほしい。</t>
  </si>
  <si>
    <t>買い物等</t>
  </si>
  <si>
    <t>小学校１年生, 小学校２年生</t>
  </si>
  <si>
    <t>今年のように早めに日程がわかると親の休みも取りやすいです。とてもありがたい休みでした。</t>
  </si>
  <si>
    <t>未就学児, 小学校４年生, 小学校６年生</t>
  </si>
  <si>
    <t>未就学児, 小学校１年生, 小学校３年生</t>
  </si>
  <si>
    <t>七五三</t>
  </si>
  <si>
    <t>小学校１年生, 小学校３年生, 中学校２年生, 中学校３年生</t>
  </si>
  <si>
    <t>取得しにくかった, 参観日、マラソン大会、給食センター見学と、行事が多い中どこを優先するかという点で休みが取れない</t>
  </si>
  <si>
    <t>上記の通り。休みを取りたくても取れない。</t>
  </si>
  <si>
    <t>過ごし方というよりはその日をどこにするかよく考えて欲しい</t>
  </si>
  <si>
    <t>人に会いに行った</t>
  </si>
  <si>
    <t>テスト前だと主旨にはそぐわないので外す配慮が必要では？</t>
  </si>
  <si>
    <t xml:space="preserve">取得しにくかった, </t>
  </si>
  <si>
    <t>取得しにくいほど行事が多い</t>
  </si>
  <si>
    <t>日程を考えてほしい</t>
  </si>
  <si>
    <t>土曜日授業して平日を振替休日にする意味もわからない。
それなら土曜日普通に休みでいいと思うし、ファミリーホリデーを謳うならば家族で過ごしやすい環境を作るべきで、土曜日を学校にしなければいい話だと思う。平日が休みの方も別にその日だから取れる訳でもないと思う。
ファミリーホリデーをしたいのであれば、祝日のような環境にして欲しい。
そして平日は一日中がっつり休み、土曜日は半日授業でもないような学校があるならば本当に土曜日の学校はいらないと思う。</t>
  </si>
  <si>
    <t>有休もなければ、お金もない。
しかも、多忙期に休みにくい。
1万円でもいただけたら、休もうかな？と考えたと思います。</t>
  </si>
  <si>
    <t>分からない</t>
  </si>
  <si>
    <t>1万円でもいただけたら、休もう！って考えます。
子どもとの時間はすごく大切ですが、お金・有休のない我が家にとって、休もう！とは思わない。</t>
  </si>
  <si>
    <t>業務多忙で取得できなかった, 自営業だから</t>
  </si>
  <si>
    <t>サントリー天然水奥大山ブナの森工場</t>
  </si>
  <si>
    <t>このたびは学校の代休と同じ週だったため、家族みんなで過ごすことは難しかった。休みが中々取りにくい。来年度は休みのことも考えていただきたいです。</t>
  </si>
  <si>
    <t>他にも休まないといけない日が多いから</t>
  </si>
  <si>
    <t>いらない</t>
  </si>
  <si>
    <t>他にも祝日など多いのでいらない</t>
  </si>
  <si>
    <t>ふれあいホリデーのための体験活動を提供する側だったので、我が子は留守番でよその子のための行事をする仕事があったため。また、音楽会や参観日で休暇を取得していたため、休み過ぎになり仕事に影響するため。</t>
  </si>
  <si>
    <t>連休がない6月</t>
  </si>
  <si>
    <t>家族揃って休めない家庭も多いし、この日のために逆に仕事になる方もあると思います。
サービス業、学童、保育所、など。
また、小中学生の子供がいる家庭は強制的に休まなくてはいけない。という就業規則を労働法で定めるくらいにしていただくとか。
もう少し多様な方面から考えていただきたいです。
結果、子どもが留守番でゲームばかりしているようでは意味がありません。</t>
  </si>
  <si>
    <t>小学校６年生, 中学校１年生</t>
  </si>
  <si>
    <t>鳥取市へ買い物に行きました。</t>
  </si>
  <si>
    <t>職場が倉吉市内ではないため、周知されておらず休みが毎回取れるか不明</t>
  </si>
  <si>
    <t>友だちと過ごした</t>
  </si>
  <si>
    <t>土曜授業の振替で月曜日休み、同じ週で金曜日が休みだと休みが取りにくい。</t>
  </si>
  <si>
    <t>ドライブがてら西の方へ出掛けました。</t>
  </si>
  <si>
    <t>職場に小学生がいる方がいて、どちらかが休むことは言いにくかった。</t>
  </si>
  <si>
    <t>ふれあいホリデーはなくてもいいと思う。</t>
  </si>
  <si>
    <t>子供の趣味の鉄道を見に行った</t>
  </si>
  <si>
    <t xml:space="preserve">業務多忙で取得できなかった, 取得しにくかった, </t>
  </si>
  <si>
    <t>ふれあいホリデーという物を知らなかったし、職場に倉吉市市内の保護者が何人もおり、全員が休みを取ったら仕事が回らないため</t>
  </si>
  <si>
    <t>市内一斉にだと休みが取りにくいので、各学校で休みが被らない様にしてほしい</t>
  </si>
  <si>
    <t>友達家族と遊んで過ごした</t>
  </si>
  <si>
    <t>11月は学校行事が多く、有給が使いずらいので３学期か、１学期にしてほしい。</t>
  </si>
  <si>
    <t>家族みんなが休むにはなかなか難しい。我が家も父は仕事が休めなかったため、母１人で全員をみて、ふれあいホリデーといわれるとどこか連れていってあげたいと思うしなかなか大変だった。来年度以降は有給を取得しやすい状況にしてほしい。保育園は休みではないので、上の子だけ遊んで下の子は保育園という人も多かったので、これで家族のふれあいデーなのかと疑問に思った。</t>
  </si>
  <si>
    <t>家でゆっくり過ごした</t>
  </si>
  <si>
    <t>2日前に学校行事があり休暇を取っていたため、連続して取りにくかった</t>
  </si>
  <si>
    <t>平日はやはり休みにくいしその日の業務内容で取りにくい場合もある。秋は行事も多い。
それぞれ各家庭の休日に合わせて過ごせば良いと思う。</t>
  </si>
  <si>
    <t>連絡が急過ぎます　あまりにも乱暴な取り組みです！</t>
  </si>
  <si>
    <t>親も休みが取れる環境が設計出来てる前提で考えます</t>
  </si>
  <si>
    <t>時期関わらず親が休める環境の設計が出来てる前提です</t>
  </si>
  <si>
    <t>親が休める環境を設計した上で開催して欲しいです。告知も遅すぎる。</t>
  </si>
  <si>
    <t>職場が倉吉市以外だから。</t>
  </si>
  <si>
    <t>小学校１年生, 中学校２年生</t>
  </si>
  <si>
    <t>小学校１年生, 小学校３年生</t>
  </si>
  <si>
    <t>平日に仕事の休みを取るのは難しいこともあり、学校を休みにしたので親も各自休みを取ってくださいというのは少し無理がある企画だと思いました。
結局、学童に行ってもらうしかなく子供達も逆に少し寂しい思いをしたようです。</t>
  </si>
  <si>
    <t>小学校１年生, 小学校４年生</t>
  </si>
  <si>
    <t>小学校２年生, 小学校４年生</t>
  </si>
  <si>
    <t>2月</t>
  </si>
  <si>
    <t>小学校２年生, 小学校４年生, 小学校６年生</t>
  </si>
  <si>
    <t>取得するつもりはありましたが、リモート研修が重なっていて研修を欠席してまで取得するのは難しかったです。</t>
  </si>
  <si>
    <t>公立学校勤務だが、年度初めには体験的休業日に研修が入っていたため、県や市の取り組みであるならば、足並みをできる限りは揃えて研修や会議をその日に設定しないでほしかった。
他の友達は旅行に行ったり親子で過ごすと聞くと、我が子の心中を思って申し訳なかった。</t>
  </si>
  <si>
    <t>職場で推奨されたが取得しなかった, 取得するつもりはなかった</t>
  </si>
  <si>
    <t>世間に浸透していないというか、倉吉市だけ？されても、職場は他県の方もおられるし、他県にはそのような子供たちの休暇はなく、もっと全国的に徹底されていて、各会社で対応していれば、気兼ねなく休めるのではないかなと思いました。
年に5日は有給消化しないといけないのでそこにあてるとか会社の理解もないとなかなか休むことが難しい方もおられると思います。</t>
  </si>
  <si>
    <t>体験にとりくめるかはわからないけど、休めるのであれば、子供たちと一緒に過ごすのはいいなぁと思います。</t>
  </si>
  <si>
    <t>理解度をあげる取り組みに力をいれてもらえたらいいかなと思います。
でも子持ちの方々が一斉に休暇をとるとなると会社が１日機能しないということも起こってくると思うのでそこらへんの問題の対策もしっかり整えて欲しいです。</t>
  </si>
  <si>
    <t>上司がこの制度を全く知らず職場の理解がない。また私のシフトもこの通知が来る前に決まっており休みを変更するのが難しかった。</t>
  </si>
  <si>
    <t>倉吉全体（特に職場）にこの取り組みを周知してほしい。いくら取組がされても、上司が休みを勧めてくれないと休みがとれない。結局我が家は息子が1人家で過ごし、逆に可哀想でした。休みが取れない親はお昼ご飯を用意しなくてはいけないし学校で給食が食べれた方が良かったとなってしまう。</t>
  </si>
  <si>
    <t>休日ではないから。</t>
  </si>
  <si>
    <t>祝日にして会社やお店が休みにならない限り体験等には取り組めない。</t>
  </si>
  <si>
    <t>新しく祝日を作る。</t>
  </si>
  <si>
    <t>仕事を休めないから、結局はどこかしらの施設にお世話になるので我が家にとっては意味がなかったです。仕事前に子供のお弁当を作らないといけないだけ忙しいし損した気分でした。</t>
  </si>
  <si>
    <t>小学校６年生, 中学校１年生, 中学校３年生</t>
  </si>
  <si>
    <t>一緒に出来るゲームをした</t>
  </si>
  <si>
    <t>どちらでも</t>
  </si>
  <si>
    <t>小中学校は休みでも、対象の子どもを持つ親が休みではないという、矛盾点が大きな疑問です。家族のふれあいのためというのであれば、対象の子どもを持つ社員には休暇を取らせるよう企業に通達するという所まで、市、県に対応して頂きたかった。学校が休みになる事で休みを取れない家庭は、昼食の準備や学童への送迎が増え、休みを取れた家庭でも、なかなか言いにくい会社でも休みを申請しなければならない、という負担を多く聞いた。来年度、実施するのであれば、そこも保証して頂きたい。</t>
  </si>
  <si>
    <t>小学校１年生, 中学校卒業後</t>
  </si>
  <si>
    <t>業務多忙で取得できなかった, ふれあいホリデーのことを忘れていた</t>
  </si>
  <si>
    <t>目的が認知されていけば、それに合わせて休暇を取得できる親が増えていくと思います。</t>
  </si>
  <si>
    <t>ふれあいホリデーにするのであれば、倉吉全体を休みにしない限り、休める人は限りなく少ない。休みたくても仕事が休めない人は沢山いるはず。</t>
  </si>
  <si>
    <t>休めないし、急な休みに困惑するし正直迷惑。</t>
  </si>
  <si>
    <t>休みが取れやすい県にしてから実施すべき。
休めるのは教師や公務員だけなのでは。</t>
  </si>
  <si>
    <t>県外に旅行に出掛けた</t>
  </si>
  <si>
    <t>休暇が取得し難い職種や職場もあるため実施については慎重に検討するべきだと思う。</t>
  </si>
  <si>
    <t>食事と温泉</t>
  </si>
  <si>
    <t>小学校１年生, 小学校６年生, 中学校２年生</t>
  </si>
  <si>
    <t>買い物に行った</t>
  </si>
  <si>
    <t>無くてもよいと思う</t>
  </si>
  <si>
    <t>今年は休みを取れたが、実際のところなかなか休みを取れないことのほうが多い。ふれあいホリデーの意味、目的がよくわからない。</t>
  </si>
  <si>
    <t>小学校３年生, 小学校６年生, 中学校２年生</t>
  </si>
  <si>
    <t>家でゆっくりすごす、ティータイムの充実</t>
  </si>
  <si>
    <t>カラオケに行きました。外食しました。</t>
  </si>
  <si>
    <t>イベントもっと企画して欲しい</t>
  </si>
  <si>
    <t>池田動物園に行きました。</t>
  </si>
  <si>
    <t>病院を受診した、家でゆっくりした</t>
  </si>
  <si>
    <t>実施しないでほしい。</t>
  </si>
  <si>
    <t>子どもは休みでも、親は仕事です。休みが取りづらく、学童も開所しなかったので困りました。午前中は母が休みを取り、午後は祖父にお願いしました。ふれあいのための休日を新たに設けるのではなく、参観日の日の学級懇談をなくして親も早く家に帰れるようにしたり、PTAの活動や夜の会をもっと減らしたりするなどはどうでしょうか。なので、ふれあいホリデーの来年度の実施はやめてほしいです。</t>
  </si>
  <si>
    <t>業務多忙で取得できなかった, 取得するつもりはなかった, 取得しにくかった</t>
  </si>
  <si>
    <t>社員数が少ない、業務多忙、ほかの日に休暇取得を考えているため</t>
  </si>
  <si>
    <t>保護者への通知が遅い</t>
  </si>
  <si>
    <t>倉吉市のみの試みで企業側はふれあいホリデーを知らないので休日の申請をしにくかったのと有給休暇が少ないので特別休暇等がないと休みを取りにくいです。また、企業側への働きかけをして、ふれあいホリデーの認知度をある程度を高めてから実施していただくと休暇を取りやすくなると思います。</t>
  </si>
  <si>
    <t>休暇中だから</t>
  </si>
  <si>
    <t>金曜日は仕事休めれないので、放課後児童クラブになってしまう</t>
  </si>
  <si>
    <t>カラオケ</t>
  </si>
  <si>
    <t>ただ一緒に家にいた。</t>
  </si>
  <si>
    <t>他の行事等で取得することが多々あるから</t>
  </si>
  <si>
    <t>必要性を感じない</t>
  </si>
  <si>
    <t>半日はボランティア活動に三男</t>
  </si>
  <si>
    <t>対象外</t>
  </si>
  <si>
    <t>いつもの休日と同じで家で自由に過ごした。</t>
  </si>
  <si>
    <t>実施が必要なのかまだわからない</t>
  </si>
  <si>
    <t>そもそも平日なので仕事をしている人は休めないし休みづらい。今後も実施するなら企業側自体を休日にするべきだと思います。中学生になると親と一緒に過ごしたがらないので結局はただの三連休の感覚と同じで各々が好きに過ごすので、ふれあいホリデーの必要性をあまり感じない。</t>
  </si>
  <si>
    <t>何もせずただ家にいた</t>
  </si>
  <si>
    <t>特に必要ないと思う</t>
  </si>
  <si>
    <t>小学校４年生, 中学校２年生, 中学校卒業後</t>
  </si>
  <si>
    <t>カラオケに行きました。</t>
  </si>
  <si>
    <t>６月</t>
  </si>
  <si>
    <t>11月は祝日が多いので、祝日のない６月に連休が欲しいなと思います。</t>
  </si>
  <si>
    <t>商業施設へ行った</t>
  </si>
  <si>
    <t>来年は実施しなくてよい</t>
  </si>
  <si>
    <t>休日には子供達と一緒に過ごしているのにわざわざ平日に有休を取得して過ごす必要はないと感じた。職場自体も忙しく有休も取りづらい。</t>
  </si>
  <si>
    <t>円形劇場に行き、昼食を食べて帰った</t>
  </si>
  <si>
    <t>7月　夏休み前</t>
  </si>
  <si>
    <t>小学校４年生, 中学校１年生, 中学校２年生</t>
  </si>
  <si>
    <t>家族で出掛けた</t>
  </si>
  <si>
    <t>レゴで遊んだ</t>
  </si>
  <si>
    <t>その日に仕事を休むと別の休日が出勤日になるから</t>
  </si>
  <si>
    <t>子供だけ休日になると育児がとても困るので、親もも仕事を休める休日にしてほしい。</t>
  </si>
  <si>
    <t>職場で推奨されたが取得しなかった</t>
  </si>
  <si>
    <t>風邪をひいてしまったので、ゆっくり過ごしました</t>
  </si>
  <si>
    <t>年に2回実施してほしい</t>
  </si>
  <si>
    <t>小学校２年生, 小学校５年生</t>
  </si>
  <si>
    <t>職場には自分以外にも倉吉市の子供がいる人達がたくさんいる中で、自分だけ休みを取りづらい。</t>
  </si>
  <si>
    <t>時期がいつであろうと職場の理解がないと休暇は取りづらい</t>
  </si>
  <si>
    <t>まず、倉吉市の小中学生の子供がいる家庭以外の人はふれあいホリデーの存在を知らなかった。そのため職場の理解もなかなか得られないし、もちろん休暇取得の推奨もされない。子供達は家で一日中ゲームをして過ごし、一体ふれあいホリデーとは何なのか疑問に思う。倉吉市の小中学校が一斉に休日となったため、余計に休暇が取りにくい。例えば学校ごとにふれあいホリデーの日程を決め、休日をずらせばもう少し休暇も取りやすくなるのではないかと思う。今の状況ではふれあいホリデーは必要ありません。</t>
  </si>
  <si>
    <t>１月、２月</t>
  </si>
  <si>
    <t>未就学児, 小学校３年生, 中学校２年生</t>
  </si>
  <si>
    <t>学童クラブに勤務していたら取得は難しい</t>
  </si>
  <si>
    <t>親は日常内外の用事をし，子は家庭内で過ごしていた。帰ってからは休養をとりお互いリラックスして過ごせた。</t>
  </si>
  <si>
    <t>もう少し早い時期，もしくは，春</t>
  </si>
  <si>
    <t>土日に重なった祭日に，休みがプラスされてありがたかった。ただ，家族皆の休みとはならなかったため、中々望む過ごし方はできなかった。　子供の年齢があがると一緒に，も難しくなる。</t>
  </si>
  <si>
    <t>神戸へ一泊二日の旅行に行った</t>
  </si>
  <si>
    <t>平日休みは出かけやすいのでうちはありがたい。</t>
  </si>
  <si>
    <t>ご飯をたべにいった</t>
  </si>
  <si>
    <t>小学校２年生, 中学校２年生, 中学校卒業後</t>
  </si>
  <si>
    <t>同じ週に既に参観日で休みを取得していたから</t>
  </si>
  <si>
    <t>6月か9月</t>
  </si>
  <si>
    <t>サービス業等シフト制の人は休みを続けて取得しにくいと思う。時期を固定するなら学校側の配慮も必要。</t>
  </si>
  <si>
    <t>テスト期間中だったので 出かけず 家で過ごしました。</t>
  </si>
  <si>
    <t>小学校５年生, 中学校１年生, 中学校３年生</t>
  </si>
  <si>
    <t>繁盛期です。休めば他の人の負担が増える。
他の日に持ち込める仕事内容ではない。</t>
  </si>
  <si>
    <t>自宅で過ごす。</t>
  </si>
  <si>
    <t>夏休み等の長期休暇時に実施</t>
  </si>
  <si>
    <t>すでに来年度実施の決定を新聞で知りました。
実施決定なのにアンケートする意味がわかりません。
中学生は、期末テスト前の部停期間中でした。この期間にするのはありえない。
その日に休める休めないは仕事内容によると考えます。他の県で実施されている平日に休んでも欠席扱いにならない日が数日ある方が、土日祝、お盆、正月、繁盛期は休めない仕事をされてる方にはいいと思います。</t>
  </si>
  <si>
    <t>ゆっくりした</t>
  </si>
  <si>
    <t>他の日に休みがほしいので</t>
  </si>
  <si>
    <t>外食</t>
  </si>
  <si>
    <t>出張だったため</t>
  </si>
  <si>
    <t>理由もないのに休めないから</t>
  </si>
  <si>
    <t>なくてよい</t>
  </si>
  <si>
    <t>友達と過ごした</t>
  </si>
  <si>
    <t>期末試験前だったので、子どもは家で勉強したりゆっくり過ごしていました。親自身も有給休暇を取得し家事などをしてました。
お昼ご飯を一緒に食べてたわいもない日常会話をした程度でしたが、リラックスしてる様子でした。</t>
  </si>
  <si>
    <t>仕事なので</t>
  </si>
  <si>
    <t>どこであっても同じ</t>
  </si>
  <si>
    <t>子どもだけが休みになっても保護者が休めるわけでもなく無理に休みをつくらなくてもいいような気がする。
やるなら社会的にアピールして職場で休みやすい環境にしていかないといけないと思う。</t>
  </si>
  <si>
    <t>友達と過した</t>
  </si>
  <si>
    <t>他の方も同じ条件の中、自分1人休む訳いかない</t>
  </si>
  <si>
    <t>市内一斉休校にするのではなく、日にちをずらしてほしい</t>
  </si>
  <si>
    <t>同日に休暇を取得する職員が複数いた。また、我が子は中学生なので1人でも過ごすことができる。</t>
  </si>
  <si>
    <t>土日祝日</t>
  </si>
  <si>
    <t>小学校４年生, 中学校３年生</t>
  </si>
  <si>
    <t>中学校３年生, 中学校卒業後</t>
  </si>
  <si>
    <t>ボランティアに参加した</t>
  </si>
  <si>
    <t>子供が大きくなったため、親子で参加したいと子供は思ってないと思います</t>
  </si>
  <si>
    <t>実施自体を再考して欲しい</t>
  </si>
  <si>
    <t>休める職場は少なく、逆に働く親の負担になっていると思います</t>
  </si>
  <si>
    <t>小学校４年生, 小学校６年生, 中学校２年生</t>
  </si>
  <si>
    <t>なくてもよい。各家庭の状況が、異なるため平等にできないことなので、ない方がいいです。</t>
  </si>
  <si>
    <t>できない家庭の子の落胆、悲しみを間近で見て、切ない気持ちになりました。行事予定表にふれあいホリデーと書いてあるのに学童に行くとか、親も罪悪感を抱きます。平等な実施状況でないなら、実施できている側も楽しめません。来年度もしようと本気でお考えなら、ほぼ強制で親が休暇取得できる環境、職場の空気感を整備しないと賛同できません。できるように企業にお願いするレベルでは何も変わりません。</t>
  </si>
  <si>
    <t>小学校３年生, 小学校５年生, 中学校３年生</t>
  </si>
  <si>
    <t>放課後児童クラブ、祖母預け</t>
  </si>
  <si>
    <t>業務多忙で取得できなかった, ふれあいホリデーと同じ週にマラソン大会、学習参観＆学年懇談（ 次年度役員決め）があり休暇を取ったため、休暇取得が難しかった</t>
  </si>
  <si>
    <t>いつでも良いが、学校行事を調整して欲しい</t>
  </si>
  <si>
    <t>あまり必要性を感じていない。</t>
  </si>
  <si>
    <t>小学校２年生, 小学校４年生, 中学校１年生</t>
  </si>
  <si>
    <t>行事が立て続けにあってからのふれあいホリデーで連続して休暇をとることはできない</t>
  </si>
  <si>
    <t>子どもがいる家庭がみんな休みを取得したら、業務がまわらないし、私立に通う子は休みではないから</t>
  </si>
  <si>
    <t>行事のボランティアに参加</t>
  </si>
  <si>
    <t>他の保護者も一緒に少人数の会社で働いているため、自分1人このために休めない。かといってみんな休むと営業できない。</t>
  </si>
  <si>
    <t>小学校４年生, 中学校１年生, 中学校３年生, 中学校卒業後</t>
  </si>
  <si>
    <t>特に奨励されていない</t>
  </si>
  <si>
    <t>中学生は期末テスト前に子供達だけの休みとなり、商業施設にたむろしていたと近所の方々から聞いた。ホリデーを家庭学習に使う子はまだ良いが、ふれあいの趣旨とは異なる。学期末のテスト期間に、体験活動に出かけることを推奨する方がおかしい。倉吉市に勤務していないためか推奨は無かった。推奨無く休みをとることは難しい。</t>
  </si>
  <si>
    <t>親が休めないので、子供は必要がないと言っている。
県全体で祝日扱いくらいに大々的にしてもらえたら休みやすい。ゴールデンウィーク期間中に中部や鳥取県一斉に休みにするなら、職場の理解も得られやすいかもしれない。</t>
  </si>
  <si>
    <t>友達も一緒にお昼ごはんを食べて、パータンに遊びに行った。</t>
  </si>
  <si>
    <t>今回は学校が休みなのが数日前に分かったので、半日休みがとることができました。もう少し早く気がついていれば、他に計画を立てれたかなと思いました。早めにマチコミなどで知らせてもらえたら助かります。</t>
  </si>
  <si>
    <t>仕事が忙しく休みの届けがだしにくかった為</t>
  </si>
  <si>
    <t>買い物にでかけた</t>
  </si>
  <si>
    <t>未就学児, 小学校５年生</t>
  </si>
  <si>
    <t>こども園や小学校行事が多く、すでに休みを多く取らせていただいていたので休みにくかった。会社側がふれあいホリデーを知らなかったから。</t>
  </si>
  <si>
    <t>行事が少ない1学期中</t>
  </si>
  <si>
    <t>各企業に周知の徹底、又は休暇を取れるように促していただきたい。</t>
  </si>
  <si>
    <t>市外の病院への通院</t>
  </si>
  <si>
    <t>親子でゆっくり過ごしたい</t>
  </si>
  <si>
    <t>小学校４年生, 中学校１年生, 中学校３年生</t>
  </si>
  <si>
    <t>20日に小学校マラソン大会と中学校の中文祭があるためお休みをとり、21日は小学校の参観日だったため午後休を取得。
行事の多い週だったため、連日休みをとりにくく休まなかった。</t>
  </si>
  <si>
    <t>ふれあいホリデーというものを理解していなかった。またなぜ休みになっていたのか理解していなかった。</t>
  </si>
  <si>
    <t>自宅でゆっくり過ごしながら、午後から温泉に行き一日を有意義に過ごせました。</t>
  </si>
  <si>
    <t>公園であそんだ</t>
  </si>
  <si>
    <t>小学校２年生, 小学校５年生, 中学校２年生</t>
  </si>
  <si>
    <t>こどもによってバラバラで、1人は児童クラブ、1人は祖母宅に預け、1人は子どもだけで過ごした。</t>
  </si>
  <si>
    <t>市外の学校勤務であり、通常の稼業日のため、教員不足で代わりを頼めない。休暇をとる選択肢などない。</t>
  </si>
  <si>
    <t>いつでもよいが、せめて県内の学校で揃えてほしい</t>
  </si>
  <si>
    <t>ふれあいホリデーとして成立させるために休暇の取得を勧めるのであれば、まずは学校現場から整えていくべきだと思います。倉吉市だけで実施しても倉吉市の教職員と休暇取得が可能なお仕事をされている方だけが成立可能な活動となってしまいます。県レベルで実施し、保護者だけでなく、各企業等にも周知し働きかけをしないと成立しないと思います。それでも難しいご家庭もあると思います。
結局、両親ともお仕事で預け先がない場合、子どもは子どもだけで過ごすことになり、メディア三昧になってしまいます。本末転倒です。ふれあいホリデーが成立したご家庭の意見だけで、それができなかったご家庭の意見も充分参考にしてください。</t>
  </si>
  <si>
    <t>勤務日なら、休みはとれないので、子供達だけで過ごすことになるとおもいます。</t>
  </si>
  <si>
    <t>いつされても、休みはとれない</t>
  </si>
  <si>
    <t>会社には認知されてない、自分自身も有給を取ってまでして子どもと過ごす日だという認識もなかった</t>
  </si>
  <si>
    <t>卒業するのでわからない</t>
  </si>
  <si>
    <t>関金図書館の謎解きイベント</t>
  </si>
  <si>
    <t>半日勤務だった</t>
  </si>
  <si>
    <t>金曜日の前日、前々日に小学校の行事で休みを取っていたのでさすがに金曜まで休み希望を出すことは難しかったため。</t>
  </si>
  <si>
    <t>学校行事が少ない月</t>
  </si>
  <si>
    <t>土日休みの職場ではないので毎回休み希望を出しています。ふれあいホリデーがあることでそこで休み希望を出すと他で休み希望を出すのが他の職場の人に気を遣います、特に独身の方に理解を得るのが難しいです。特に11月は行事が多いのであまり行事のない月にしてもらえると助かります。</t>
  </si>
  <si>
    <t>各々が好きな事をした</t>
  </si>
  <si>
    <t>休日</t>
  </si>
  <si>
    <t>有休もとらせてもらえないような人は大変だろうなと思った</t>
  </si>
  <si>
    <t>11月上旬</t>
  </si>
  <si>
    <t>交替勤務では、1カ月の勤務が決まってしまうため2カ月前くらいに分かれば休みをとりやすいです。</t>
  </si>
  <si>
    <t>子供が大きいから仕事休みますとは言いにくい</t>
  </si>
  <si>
    <t>ふれあいホリデーを作るなら親も休みにするべき</t>
  </si>
  <si>
    <t>ふれあいホリデーを作るなら親も休みにするべき。平日は困ります。中学生になると子供が大きいからふれあう為に仕事休みますとは言いにくい。</t>
  </si>
  <si>
    <t>一緒にお昼ご飯を食べた。期末試験前だったので、勉強をみてやった</t>
  </si>
  <si>
    <t>城崎マリンワールドに行った。</t>
  </si>
  <si>
    <t>旅行に行く。</t>
  </si>
  <si>
    <t>暑い時期（7.8.9.10月）や寒すぎる時期はやめてほしい。出かけにくい。</t>
  </si>
  <si>
    <t>友達と遊んだ</t>
  </si>
  <si>
    <t>他の方が休みの予定にしていたので
休みづらい。
2名以上休みになると業務に支障がでるから。</t>
  </si>
  <si>
    <t>企業にも休日にするよう働きかける必要があると思う。
子育て世帯全員が休むことは不可能だと思う。</t>
  </si>
  <si>
    <t>小学校４年生, 中学校３年生, 中学校卒業後</t>
  </si>
  <si>
    <t>普段の休日と変わらない過ごし方でした。</t>
  </si>
  <si>
    <t>小学校５年生, 中学校３年生, 中学校卒業後</t>
  </si>
  <si>
    <t>家族全員で県外旅行をした</t>
  </si>
  <si>
    <t>小学校６年生, 中学校３年生, 中学校卒業後</t>
  </si>
  <si>
    <t>実施地域の子どものいる家庭が一斉に休暇をとることができる環境を整えてから実施してください。
家庭、企業に通達だけで実施できるような簡単なことではない。
職場の対象学年の子供がいない人、実施地域外に居住で職場が実施地域にある子育て世帯の人、等の方々への配慮をしながら会社の半分以上の人が有給取得できる状況を実現できる会社があれば転職したい。
休みたいですの一言で休めれるような仕事内容ではないから、責任感のある大人はより休みづらい。自身の有給取得や、参観日や、学校行事の時は事前に残業したり、しんどい思いしてなんとか時間を作ってる事を理解してほしい。
ふれあいの時間は欲しいが、
中学生ともなると、友達同士で勝手に遊びに行っていた。
ただでさえ思春期でこじらせつつあるのに、非行に走るのを助長させるだけになっていないか疑問だ。
今回の休みは学校の先生たちへの働き方改革かもしれないが、うちの職場では非常に評判が悪かった。誰得？って声も多数聞かれた。
発案の方々は簡単に実施できると考えていらっしゃるようですが、労働をして税金を納めている立場からすると、熟考して実施すべきだ。
私が実施して欲しいと考える案は、
子供に有給みたいな制度を作って、病欠で使わず年2日ほど休んでもいいような日があると嬉しい。
私も子供との残り少ない時間を有意義に使いたい。
親と休みを合わせて、旅行に行ったり、楽しい思い出を作る時間が欲しい。
学校は年に何回か振替休日があったりするが、基本的には休むべきではないと言う風潮が強いと思うので、ふれあい休み、お楽しみ休みはあると嬉しい。</t>
  </si>
  <si>
    <t>問４-２に提案している。</t>
  </si>
  <si>
    <t>問４-２に回答している。</t>
  </si>
  <si>
    <t>子どもが風邪をひいて体調を崩していたので、病院に行ったりしていた。元気だったら、仕事の休みをもらってどこかに行けたらと思っていた。</t>
  </si>
  <si>
    <t>高校生になるので今と状況が変わっていそうでわからない。</t>
  </si>
  <si>
    <t>ふれあいホリデーを実施した目的などを把握していなかったので、ちゃんと知っておくべきだったと思った。</t>
  </si>
  <si>
    <t>いつもと同じ感じで</t>
  </si>
  <si>
    <t>働いていない</t>
  </si>
  <si>
    <t>押し花でしおりを作る</t>
  </si>
  <si>
    <t>冬休みか夏休みをこの一日分増やしてもらった方が子どもにとっていいと思います</t>
  </si>
  <si>
    <t>今回のふれあいホリデーの意図は有給消化の少ない教員に有給消化を推進するための休みとの事で、そうであればそのままその理由を提示して休みとした方がこちらとしても印象がいいです。周りの保護者の方ともお話しましたが、ふれあいホリデーとうたってますが、実際には親は平日なので仕事を休み取らないといけないですし、取れない親もいるはずです。するのであるば参観日などで親子のふれあいを目的とした取り組みをしてもらった方がいいと思います。</t>
  </si>
  <si>
    <t>必要なし</t>
  </si>
  <si>
    <t>我が家は下の子が中学生なので子どもたちの好きに過ごせますが、小学校低学年のお子さんをお持ちの仕事の休みもなかなか取れない保護者の方にはかなりの負担だろうなと思いました。
そして体験できた親子がいる一方で、体験させてやりたいけどさせてあげることのできない親子も少なからずおられたのでは。その親子の気持ちを考えるとこの様なお休みになんの意味があるのか。と思いました。</t>
  </si>
  <si>
    <t>会社に自分から言いにくいので、取り組みを市の方から周知できるようにしてもらえるとありがたい</t>
  </si>
  <si>
    <t>未就学児, 小学校２年生, 小学校４年生</t>
  </si>
  <si>
    <t>自宅でカードゲーム</t>
  </si>
  <si>
    <t>未就学児, 小学校３年生, 中学校３年生</t>
  </si>
  <si>
    <t>ふれあいホリデーが仕事を休む理由にはならなかったから。誰も休んでいなかった。</t>
  </si>
  <si>
    <t>今の状態では子供だけが休みで、給食が出ない、ただお弁当を作らないといけない負担だけが増えただけだった。</t>
  </si>
  <si>
    <t>他の職員が何人か取得希望があり、職員の休みが多くなると仕事がまわらないため。</t>
  </si>
  <si>
    <t>実施しないくてよいと思う。</t>
  </si>
  <si>
    <t>保護者が皆休めたらよいが、職場によっては、休暇をとれない、とりにくいところがあると思うので、実施することは賛成できない。</t>
  </si>
  <si>
    <t>汽車で鳥取市に行き100円バスに乗りました</t>
  </si>
  <si>
    <t>大型連休などはさけて、秋の暖かい時期　寒い、天候が不安定などは出かけにくい</t>
  </si>
  <si>
    <t>この取り組みは必要ない</t>
  </si>
  <si>
    <t>お家でゆっくり過ごしました</t>
  </si>
  <si>
    <t>残っている有給休暇は、ほとんど予定が入っているため消化予定。急用に備えて残しておきたいのでここで使うわけにはいかない。</t>
  </si>
  <si>
    <t>同日にホリデーとするのではなく、申請して各家庭で自由な時に家族休暇を取れる仕組みにしてはどうか</t>
  </si>
  <si>
    <t>小学校１年生, 小学校５年生</t>
  </si>
  <si>
    <t>図書館で行われたイベントに参加</t>
  </si>
  <si>
    <t>会社や、市の企業にも周知してもらえたら休みを取りやすいです。</t>
  </si>
  <si>
    <t>残りの有給休暇はほとんど予定が決まっている。急な用事に備えて少しは残しておきたいのでここで使うわけにいかない。</t>
  </si>
  <si>
    <t>するなら、各家庭で自由に取得できる仕組みにしてほしい。必ずしも決められた日に休める親ばかりではない。また、イベントや学童等を企画したとしても、そのイベントスタッフや学童の職員などは休めないのではないか。皆が一緒に、というのは働き方が多様化している中で難しいと思う。</t>
  </si>
  <si>
    <t>祝祭日がなく過ごしやすい季節である6月</t>
  </si>
  <si>
    <t>そもそも必要かどうかが疑問である。職場の事情で休むわけにもいかず、休めなければふれあいもなにもない。もっと効力のある行事(県民の日で休みであるなど)にならなければ参加もできない。</t>
  </si>
  <si>
    <t>小学校５年生, 中学校１年生, 中学校卒業後</t>
  </si>
  <si>
    <t>普段の休日と同様
昼食に外食を楽しんだ
上の子は午後から友達と出かけていった</t>
  </si>
  <si>
    <t>今年度は子供達の期末テストの範囲が配られた時期と被ったので、それ以外の時期がよい</t>
  </si>
  <si>
    <t>休めない保護者が多く、有意義な取り組みとはいえないと思った</t>
  </si>
  <si>
    <t>チラシ等案内はありましたが、趣旨をよく理解できていませんでした。元々業務多忙で、指定された日に合わせて休暇を取得することが難しいです。</t>
  </si>
  <si>
    <t>イオンに行った</t>
  </si>
  <si>
    <t>育児中</t>
  </si>
  <si>
    <t>おばに、勉強教えてもらい、昼食は、祖父母を誘い、外食して過ごした。</t>
  </si>
  <si>
    <t>今回、休みがテスト前であり、旅行の予定たてていたが、本人以降で中止した経緯あり。次回は、テスト前でなければ、ありがたい。</t>
  </si>
  <si>
    <t>１１月同時期でもよいが、テスト前は避けてほしい。</t>
  </si>
  <si>
    <t>ボランティア参加</t>
  </si>
  <si>
    <t>しなくてよい</t>
  </si>
  <si>
    <t>小学校６年生, 中学校卒業後</t>
  </si>
  <si>
    <t>休めない</t>
  </si>
  <si>
    <t>なんの休みなのかよくわからない。
有給休暇ではなく特別休暇だとうれしいです</t>
  </si>
  <si>
    <t>図書館謎解きイベント</t>
  </si>
  <si>
    <t>育休</t>
  </si>
  <si>
    <t>午前中はコミュニティの催しに参加し兄弟仲良く過ごしていた</t>
  </si>
  <si>
    <t>職場も親の私たちもふれあいディの意味がイマイチ分かっていなかった</t>
  </si>
  <si>
    <t>時期は、よく考えてみます</t>
  </si>
  <si>
    <t>子供だけ休みでも、親等が休みがとれなければ意味がないのかなと思います。</t>
  </si>
  <si>
    <t>テスト勉強したり
買い物、ピアノの練習、姉妹でゲーム</t>
  </si>
  <si>
    <t>たまたま、休みであったのでホリデーが設定されても休めないかもしれない。</t>
  </si>
  <si>
    <t>テスト前にホリデーを設定されても気持ちよく家族で外出やふれあいはできないので控えてほしい。</t>
  </si>
  <si>
    <t>出雲大社参拝後割子そばやぜんざいを食べたり、出雲科学館、出雲弥生の森博物館に行くなど、日帰り社会科見学をしました。</t>
  </si>
  <si>
    <t>自営業なので、仕事の雑用をさせた。</t>
  </si>
  <si>
    <t>自営業なので、休業日以外は休めないから。</t>
  </si>
  <si>
    <t>問7へ具体的書きました</t>
  </si>
  <si>
    <t>兵庫県だったか、神戸市だったか、どこかの市がチャレンジしていた施策。親の仕事は様々で子どもと休みが被らないので、子ども自身に「有給」を持たせて年1回だけ欠席にならないように親と休みを合わせる。そうすると1泊旅行も夢じゃなくなるのかな。</t>
  </si>
  <si>
    <t>小学校３年生, 中学校３年生</t>
  </si>
  <si>
    <t>よい取り組みだと思いますが、職場からの推奨がなく休暇が取れなかった。職業によっては難しいところもあると思いますが、たくさんの企業も巻き込んで倉吉市全体で実施してほしいです。</t>
  </si>
  <si>
    <t>今年は子供も小さくないことから受け入れる側として仕事をすることにしました。カレンダーにはない3連休に子供は大喜びで、上の子はボランティアに、下の子はお友達と遊びました。とても良い経験になりました。</t>
  </si>
  <si>
    <t>日吉津のイオンで過ごした。</t>
  </si>
  <si>
    <t>シフト勤務のため休めない</t>
  </si>
  <si>
    <t>小学校１年生, 小学校３年生, 小学校５年生</t>
  </si>
  <si>
    <t>必要のない休日</t>
  </si>
  <si>
    <t>そもそも会社に、ふれあいホリデーの趣旨や存在が周知されていない。</t>
  </si>
  <si>
    <t>繁忙期以外</t>
  </si>
  <si>
    <t>9月</t>
  </si>
  <si>
    <t>職場内に誰も取得している人がいなかったことと、行事ではないため休みを取りにくい思いはある。</t>
  </si>
  <si>
    <t>来年のその月ににならないとわからないです。</t>
  </si>
  <si>
    <t>天気がいい月。</t>
  </si>
  <si>
    <t>図書館やショッピング</t>
  </si>
  <si>
    <t>図書館司書体験へ参加</t>
  </si>
  <si>
    <t>業務があった</t>
  </si>
  <si>
    <t>職場では一切話に上がりませんでした。上司からそのような話があり，休暇を推奨されれば、半日でも取りやすいかもしれません。上司も全く知らないかもしれません。学校以外にも周知していただければありがたいです。</t>
  </si>
  <si>
    <t>自然活動イベントに参加</t>
  </si>
  <si>
    <t>保育士をしているため、平日の休暇は難しい</t>
  </si>
  <si>
    <t>買い物へ行った</t>
  </si>
  <si>
    <t>子どもが興味のある体験があれば参加したい</t>
  </si>
  <si>
    <t>ふれあいホリデーを理由に仕事を休むことができません。</t>
  </si>
  <si>
    <t>実施に反対</t>
  </si>
  <si>
    <t>実施に反対。もし実施するのなら、親には通常の有給休暇ではない、特別有給休暇を付与するべき。市の都合で個人の有給休暇を一日消費しなくてはならない現状は全く納得できない。</t>
  </si>
  <si>
    <t>会社が周知してないため。</t>
  </si>
  <si>
    <t>対象の学生が居る家庭にしか知られていないと思うので、もっと市民にPRして欲しかった。そしたら有給も取りやすいと思う。</t>
  </si>
  <si>
    <t>広島県のイルミネーションを見に行きました。</t>
  </si>
  <si>
    <t>仕事量が減るわけでなく、子育て世代が休暇をとると仕事が回らなくなる。
一定の業種や人だけ休暇がとれているのではないか。</t>
  </si>
  <si>
    <t>不明</t>
  </si>
  <si>
    <t>目的や必要性が浸透していない中で実行されており、一定の業種や人しか休みが取れていないので、家族でのふれあいに格差が広がるだけではないか？
真の必要性を考えて実行を考えるべき。
実行するのであれば、ふれあいの場を設けるやり方を考える方（平日でなく土日祝や正月など多くの人が休みの時にイベントを実施して交流を深める）を考えるべきだと思う。</t>
  </si>
  <si>
    <t>未就学児, 小学校６年生</t>
  </si>
  <si>
    <t>旅行へ行った</t>
  </si>
  <si>
    <t>いらない。必要ないと思う</t>
  </si>
  <si>
    <t>試験勉強に付き合ったり、外食に出かけた</t>
  </si>
  <si>
    <t>学校裁量に任せ、試験後に実施</t>
  </si>
  <si>
    <t>普段からふれあいに事欠かない我が家にはさほど意味がありませんでした。
ただ、行事の多い季節で、定期試験前なので、普段スポーツで土日も休めない本人には、ゆっくりできて有意義だったようでした。
母はたまたま仕事を休めましたが、父は立場上休めませんでした。
これまで複数の団体で役員として自然体験活動をサポートした際に、普段ふれあいたいのに機会が持てていなかった参加者から聞いた話では、
・体験活動が高価
・小さい子から大きな子まで満足出来る場がない
・体力に自信がない
・装備がない
・見守りの目が足りない
が理由として挙がっていました。
一方運営側には、
・バス代が高価（キャンセルの赤字補填に数年）
・装備代、装備の保管代が高価
・高齢化、若手の経験不足によるサポート力低下
の問題があり、機会を縮小せざるを得ない状況がありました。
体験を増やすには、経済的人的サポートが不可欠で、場をつなげる工夫も必要だと思います。</t>
  </si>
  <si>
    <t>小学校１年生, 小学校４年生, 小学校６年生</t>
  </si>
  <si>
    <t>勤務希望が数日しか出せないため、他の予定もあり休めなかった。</t>
  </si>
  <si>
    <t>学校の行事が少ない時期</t>
  </si>
  <si>
    <t>ふれあいホリデーの前の週に小学校参観日、中学校高校説明会、ふれあいホリデーと同じ週に小学校マラソン大会があり、それらのための休暇を優先したため。休みをたくさん取りすぎたから。</t>
  </si>
  <si>
    <t>小中の行事とできるだけ被らない週にしてもらえたらと思います。</t>
  </si>
  <si>
    <t>会社が子育てに賛同していない風潮。事業所の営業をさせないや縮小を鳥取県全体でするなど強制させるくらいでないと無理なのでは？逆に児童クラブの人数も少なく寂しい思いをさせてしまった。</t>
  </si>
  <si>
    <t>仕事休めないと無理</t>
  </si>
  <si>
    <t>連休取得無理</t>
  </si>
  <si>
    <t>サービス業など休めない業種もある。子どものいる家庭が全て休んだら仕事は回らない。休めない家庭の子どもが寂しい思いをしてまで実施すべきなのだろうか。休ませない場合会社にペナルティをするくらいでないといけないと思う。ペナルティをかした場合は独身者や子なし家庭からの反発があるため難しいとは思うため、もっと違う方法を模索して欲しい。</t>
  </si>
  <si>
    <t>ボーリングや買い物</t>
  </si>
  <si>
    <t>家族全員で、遊びに出かけました</t>
  </si>
  <si>
    <t>中2の子どもと外食に行きました。高2は部活の遠征で不在。平日なので、ふれあいということで休みをとりましたが、思春期になると自分の時間の方が優先度が高いため、中学生には不要かと思います。</t>
  </si>
  <si>
    <t>時期に特定な希望はない</t>
  </si>
  <si>
    <t>前もって、目的を明示し、保護者の協力を得る必要があると考えます。</t>
  </si>
  <si>
    <t>勉強</t>
  </si>
  <si>
    <t>そのような取り組みをするのなら
もっと大々的に企業などに事前に広めてほしい。
親も会社が休みやすいようにしてほしい。
会社事態がそんな制度を知らなければ、理解してもらえない</t>
  </si>
  <si>
    <t>個人的な都合ですが、週末ではなく週中の方が休みが取りやすいです</t>
  </si>
  <si>
    <t>東部に出かけてスイーツを食べた</t>
  </si>
  <si>
    <t>それぞれ親の仕事の都合にあわせる</t>
  </si>
  <si>
    <t xml:space="preserve">愛知県のようなロケーションの日のように、親の仕事の都合に合わせて、日程を決めることができる仕組みのほうがありがたい。
</t>
  </si>
  <si>
    <t>職場の行事が入っていた</t>
  </si>
  <si>
    <t>年末、年度末でなければいい</t>
  </si>
  <si>
    <t>企業にもっと休暇所得をさせるよう市が働きかけて欲しい。児童クラブや保育園等も休みにすれば、保護者も休まざるをえなくなるのでは。それでも休めないと子どもだけで過ごすことになるのでそこは対策がいるが…。</t>
  </si>
  <si>
    <t>23日に休みをとるつもりだったから</t>
  </si>
  <si>
    <t>金曜日を休みして3連休にして家族でふれあう時間をもうけるっていうのが目的かもしれないが、どこの家庭も土日休みとは限らないし3連休になるとも限らないし、児童クラブもあいているので、休みがとれなければ預けようかなって思いにもなるのであまり意味がないのかなぁと感じた。</t>
  </si>
  <si>
    <t>せっかくの休みだったので、県外にある水族館へ出かけました。</t>
  </si>
  <si>
    <t>その時により考えたい</t>
  </si>
  <si>
    <t>11月でも良いが、なんにもない時期がいい</t>
  </si>
  <si>
    <t>金曜日にしてもらえたので、次の日も気楽にいれた。</t>
  </si>
  <si>
    <t>通院した。</t>
  </si>
  <si>
    <t>仕事が休めない保護者の方も多いのではないかと感じました。</t>
  </si>
  <si>
    <t>小学校１年生, 中学校１年生, 中学校３年生</t>
  </si>
  <si>
    <t>上井コミュニティーセンターで行われたチャレンジスポーツに参加</t>
  </si>
  <si>
    <t>ふれあいホリデーを親子で過ごせるように、ぜひ色々な職場に周知してもらえるように働きかけて、親が休みやすくして頂きたいです。</t>
  </si>
  <si>
    <t>小学校２年生, 小学校６年生, 中学校１年生</t>
  </si>
  <si>
    <t>会社が休みではないので休みにくい</t>
  </si>
  <si>
    <t>昼ご飯を食べに出掛けた</t>
  </si>
  <si>
    <t>今回、実施日が学校のテスト前となった為、イベント等には参加できなかった。
有給は取得できたが、子どもはテスト勉強をするのみとなった。昼ご飯は食べに連れて行った。
「ふれあいホリデー」とするなら、実施日の検討が必要であると感じた。
テスト前でなければ、家族で外出したと思う。</t>
  </si>
  <si>
    <t>小学校３年生, 小学校５年生, 中学校１年生</t>
  </si>
  <si>
    <t>昼ごはんを食べに行ったり、ドライブや買い物をした。</t>
  </si>
  <si>
    <t>親が仕事だったので、子供達で過ごした</t>
  </si>
  <si>
    <t>仕事なので休みはとれません</t>
  </si>
  <si>
    <t>自営業の為、収入に影響する</t>
  </si>
  <si>
    <t>大人な有休みたいに、家庭の都合に合わせて好きな時に取れるシステムを作って欲しい</t>
  </si>
  <si>
    <t>市内だけの取り組みはやめて欲しい…職場が市外だと休めない…やるなら県全体で同じ日程にして欲しい。
会社内に周知されておらず、子どものいないスタッフに負担がかかる。
学童等のスタッフがふれあいの為休むので、預け先に断られ、子どもだけが家にいる状態で子どもが可哀想。
中学生がパープルタウンに集まって大声で騒いでいる姿を見かけたが、親が休みを取れず非行に繋がる。
これが本当に市の求めているふれあいホリデーなのか、誰のための休みなのか、今一度ご検討いただきたい。
先ほども申し上げた通り、家庭の都合に合わせて、好きなタイミングで休めるような子どもの有休システムを作って欲しい。</t>
  </si>
  <si>
    <t>してもなかなか難しい</t>
  </si>
  <si>
    <t>業務のため</t>
  </si>
  <si>
    <t>夏休み、年末年始</t>
  </si>
  <si>
    <t xml:space="preserve">他の方も休日希望があった為
</t>
  </si>
  <si>
    <t>小学校５年生, 中学校１年生</t>
  </si>
  <si>
    <t>子供は午前も午後もイベントに参加予定だったのでランチを食べに出かけた</t>
  </si>
  <si>
    <t>オープンday、マラソン大会、参観日の次の日に実施されたので、休みが立て続けに取得出来なかった。その辺を考慮した日程にしたほうが良いと思います。</t>
  </si>
  <si>
    <t>鳥取へ買い物など</t>
  </si>
  <si>
    <t>夜の仕事だから日中は動けた。</t>
  </si>
  <si>
    <t>同じ小学生のいとこ2家庭は親が仕事だったため、みんな預かり一緒に過ごした。</t>
  </si>
  <si>
    <t>育休中だった</t>
  </si>
  <si>
    <t>とてもいい取り組みなはずなのに、仕事を休めない保護者が大勢いて、親と過ごせない子どもたちや1人でお留守番している子もいて残念だった。学童や図書館などもイベントをしてくれていたが子どもが乗り気になってくれず参加できなかった。こんなに素敵な考えのイベントなので、今後もして欲しい気持ちはあるので、並行して県民の日などを作って県民みんな祝日にすることを鳥取県に働きかけて、保護者も休みやすい状況を作っていけるように倉吉市からも働きかけて欲しい。</t>
  </si>
  <si>
    <t>子どものみボランティアへ参加</t>
  </si>
  <si>
    <t>元々早朝のみの仕事だから</t>
  </si>
  <si>
    <t>家族で県外へ旅行した</t>
  </si>
  <si>
    <t>今回は寒かったので気候のいい時期</t>
  </si>
  <si>
    <t>仕事で娯楽目的の休みを取ることがないので、働き方改革としていいきっかけだった</t>
  </si>
  <si>
    <t>親だけでなく子どもたちともやりたいことを決めて取り組みたい</t>
  </si>
  <si>
    <t>11月の同じ時期か、年度始めに知っても仕事の休みが取りやすい時期(7月以降)</t>
  </si>
  <si>
    <t>今回、年度始めに11月のホリデーがわかったので仕事も融通がきいてよかった。計画も子どもたちとゆっくり立てられ、家族で話し合う時間も有意義だった。</t>
  </si>
  <si>
    <t>基本は子供だけで過ごし、祖母の時間があるときに様子を見に来てもらった</t>
  </si>
  <si>
    <t>6月。ゴールデンウィーク明けで子供たちに疲れがみられる、また祝日のない月のため休暇が取りやすい</t>
  </si>
  <si>
    <t>自宅で過ごした</t>
  </si>
  <si>
    <t>イベントに参加しやすい時季</t>
  </si>
  <si>
    <t>市内一斉に実施となると、職場での休み調整が大変難しい</t>
  </si>
  <si>
    <t>仕事を休んでまで一緒に過ごそうとは思わなかった</t>
  </si>
  <si>
    <t>ふれあいホリデーは、職場も理解がないと意味が無い…小　中　に加えて幼保も混ぜて欲しいです</t>
  </si>
  <si>
    <t>◉倉吉市教育委員会だけでなく、中部全体でしなければ、混乱を招くだけである。保護者、高校生、小学生でも、職場や学校の場所により休みがバラバラ。
◉休みが取りやすい職種ならいいが、取れない家庭は、学童または家で留守番、ゲームして過ごすしかない。ただの経験格差を助長するだけ。このホリデーにふれあえる家族は、普段からふれあっている家庭である。
◉自営業は、休むと収入に関わってくる。休めない。
◉小学高学年、中学生は留守番できるので親は休みを取らない。その結局、誰かの家に集まったり、友達とウロウロするしかない
◉周知されておらず、保育所、地域等に混乱を招いた。保育所職員が休みが多く、充分な職員数ではなかった。
◉学校行事が多い週と重なり、この週にふれあいホリデーを含め3回も休みを取らないければならない状況にあった。</t>
  </si>
  <si>
    <t>防災教室に参加しました。</t>
  </si>
  <si>
    <t>仕事の関係で休暇を取得できるかに不安がある。</t>
  </si>
  <si>
    <t>メガネ屋さんへ行くなどして、子どもの用事を済ましました。</t>
  </si>
  <si>
    <t>小学校２年生, 小学校５年生, 中学校１年生, 中学校３年生</t>
  </si>
  <si>
    <t>倉吉だけの実施なので他の地域で働いている人が休みが取りづらい。</t>
  </si>
  <si>
    <t>職場が学校なので休みだったが、出張があったため</t>
  </si>
  <si>
    <t>大阪府内へ日帰り外出</t>
  </si>
  <si>
    <t>考え中</t>
  </si>
  <si>
    <t>とっとり県民の日</t>
  </si>
  <si>
    <t>連休が取れるのは有り難いこととは思いますが、折角「とっとり県民の日」というものが制定されてるので、その日を県全体の休日にしてみてはいかがでしょうか？とは思いました。
（もしくはその前後辺りで連休にしてみるなど）
職業柄、休みをとれない方もいらっしゃるので、そこをどう補うのかも今後長期的に考えねばならないなとも感じました。</t>
  </si>
  <si>
    <t>買い物と、カフェへ行った。
休日は混んでいて、入りづらいと思っていたので。</t>
  </si>
  <si>
    <t>6月　祝日がないので。学校側への意見となるが、同じ週に参観日が設定されていた。週に２回休みを取りにくい。だいたいが連休の週に行事を設定されている印象。稼働日が少ない週に休みを取りづらいので、配慮してもらえると助かります。</t>
  </si>
  <si>
    <t>会社に向けて積極的に休みを取れるような通達など出してもらえるといいかもしれません。</t>
  </si>
  <si>
    <t>他の方も休んでいなかった為</t>
  </si>
  <si>
    <t>子供は上井コミセンでの室内スポーツチャレンジにボランティアに参加していて下の小学生の子も参加していたので親も付き添いで参加。昼からはキャチボールなどして過ごした</t>
  </si>
  <si>
    <t>参観やマラソンなどの学校イベントと同じ週になると連続して休暇が取りにくいので配慮してほしい</t>
  </si>
  <si>
    <t>平日は休みにくい</t>
  </si>
  <si>
    <t>特に行くところも無かった為</t>
  </si>
  <si>
    <t>ランチに出掛けた。ショッピング。</t>
  </si>
  <si>
    <t>施設の無料や割引があれば出掛けやすい。</t>
  </si>
  <si>
    <t>夫婦とも勤務先が倉吉市内ではなく、そもそも休業日である認識がなかった</t>
  </si>
  <si>
    <t>夏季休業を1日延長</t>
  </si>
  <si>
    <t>子どもの用事で月曜日に休みをとっていたので、金曜も休むと4連休になってしまうため。また、11月は祝日も2回あり学校の行事(文化祭)で希望休を取得したりしてたので、パート勤務は休むと給料が減ってしまうためこの日には取得しませんでした。</t>
  </si>
  <si>
    <t>児童館も休みにしないと結局はふれあいホリデーになることはないのかな?と感じました。預けれるところがあれば仕事に行く人は行くのでは?
もしするなら小中学校だけでなく、幼保にも広めてほしいです。幼保に通っているほとんどの子が月〜金または土まで出席しています。兄弟は休みなのに預けられてる子どもたちも多くいました。それではふれあいホリデーの意味はないなと感じました。なのでもし引き続きされるのであったら幼保にも広めてもらえたらなと思います。そうすれば保育士さんたちも子どもたちと過ごす時間が作れるので。</t>
  </si>
  <si>
    <t>他の人が休みを取ってたから</t>
  </si>
  <si>
    <t>(年齢的に)子どもが親とふれあうことを求めていないから。
仕事が忙しかったから。
有給休暇を別日に取得する予定だったから。</t>
  </si>
  <si>
    <t>春休み、夏休み、冬休み期間中</t>
  </si>
  <si>
    <t>今回は期末テスト前だったので、次回からテスト前は避けるべきだと思います。
親が有給休暇を取得しても、子どもはテスト勉強を優先してしまい、一緒に出掛ける事を断られる可能性が高いと思います。</t>
  </si>
  <si>
    <t>何とも言えない</t>
  </si>
  <si>
    <t>職種的に休めない保護者もあるので、何とも言えない</t>
  </si>
  <si>
    <t>ただ1人ぼっちの休みになってしまいなんでこんな休みいれたんだろ…という気持ちでした。職場の誰もこの休みについて知らなかったのか話題にもでませんでした。</t>
  </si>
  <si>
    <t>周りに周知されていない休みはいらないです。</t>
  </si>
  <si>
    <t>旅行へ出かけた</t>
  </si>
  <si>
    <t>紙飛行機飛ばし大会</t>
  </si>
  <si>
    <t>親の仕事が終日休みが無理なら半日休みや早帰りなど、少しでも家族と過ごせるような職場の体制になればよいと思います。</t>
  </si>
  <si>
    <t>周辺町村とふれあいホリデーの足並みが揃わず、来年も実施になるとしわ寄せが休暇を取れない方々に行ってしまうので、心苦しい。</t>
  </si>
  <si>
    <t>教員の有給休暇を増やす</t>
  </si>
  <si>
    <t>休暇を取れない方が置いて行かれています。休暇を取れる方と取れない方で「ふれあいホリデー」に対する想いが相反していると思います。時間を作れるか作れないかの格差が生じてしまっていると感じます。零細企業の多い地方都市で、都合良く有給休暇を取って下さいと言うのは、地方経済の実情を分かってないのではないでしょうか？</t>
  </si>
  <si>
    <t>広島へ旅行に行った。</t>
  </si>
  <si>
    <t>私自身は休暇が取れ子供たちと楽しく過ごすことができたので良かったのですが、平日に休みを取りづらい親御さんにとってはあまり意味がない休日だと感じると思いました。
倉吉市の方から職場の方へ休みを取りやすくできるような案内があると良いと思います。</t>
  </si>
  <si>
    <t>せめて分散して取れるような配慮があればと思います。</t>
  </si>
  <si>
    <t>小中学生の親が同じ日に休みを取れるはずもなく、親が休みを取れた子は良いですが取れなかった子は寂しい一日になるだけです。学童は休み、イベントも子供だけで過ごせたり、昼食が出るなどのものがあるわけではないので、無理をしてこの日に休みを取った方もおられるのではないでしょうか。(そもそも子供だけで参加するイベントに行かせる時点でふれあいの意味をなしていないのでは)
ここで有休を使うより、夏休みなど家族旅行をしやすい時期に有休を使いたいです。
また近くのショッピングセンターで中学生が友達同士で過ごしているのを見かけましたが、これではこの休日の意味がないのではないでしょうか。
子供達とのふれあいは普段の休日で十分ですので、普段の休日にや平日の夜に子供をおいての学校の役員仕事(市の講演会、研修会などへの動員)を減らしていただく方が有意義ではないかと思います。</t>
  </si>
  <si>
    <t>対象者が全て休暇をとると、職場が困るので。</t>
  </si>
  <si>
    <t>職員が少なかった為</t>
  </si>
  <si>
    <t>親が休暇がとりやすようになればいいです</t>
  </si>
  <si>
    <t>そういった休日があることを知らなかった</t>
  </si>
  <si>
    <t>特に特別な事はしていません</t>
  </si>
  <si>
    <t>イベントなど何があったのか分からない
子供がおられる学校の先生方にとっては良いかもしれないがそうではない親にとっては同じ職場に他にも同じ立場の親がいらっしゃるわけで人手不足となれば休みがとれない方の方が多いのではないかと思います</t>
  </si>
  <si>
    <t>月曜日にして欲しい</t>
  </si>
  <si>
    <t>今年度最後の魚釣りに蒜山に行きました。</t>
  </si>
  <si>
    <t>必要ないと思いました。</t>
  </si>
  <si>
    <t>職場で推奨されたが取得しなかった, 業務多忙で取得できなかった</t>
  </si>
  <si>
    <t>みなさんお仕事されているので、特に平日は中々休みを取れないと思います。自分の会社でも取られている方はほとんどおられませんでした。</t>
  </si>
  <si>
    <t xml:space="preserve">各家庭で過ごし方の格差があり、家族と過ごせず、家で1人で過ごした子どもにとっては、とても切ない思いをされたと思います。
来年も実施なら、早めに周知徹底して頂き、家族で良い時間を過ごしたいです。
期末試験前で学校もふれあいホリデーをどう捉えておられたのかな…とも思いました。
</t>
  </si>
  <si>
    <t>周知されていなかったので、休みであることを知らなかった</t>
  </si>
  <si>
    <t>必要ない、親が休めないのに勘弁して欲しい</t>
  </si>
  <si>
    <t>どうしてこの施策をおこわなければいけないのか、説明して欲しい。鳥取市の事例でも、休めない親が大半で、その実績が新聞でも撮り正されているにも関わらず、なぜこの施策を躊躇いもなく実施するのか不思議で仕方ない。倉吉市は広報が弱すぎて、この休みも別紙で通知するなどしていないので、休みも知らなかった。新聞ではじめて気付いた。</t>
  </si>
  <si>
    <t>マイナンバーカード受け取り</t>
  </si>
  <si>
    <t>テスト期間を外した時期</t>
  </si>
  <si>
    <t>直前の土曜日に午前中だけだが授業あったので、単なる代休ではないのか。この時期に設定するのであればテスト勉強にあてるだけだと思う。</t>
  </si>
  <si>
    <t>家庭でゆっくり過ごした</t>
  </si>
  <si>
    <t>平日だからできることを意識して、前もって準備して出かけた</t>
  </si>
  <si>
    <t>遊山のもり　自然活動イベント</t>
  </si>
  <si>
    <t>休暇を取れない保護者さんも多いと感じる。</t>
  </si>
  <si>
    <t>分かりません。</t>
  </si>
  <si>
    <t>なかなか休むことが難しい。</t>
  </si>
  <si>
    <t>業務多忙で取得できなかった, 子供が休みになる事を知らなかった。また、休みを取る重要性がわからない。</t>
  </si>
  <si>
    <t>中学生は休みにする必要はないと思う。</t>
  </si>
  <si>
    <t>必要はない</t>
  </si>
  <si>
    <t>全家庭が土日休みではないので連休は必要ないと思う。特に中学生は子供同士で出かけてしまうので。親子でふれあい時間を作る為の休みなら保育園を休みにしてあげて欲しい。</t>
  </si>
  <si>
    <t>汽車とバスに乗ってわらべ館へ行った</t>
  </si>
  <si>
    <t>金曜日でなく、月曜日だとありがたい。
もしくは、個別で、各家庭が休みやすい平日に堂々と「ふれあいホリデーで休みます。」と言える学校環境や職場であればありがたい。</t>
  </si>
  <si>
    <t>小学校２年生, 小学校６年生, 中学校３年生</t>
  </si>
  <si>
    <t>業務多忙で取得できなかった, 有休がない</t>
  </si>
  <si>
    <t>他の方もふれあいホリデーで休まれるからたくさん休むと勤務が回らない</t>
  </si>
  <si>
    <t>学校行事の無い月がいいです。</t>
  </si>
  <si>
    <t>職場に小、中学生のお子さんがおられる方が多い中一度に皆が休むことは不可能です。長期休みがあるのだからふれあいホリデーは全く必要ないと思います。</t>
  </si>
  <si>
    <t>業務が多忙、有給がない、職場は推奨してないので言い出しにくい</t>
  </si>
  <si>
    <t>子どものものを買いにショッピングへ出掛けた</t>
  </si>
  <si>
    <t>有給も無いので申請しにくい。職場が休む様に促してくれないと休めない。</t>
  </si>
  <si>
    <t>実施してほしく無い。学童に預けることになるし、お弁当は必要になるし、保護者の普段になるだけ。仕事を休める様にしてもらわないと全く意味がない。</t>
  </si>
  <si>
    <t>実施してほしく無い。</t>
  </si>
  <si>
    <t>保護者が仕事を休める様にしてくれないとこの休みは保護者の負担が増えるだけなのでやめて欲しい。</t>
  </si>
  <si>
    <t>神戸へ旅行</t>
  </si>
  <si>
    <t>家族で過ごす</t>
  </si>
  <si>
    <t>特別休暇にしてほしい</t>
  </si>
  <si>
    <t>小学校３年生, 中学校２年生</t>
  </si>
  <si>
    <t>ボードゲームなどして過ごしました</t>
  </si>
  <si>
    <t>大好きなおばあちゃん家に遊びにいきました</t>
  </si>
  <si>
    <t>皆が休暇はとれない。そんなことなら土曜日の授業を失くして、一緒に過ごす日を増やして欲しい</t>
  </si>
  <si>
    <t>親への負担を考えてほしい。企業にも呼び掛けをして、補助金など出せば進むかもしれないが、
今の状況では現実的に負担ばかり、子供は子供だけで過ごさねばならない家庭が多いと感じる</t>
  </si>
  <si>
    <t>職場には、ふれあいホリデーが浸透していないから</t>
  </si>
  <si>
    <t>特に適切な時期は分からない</t>
  </si>
  <si>
    <t>市から事業所へ『積極的に親も仕事を休みましょう』という呼びかけなどがないと休みは取りにくいと思う</t>
  </si>
  <si>
    <t>小学校２年生, 中学校２年生</t>
  </si>
  <si>
    <t>県外の普段の休日では人がいっぱいのところに出かけた。</t>
  </si>
  <si>
    <t>趣旨等全く理解できないのでなくてもよい</t>
  </si>
  <si>
    <t>家でゆっくり会話したり、家族でのんびりと過ごした。</t>
  </si>
  <si>
    <t>空いている平日を利用して遊園地へ行った</t>
  </si>
  <si>
    <t>平日休暇は良かったが、同じ週や付近に振替や参観日給食参観等行事が集中していて、休みが取りにくかった。もう少し分散して欲しい。</t>
  </si>
  <si>
    <t>特に理由のない休みは取りづらい</t>
  </si>
  <si>
    <t>すでにシフトが組まれていたため</t>
  </si>
  <si>
    <t>倉吉市の考古学教室に行きました</t>
  </si>
  <si>
    <t>旅行に行った</t>
  </si>
  <si>
    <t>1泊旅行</t>
  </si>
  <si>
    <t>子どもの国に行ったりしました。</t>
  </si>
  <si>
    <t>まだ分からない</t>
  </si>
  <si>
    <t>時期とかではなく親が休みをとるのが困難な事もある</t>
  </si>
  <si>
    <t>子供と触れ合う日を作るのなら、社会もそういう事に協力できるようにしてほしいです。</t>
  </si>
  <si>
    <t>湯村温泉に行き、温泉に入ったり、荒湯で野菜を茹でる体験</t>
  </si>
  <si>
    <t>家族で遊園地に出掛けました</t>
  </si>
  <si>
    <t>主婦と、手伝い程度の仕事なので、その日は空いていました</t>
  </si>
  <si>
    <t>学校の行事が多い時期にあたってしまって、妻がその都度、休日を取得して対応してくれていたのですが、さらにもう一つ取得することへの抵抗があり、あまり嬉しい休日ではなかったようです。私も今後、仕事についた時に、子供がひとりで留守番しなくてはならないかもと気がかりななか、更に平日に休日が増えるのは嫌だなという思いです。普段から、休日も平日も遊んでいるので、更に時間を作るのかと悩ましいことだなと思いました。</t>
  </si>
  <si>
    <t>中学校１年生, 中学校３年生, 中学校卒業後</t>
  </si>
  <si>
    <t>繁忙期で国での取り組みではないので、なかなか難しい。</t>
  </si>
  <si>
    <t>未就学児, 小学校１年生, 小学校４年生</t>
  </si>
  <si>
    <t>祖父母とともに七五三を祝った</t>
  </si>
  <si>
    <t>勝手に休暇にされても簡単に休める職場でないです。</t>
  </si>
  <si>
    <t>学童も預かるのを否定的で、結局ひとりで過ごさせました。みんながみんな休めるとは限らないです。</t>
  </si>
  <si>
    <t>祖父母も一緒に県外へ旅行に出掛けた。</t>
  </si>
  <si>
    <t>中学生がテスト前だったので遊びに出掛けることなく家庭でゆっくり過ごした。</t>
  </si>
  <si>
    <t>職場で推奨されたが取得しなかった, 業務多忙で取得できなかった, 取得しにくかった</t>
  </si>
  <si>
    <t>他の職員が取得されたため、現場が回らなくなるから。</t>
  </si>
  <si>
    <t>休みを取らせる事で、現場に残る人の仕事の負担が半端なく、我が子は放置になるし意味わからない休みだと思う。責任ある立場の人たちにはなんのメリットもない休みだった。
中学生には期末直前で単なる試験勉強休みだった。ファミリーホリデーとするなら無意味だと思う。</t>
  </si>
  <si>
    <t>家でゆっくりした。</t>
  </si>
  <si>
    <t>企業などに趣旨の理解を求めて、保護者が休暇を取れる環境を作る必要があると思う。今回はたまたま休みを取れたが、休めない保護者も多く、預け先を手配したり、昼食の準備など負担が多くなるように感じた。</t>
  </si>
  <si>
    <t>未就学児, 小学校４年生, 小学校６年生, 中学校３年生, 中学校卒業後</t>
  </si>
  <si>
    <t>米子のドンキとイオンに行った。子どもの誕生日プレゼントを買いに行った。
職場は市外なのでふれあいホリデーは無いが、職員の休みが重なっており、大変心苦しい中休暇をお願いした。まだ理解のある職場なので了承してもらえたが、休めない保護者はたくさんいると思う。子どもとのふれあいを目的に…と一方的に休校にされても困る。本当に家族でのふれあいを目的にするのであれば、勤労者の有給休暇のように、年に一回出席扱いの休みがとれるなど、それぞれの家庭に応じたものでないといけないのでは。働き方改革のために教職員が三連休取得できるよう休校にしますと言われたほうがまだ納得がいく。来年は是非やめていただきたい。</t>
  </si>
  <si>
    <t>各自取得</t>
  </si>
  <si>
    <t>仕事を休めない保護者も多いのに、家族で触れ合うための休みですよ、という圧があり、腹立たしい。</t>
  </si>
  <si>
    <t>1人で留守番</t>
  </si>
  <si>
    <t>取り組みの趣旨や意図を前日まで知らなかった。休みになる事も知らなかった。解りにくい知らせ方や突然の新聞発表はやめて下さい。平日に休みが取れる会社勤めの人ばかりでは無いことを もっと考えて下さい！ 結果1人で留守番させるさという最悪な結果になりました。迷惑です。</t>
  </si>
  <si>
    <t>一緒に読書や勉強をした。</t>
  </si>
  <si>
    <t>仕事をしていないため。</t>
  </si>
  <si>
    <t>水族館に行った</t>
  </si>
  <si>
    <t>11月は学校行事が多いので休みをたくさんとらないといけないので困った。</t>
  </si>
  <si>
    <t>休日や学校行事の少ない月にしてほしい</t>
  </si>
  <si>
    <t>午前中は、室内スポーツチャレンジの中学生ボランティア</t>
  </si>
  <si>
    <t>ふれあいホリデーをよく理解していなかった。勤務地が市外。もう一人の保護者が午後自宅で一緒に過ごした</t>
  </si>
  <si>
    <t>いつでもよい。早めに決定し、広くお知らせがしてあると助かります</t>
  </si>
  <si>
    <t>県外へ日帰りで出かけ、観光やショッピングなど</t>
  </si>
  <si>
    <t>休日は混雑するので、平日の休みが生かせ、子どもが喜ぶようなところに出かけたい。</t>
  </si>
  <si>
    <t>小学校１年生, 中学校２年生, 中学校卒業後</t>
  </si>
  <si>
    <t>買い物に出かけたり、子どもの好きなメニューの食事をした。</t>
  </si>
  <si>
    <t>小学校２年生, 小学校６年生, 中学校２年生</t>
  </si>
  <si>
    <t>分からない。</t>
  </si>
  <si>
    <t>休みが取れる家庭ばかりではないので、正直この取り組み自体なんのためにあるかナゾです。
どの家庭も強制的に休日にしてもらえたらいいですね。</t>
  </si>
  <si>
    <t>ふれあいホリデーの日が忙しい日だったため。また勤務先の同僚も休暇を取得した人がいないため。</t>
  </si>
  <si>
    <t>6〜7月または9〜10月</t>
  </si>
  <si>
    <t>病院受診</t>
  </si>
  <si>
    <t>休みを知ったのが、数日前だった。</t>
  </si>
  <si>
    <t>事前にわかればいつでも良い</t>
  </si>
  <si>
    <t>小学校１年生, 中学校１年生</t>
  </si>
  <si>
    <t>子供がリクエストしたお店で昼食をとり、その後買い物をしたり市立図書館へ行ったりしました。</t>
  </si>
  <si>
    <t>いつでも良い</t>
  </si>
  <si>
    <t>小学校１年生, 小学校２年生, 小学校６年生</t>
  </si>
  <si>
    <t>他の行事で休む事が多いのに、参観日でも発表会でもない日に休みたくない。</t>
  </si>
  <si>
    <t>登校してほしい。</t>
  </si>
  <si>
    <t>なくていい。</t>
  </si>
  <si>
    <t>親はそんなに仕事を休めない。
子供だけ休みでも何にもならない。
預け先に困るだけ。</t>
  </si>
  <si>
    <t>6月</t>
  </si>
  <si>
    <t>観光</t>
  </si>
  <si>
    <t>テスト期間中は避けた方がいいと思います。</t>
  </si>
  <si>
    <t>県外へ家族旅行に出掛けた。</t>
  </si>
  <si>
    <t>両親共に不定休であり、平日休みが取りやすく、又、平日であった為、旅行中も混雑することなく子供たちとゆっくり遊ぶ時間が出来ました。休みが取れる家庭としては良い取り組みだと思います。</t>
  </si>
  <si>
    <t>ユニバーサルスタジオジャパンに行った。</t>
  </si>
  <si>
    <t>育児休暇中のため。</t>
  </si>
  <si>
    <t>もっと年度はじめからお知らせを大々的にしていただけると良かったかなとおもう。</t>
  </si>
  <si>
    <t>USJ</t>
  </si>
  <si>
    <t>子どもは休みでも親は休めない。趣旨はわかるが、子どもがひとりぼっちになる日、となった家庭も多いのではないかなと思う。</t>
  </si>
  <si>
    <t>人手不足の為</t>
  </si>
  <si>
    <t>急に言われても休みが取得しにくいのが現状、または、希望休みの数が決まっている。</t>
  </si>
  <si>
    <t>岡山のおもちゃ王国に出かけた。</t>
  </si>
  <si>
    <t>自分は琴浦の学校職員なので子どもと同じように仕事が休みになったが、休みにくい仕事の保護者は大変だなと思った。休みになるのはありがたいが。</t>
  </si>
  <si>
    <t>usjに行った</t>
  </si>
  <si>
    <t>同じ時期だと少し寒いため、あと10日程度早い方が良い。</t>
  </si>
  <si>
    <t>小学校１年生, 小学校６年生, 中学校３年生</t>
  </si>
  <si>
    <t>知らなかったし、取得する必要性がないと思ったから。</t>
  </si>
  <si>
    <t>子供も必要ないと言っていたし、親も同意見です。</t>
  </si>
  <si>
    <t>大阪へ旅行</t>
  </si>
  <si>
    <t>子供は自由に過ごすから</t>
  </si>
  <si>
    <t>いつでもよい</t>
  </si>
  <si>
    <t>グランピングに行きました</t>
  </si>
  <si>
    <t>11月は野外活動するには気温が低いし
天気にも左右されるので気候のいい時がいいです</t>
  </si>
  <si>
    <t>一泊二日で家族旅行に出かけた</t>
  </si>
  <si>
    <t>任意の日を選んで実施</t>
  </si>
  <si>
    <t>全員が一斉に実施ではなく、年間1〜３日各家庭で任意の日に休みが取れるようにするのはどうか。今回のホリデーも親が休みが取れないとせっかくのふれあいの機会にならない。親の働き方は多様なので、各家庭のタイミングに合わせて休めるほうが子どもにとってもよいのではないか。事前にいつ休むか報告するようにすれば準備もできる。学校に毎日休まず行くのも大事だが、その価値観を転換して、親と心置きなくふれあって過ごせる日を設ける方が子どもにも親にもよいと思う。親が土日働く家庭は、子どもの休みの日のスポーツの試合すらも見に来れないので。</t>
  </si>
  <si>
    <t>本当に平日にふれあいホリデーが必要かどうか
ふれあいのための休みだが、
仕事関係で休めない場合がある。
企業にも休みやすい環境と認知が必要だと思います。</t>
  </si>
  <si>
    <t>島根県雲南市にある迷路があるテーマパークに出かけました。</t>
  </si>
  <si>
    <t xml:space="preserve">仕事が休めない場合、
学童も希望者のみで預けにくい状況であったし、
お弁当は作らなければならないし、
忙しさだけ増えて大変だった。
地区によっては職場への連絡があったようだが、我が家は夫婦とも職場から休んで良いということはなかった。(もしかして通達はあったのかもしれないが、通達がどこまでされたのか、それも不明)
仕事が、本当に休める、休みやすい状況が作れてから行わないと、逆効果だと感じた。
(お弁当などの準備で忙しくなり、子供が一人で留守番できる年齢の場合は子供と過ごすどころか子供だけで家で過ごすなど)
</t>
  </si>
  <si>
    <t>忙しく、休みにくく、言い出せない</t>
  </si>
  <si>
    <t>仕事が休めないと子どもだけ休みでも意味がない</t>
  </si>
  <si>
    <t>円形劇場に行った</t>
  </si>
  <si>
    <t>学校ごとに休みの日を変えてほしい</t>
  </si>
  <si>
    <t>市内全部の学校が同じ日に休みになるため、会社を休める人が限られる。
夫婦それぞれの職場で市内小学校の保護者もふれあいホリデーに合わせて休みを取られるので、夫婦ともには休めず3連休あっても遠出をすることが出来なかった。
子どもは休みだったので嬉しかったと言ってましたが…</t>
  </si>
  <si>
    <t>公園</t>
  </si>
  <si>
    <t>子どものいる同僚と休みがかぶらない方がよい</t>
  </si>
  <si>
    <t>子育て中の同僚が多く、休みが取りにくい</t>
  </si>
  <si>
    <t>一緒に祖父母の家へ行った</t>
  </si>
  <si>
    <t>今回はたまたま仕事が休みだったが、来年度以降は分からない</t>
  </si>
  <si>
    <t>体験は土日でもできます。平日に実施は希望しません。</t>
  </si>
  <si>
    <t>マラソン大会、参観日と行事が続く中にそんなに続けて休みは取れません。せめて時期を考えてほしかったです。</t>
  </si>
  <si>
    <t>子供の体調不良で欠勤が続いていた為</t>
  </si>
  <si>
    <t>他の人やお客様に迷惑がかかるから</t>
  </si>
  <si>
    <t>土日にくっつけるなら月曜日が良い</t>
  </si>
  <si>
    <t>地域の料理教室に参加しました。</t>
  </si>
  <si>
    <t>施設職員です。</t>
  </si>
  <si>
    <t>昼から下の子の3歳児健診があったため遠出は出来ず、買い物に行っただけで半日が終わった。</t>
  </si>
  <si>
    <t>時期というよりも休暇をとれるようにしてほしい。</t>
  </si>
  <si>
    <t>ふれあいホリデーというが休みをとれない保護者にとっては何の休みか分からない。保護者が休みがとれない子どもは児童館に行くか家庭で1人で過ごす事になるのでもっと対策が必要だと思う。そして3歳児健診など入れられると休暇はとるものの子どもとは過ごせないのでやめて欲しい。ふれあいホリデーをするのなら、対象の子どもがいる保護者は休暇をとれる体制にしないと意味がない。もっと意味のある対策をお願いしたいです。</t>
  </si>
  <si>
    <t>子供の体調不良時や行事等で有給を使いたい
休みが取れなかった場合
学童に預ける場合の弁当作り、預け先の選定、預ける時間、それにかかる送迎など負担増
職場はギリギリの人数でやっている、簡単に休暇は取れない保護者が多くいることを考慮して欲しい</t>
  </si>
  <si>
    <t>ふれあいホリデーを前日に知ったためシフトの変更ができなかった</t>
  </si>
  <si>
    <t>学校行事の振替休日の翌日等</t>
  </si>
  <si>
    <t>有給休暇がなく、他に休まないといけない日があり当該日に休むのは難しかった</t>
  </si>
  <si>
    <t>連休の無い月　6月</t>
  </si>
  <si>
    <t>未就学児, 中学校１年生</t>
  </si>
  <si>
    <t>家でゴロゴロ</t>
  </si>
  <si>
    <t>博物館での押し花のしおり作り</t>
  </si>
  <si>
    <t>必ずしも、このホリデーが必要なのかな、と思いました。カレンダー通りで良いのではと思います。休暇がとれる家庭の子どもさんが親子の時間を過ごせた…理想的な部分と反対に、一斉に休みになったとはいえ、寂しい思いをしている子もあるかと思います。両方の状況をふまえて、検討していただきたいと思います。</t>
  </si>
  <si>
    <t>他の方も休んでいるので休みづらい</t>
  </si>
  <si>
    <t>市内一斉休校せずに時期をずらして欲しい</t>
  </si>
  <si>
    <t>鳥取市のイオンで買い物したり、かにっこ館に行ったりした</t>
  </si>
  <si>
    <t>普段土日が仕事で平日に休みが取りやすいのでせっかくならとふれあいホリデーに合わせて休みを取りました。久しぶりに子どもと1日過ごせれて良かったと思います。ただ普段土日がお休みの方はこの為にお休みを取るのは難しいのではないかなと思いました。</t>
  </si>
  <si>
    <t>魚取りをした</t>
  </si>
  <si>
    <t>たまたま休みだった</t>
  </si>
  <si>
    <t>もう少し暖かい9、10月の方が課外活動がしやすい</t>
  </si>
  <si>
    <t>子供が休みではあるが親が確実に休みが取れるわけではない。子供だけでなく親の休みを取れるように何か対策を取って欲しい</t>
  </si>
  <si>
    <t>県外のイベントに参加した</t>
  </si>
  <si>
    <t>休暇が取りにくいい</t>
  </si>
  <si>
    <t>釣り</t>
  </si>
  <si>
    <t>不要</t>
  </si>
  <si>
    <t>土曜が祝日にあたるその前日には休暇はいつもより取りにくいですし、秋は学校行事も多くその他で有休を取得するのでこれ以上取得するのは難しいです。子どもが日中一人で過ごされたお家が多いように思いますが、どうでしょうか？中学校にあがれば行動範囲も広がりさらに大人の目も届きませんから心配です。普段から保護者の方がお家におられてふれあう時間の多い家庭にはよかったのかもしれませんが、大半はなかなかふれあい時間など持てないと思いますがいかがでしょうか？我が家はメディアとふれあう時間が増えただけでした。来年度はなくしていただきたいです。</t>
  </si>
  <si>
    <t>一緒にランチをしてお買い物をしてお菓子を買って帰って家でおしゃべりしながら食べた</t>
  </si>
  <si>
    <t>涼しい時期</t>
  </si>
  <si>
    <t>休みがテスト前の週末だったので、次はテスト後もしくはテスト前に被らない時がいいです。今回は勉強に配慮してあまり活発に動けませんでした
家族ふれあいをテーマにしてるということで家でも意識するので、いい活動だと思います</t>
  </si>
  <si>
    <t>テーマパークへ出かけた。</t>
  </si>
  <si>
    <t>施設で体を動かすイベントを開催した</t>
  </si>
  <si>
    <t>平日休みのため、職場の人達が動きやすかった</t>
  </si>
  <si>
    <t>必要ないと思ったから</t>
  </si>
  <si>
    <t>ふれあいホリデーの必要性を感じない</t>
  </si>
  <si>
    <t>不要な休業日だと感じました</t>
  </si>
  <si>
    <t>母親の勤務先に連れて行った</t>
  </si>
  <si>
    <t>取得するつもりはなかった, 取得しにくかった, ふれあいホリデーの時期が悪くて、休暇を取得するには都合が悪すぎた</t>
  </si>
  <si>
    <t>時期</t>
  </si>
  <si>
    <t>成徳コミュニティセンターの防災教室に</t>
  </si>
  <si>
    <t>シフトで出勤日だったが急用の方と休みを交換してたまたま休みになった</t>
  </si>
  <si>
    <t>中高生の子供は家族と過ごす事を前提にしていない</t>
  </si>
  <si>
    <t>週末は基本仕事何と同世代の保護者が数人居たら先ず休み希望が被り誰かは休めない　家族で過ごす事を目的とするならば各家庭が休める環境を作ってくれた方がありがたい　土日休みや暦通り限定の休みの取り方</t>
  </si>
  <si>
    <t>会社の社員旅行に連れて行っても休み扱いにならないとか　同じ休み申請するなら平日の方がいろいろ空いていたりしてゆっくり出来ると思う
個人事業主や自営は社員が充実しているところは可能そうだが、難しい
全員が納得して実施は難しいと思う
別の形での検討もして欲しい
休めば収入が減る職種もある事を理解して欲しい
中高生にはあまり有効ではない気がする
その年代の友達と参加出来るイベントも考えて欲しい
子供と離れてゆっくりしたい親も多いと思う</t>
  </si>
  <si>
    <t>公園で遊んだ。</t>
  </si>
  <si>
    <t>土日以外に、わざわざ休日を作らないでよい。土日のみで充分。</t>
  </si>
  <si>
    <t>次の日旅行に行くので買い物に一緒にいった。</t>
  </si>
  <si>
    <t>市内の児童館に行った</t>
  </si>
  <si>
    <t>希望休が3日までしかなく、休めなかった</t>
  </si>
  <si>
    <t>子供を持つ親全員が仕事を休むわけには行かないから</t>
  </si>
  <si>
    <t>祝日や行事の少ない月、6月7月など</t>
  </si>
  <si>
    <t>倉吉市全体で同じ日に休みになっても仕事は休みにくいので学校ごとにするなどしてほしい</t>
  </si>
  <si>
    <t>宿題を一緒にしたりゲームをした。</t>
  </si>
  <si>
    <t>買い物、外食</t>
  </si>
  <si>
    <t>それぞれが家で好きなように過ごした。</t>
  </si>
  <si>
    <t>仕事をしていない。</t>
  </si>
  <si>
    <t>平日の実施は仕事をしていると休めないし休みにくい。平日に実施し家族で一緒に過ごすという目的なら職場を子供がいる家庭は強制的に休日にしないと無理だと思います。そもそも中学生になれば家族と一緒に何かを体験することをしたがらないので普通の3連休と変わらないので今のところ実施する意図がわかりません。</t>
  </si>
  <si>
    <t>無職</t>
  </si>
  <si>
    <t>各学校で決めればいいと思う。</t>
  </si>
  <si>
    <t>働いていたら休みが取りにくい。
倉吉市で働いていて倉吉市の小学生みんな休みになるとそれだけの親が仕事を休まないといけない。
無理がある。</t>
  </si>
  <si>
    <t>勤務日だった為</t>
  </si>
  <si>
    <t>小学校２年生, 中学校３年生, 中学校卒業後</t>
  </si>
  <si>
    <t>父は仕事、高校生の子は学校なのでお出かけはできない為自宅でのんびりしていた</t>
  </si>
  <si>
    <t>全員がお休みの場合は家族旅行などしたい</t>
  </si>
  <si>
    <t>高校生もお休みが合わないと出かけられない</t>
  </si>
  <si>
    <t>県外に家族旅行</t>
  </si>
  <si>
    <t>休みを取得するため、前後の学校行事などを考えてほしい。</t>
  </si>
  <si>
    <t>専業主婦だから</t>
  </si>
  <si>
    <t>その時の気候や子どもの希望に合わせて過ごす</t>
  </si>
  <si>
    <t>連休のない6月</t>
  </si>
  <si>
    <t>「ふれあいホリデー」の目的に、教職員の休日を確保することで、働きやすい環境を維持するため、といった、先生方の働き方改革の内容も盛り込んだほうが良いと思う。正直言って、子どもとのふれあいは私は日々行っている。連休が増えることで、わが子の、学校での友だちとの関わりの機会が少なくなってしまうことに、私は危惧している。そもそも連休が多すぎる。</t>
  </si>
  <si>
    <t>森のようちえんのイベントに参加した</t>
  </si>
  <si>
    <t>親の休みが確約出来るのであればいつでもよい</t>
  </si>
  <si>
    <t>ふれあいホリデーの目的に"学校をお休みにし連休にすることで、保護者と子どもが一緒に体験的な学習活動等に参加するなど、ふれあいの時間を創出し"とあるが市としてどこまで広報を実施し、企業等に対して協力を得られるようなことを実施したのかは不明であり、小学生は連休になるが、親は連休を確約されているわけではなく、学童に預ける等して過ごした方は多いのではないかと思う。
学童に預けるとなると、弁当を作らなければならなくなり逆に負担になった家庭もあるかもしれない。
実際にイベントに参加したが、30人程度の子どもが参加しており、一緒に参加された親は3名程度であったのが現状である。
来年度実施する際はこのような事も考えた上で計画して頂ければと思う。
また倉吉市役所の職員で市内の小学生がいる方の休暇取得率はどれぐらいであったか公表していただきたい。</t>
  </si>
  <si>
    <t>コミュニティセンターのスポーツイベント、児童館の和菓子づくり</t>
  </si>
  <si>
    <t>親の休暇がとれる環境を整備してから実施するべきだと思います。休暇がとれる家庭と休暇がとれない家庭との文化的格差が進むばかりではないでしょうか。ご検討をお願いします。</t>
  </si>
  <si>
    <t>前から親子内で行きたいお店があったのでそこに食べに行った</t>
  </si>
  <si>
    <t>代わりにしてくれる人がいないので自分の仕事をスピーディーに済ませて子供とのんびり過ごした、</t>
  </si>
  <si>
    <t>家で過ごした</t>
  </si>
  <si>
    <t>学校行事や体調不良で休みを取らなければいけない中、この日のために休暇取得が必ずできるわけではないので、他の方法を検討していただきたいです。昼食（学童の場合お弁当）の準備や、仕事や家族も気にかけないといけない点が増え、負担が増えた。</t>
  </si>
  <si>
    <t>仕事を休んで子どもと過ごす日という意識がなかった。</t>
  </si>
  <si>
    <t>仕事があり1年生の子だけ現場に連れて行き仕事。6年生の子は1人で家で留守番。昼食を作るために帰宅をし子どもと一緒に昼食。午後は仕事をあきらめ1年生の子と家で過ごす。6年生の子は友達と外に遊びに行った。</t>
  </si>
  <si>
    <t>参観日、マラソン大会、ふれあいホリデーと3日続けて休みを取れるわけがない。どうしろと？と言いたい。</t>
  </si>
  <si>
    <t>フルタイムで働いている人にとっては貴重な時間かもしれませんが、パートタイムで働き、学童にも入れていない家にとっては毎日子どもとふれあう時間がある。それよりもまずは親が1人になれる時間が欲しい。貴重な平日休みは役所事や銀行とか行きたいと思ってしまう。休日よりもふれあいマネー、お金をください。その方がみんなで美味しいもの食べに行こうとか外出しようって思う。</t>
  </si>
  <si>
    <t>未就学児, 小学校１年生, 小学校６年生</t>
  </si>
  <si>
    <t>気づいたのが前日だった</t>
  </si>
  <si>
    <t>県外の祖父母宅へ帰省しました。</t>
  </si>
  <si>
    <t>取得推進もなにもいきなりこんなこと始められて、じゃあ休みますなんてできるわけが無い。</t>
  </si>
  <si>
    <t>まずは、社会全体に向けて休みが取れるような取り組みしていただきたいし、何が目的の取り組みなのか意味がわからない。</t>
  </si>
  <si>
    <t>鳥取に2人で遊びに行きました。</t>
  </si>
  <si>
    <t>下の子がいるのですが、下の子は保育園に行かせて、2人だけで過ごしました。とても喜んでいて、良い1日になりました。普段は下の子に手がかかり、あまりかまってあげられなかったので、とてもよかったです。子どもが「次いつが休み？またこういう日があってほしい」と嬉しそうに話してくれました。ぜひ今後も実施してほしいです。</t>
  </si>
  <si>
    <t>米子に高校を見に行きました。その後買い物をしました。</t>
  </si>
  <si>
    <t>チラシが白黒に近くて、あまり目にとまらなかった。船上山のチラシかと思い内容を見ずに捨てた。</t>
  </si>
  <si>
    <t>他の用事や看病でで有給休暇を使うので一斉に休みにされても休めない</t>
  </si>
  <si>
    <t>兄弟に誕生日の子がいたので誕生日祝いに外食した</t>
  </si>
  <si>
    <t>たまには主婦も休ませてほしい</t>
  </si>
  <si>
    <t>先生方も休暇は必要だと思うのでPTAの規模や行事の縮小をし現代にあった活動に変えていくべき。先生方が週１でも早く帰って自分の家庭で自分の家族に関われるよう週１学校全体を職員も早く帰ろうの日でも作って早く帰れる日があればと考えます。あと倉吉市の学校は校庭周りのメンテナンス草取りや側溝掃除等行き届いてないのでできそうな仕事は障害者就労事業所などと契約し、倉吉市地域全体がもっとインクルーシブに力をいれるべき。子供が障害者がいて当たり前の生活になってない。地域の人に障害者が含まれてないと感じます。多機能性のある学校にすべきと考えます。</t>
  </si>
  <si>
    <t>天気が悪かったので家で過ごした</t>
  </si>
  <si>
    <t>学校からふれあいホリデーの詳細の手紙などがなく、そのことをギリギリまで知らなかった。</t>
  </si>
  <si>
    <t>もう少し大々的に知らせて欲しい。</t>
  </si>
  <si>
    <t>風邪をひいていたので療養を兼ねゆっくり過ごした。</t>
  </si>
  <si>
    <t>体調不良のため自宅で静養</t>
  </si>
  <si>
    <t>友達と家で遊んだ</t>
  </si>
  <si>
    <t>夫と午前と午後交代して半有を取った</t>
  </si>
  <si>
    <t>他家庭で保護者が休みを取れ（ら）ず子供だけで過ごす姿が見られ本末転倒感を正直感じた。</t>
  </si>
  <si>
    <t>マラソン大会、次の日に参観日、またその次の日にふれあいホリデーだったので、休みがとりにくかった。</t>
  </si>
  <si>
    <t>行事が続けてなければ、休みがとりやすいので、今回のように行事が続けての実施はやめてほしい。</t>
  </si>
  <si>
    <t>ふれあいホリデーという休みは必要なのか。</t>
  </si>
  <si>
    <t>子供がランチを作ってくれました。</t>
  </si>
  <si>
    <t>自分の都合でできる仕事の為。</t>
  </si>
  <si>
    <t>主人の会社も休みになると家族みんなで過ごせて嬉しいです。</t>
  </si>
  <si>
    <t>子供だけ休みでも親がいなければ家族で過ごせないので、親も休みやすい環境になると嬉しいです。</t>
  </si>
  <si>
    <t>未就学児, 小学校５年生, 中学校２年生</t>
  </si>
  <si>
    <t>児童センター勤務の為、出勤は余儀なくされました。</t>
  </si>
  <si>
    <t>児童館、児童センターの開館を推奨するならば、職員の休暇も考えて欲しい。放課後児童クラブを開設すれば、休暇を取らない保護者は出てくることは、以前より予想できた。</t>
  </si>
  <si>
    <t>まずは、企業への周知が最初ではないか？周知の順番が違うように感じる。来年度実施予定があるのならば、まず企業への周知と休暇の推奨をもっと行い放課後児童クラブ、児童センターの開設等も段階的に考えていただきたいと感じました。</t>
  </si>
  <si>
    <t>問い5で、述べた通りです。</t>
  </si>
  <si>
    <t>問5と同じ意見です。</t>
  </si>
  <si>
    <t>病院、定期検診等</t>
  </si>
  <si>
    <t>親も休みが取れないと意味がない。</t>
  </si>
  <si>
    <t>旅行に出かけた</t>
  </si>
  <si>
    <t>午前中に文化財課のイベントに参加した後は、家族で外食するなどして、市内で過ごした。</t>
  </si>
  <si>
    <t>今年のイベントの内容だと休む意味があるか疑問。イベント会場に地域の偏り(成徳、上灘)もある。地域や民間企業も連携していかないと、特定の人や地域にしか恩恵のないイベントになってしまう。</t>
  </si>
  <si>
    <t>いつでもよいが、実施の方法の方が大事。</t>
  </si>
  <si>
    <t>休暇が取れない場合、家族のふれあいとしての効果は薄い、民間企業と一体になった取り組みにならないと内容が充実しない。</t>
  </si>
  <si>
    <t>ワクチン接種、眼科受診、外食</t>
  </si>
  <si>
    <t>勤務希望が出せるように、早めに教えてほしい</t>
  </si>
  <si>
    <t>企業への周知ができていないため、取りづらい</t>
  </si>
  <si>
    <t>本格的に行うなら企業側への協力を先に行って欲しい。結局親が休めず子供は預けられたり子供だけで過ごしている家庭がほとんどだと思う。それはふれあいとは真逆のことだと思う。</t>
  </si>
  <si>
    <t>押し花づくりに参加した</t>
  </si>
  <si>
    <t>一緒に買い物や遊びに行った</t>
  </si>
  <si>
    <t>子供は休みでも、大人の職場に周知などできていたいため、やすみは取りづらい状況にはあるため、そこら辺は検討が必要だと思う。会社にも趣旨を含めて休みやすいような働きかけが必要だとおもう。
私もやっと午後休みをとるのがやっとだった</t>
  </si>
  <si>
    <t>親に無理やり仕事を休ませるのはどうしたものか。ただ教育委員会が休みたいだけじゃないのか?</t>
  </si>
  <si>
    <t>学校に行かせろ!お前らだけ休んどけ!</t>
  </si>
  <si>
    <t>教育長辞めてしまえ!</t>
  </si>
  <si>
    <t>一緒にゲームした</t>
  </si>
  <si>
    <t>家族で外食や買い物をして過ごした。</t>
  </si>
  <si>
    <t>これまでの学校行事や子どもの体調不良等で既に有給を全部消化していた為、今回のふれあいホリデーの休暇は欠勤だった。マラソン大会、参観日、ふれあいホリデーと続いた為、夫婦で交互に何とか休暇を取得したが、正直保護者の負担が大きいと感じた。ふれあいホリデーも一概にメリットがあるとは思えない。</t>
  </si>
  <si>
    <t>いつもの休みと変わらない</t>
  </si>
  <si>
    <t>連休を利用して九州の実家へ家族で帰省した</t>
  </si>
  <si>
    <t>仕事を休めなかったら子ども1人で過ごすことになるので企業にも働きかけてほしい。</t>
  </si>
  <si>
    <t>水族館に行きました。</t>
  </si>
  <si>
    <t>もっと休みがあってもいいです。</t>
  </si>
  <si>
    <t>普段行事で早退や遅刻などしているので。</t>
  </si>
  <si>
    <t>取得するつもりはなかった, 職場の理解が無いし、そもそも有給がない</t>
  </si>
  <si>
    <t>企業と教育委員会との連携が取れてないものをポンと投げるのはどうなんですか？</t>
  </si>
  <si>
    <t>鳥取県内の企業と連携を取り、休みやすい環境を作ってください。有給のない人への配慮も。</t>
  </si>
  <si>
    <t>ホリデーをするのなら、保護者が休みやすい環境がとれるように各企業に、働きかけていただきたい。全ての人が有給制度の下で働いているわけではないので、その辺りも考慮して欲しい</t>
  </si>
  <si>
    <t>上井コミュニティセンターを利用した</t>
  </si>
  <si>
    <t>他の市町村もこの取り組みをしていたら取得していたと思う</t>
  </si>
  <si>
    <t>どこでも良い</t>
  </si>
  <si>
    <t>卒園した幼稚園のキャンプに参加した</t>
  </si>
  <si>
    <t>適切な時期はない</t>
  </si>
  <si>
    <t>子どもを休ませても、親は仕事を休めません。このような取り組みをするならば、職場などにも認知度を上げ、親も休暇をとれるような環境を整えてから実施すべきです。</t>
  </si>
  <si>
    <t>自分が休めば他の人が忙しい思いをするので。</t>
  </si>
  <si>
    <t>どちらも親は仕事なので正直困ります。</t>
  </si>
  <si>
    <t>休みの希望をしていたが休み希望が重なり休みがもらえなかった</t>
  </si>
  <si>
    <t>いつであっても市内全域が同時なら休みの希望が重なり無理だと思う</t>
  </si>
  <si>
    <t>一日中児童館利用となり子供は学校の方がよさそうです。</t>
  </si>
  <si>
    <t>子供の体調不良や、参観日等、行事の度に休みや半休を取っているので、なるべく休みを取りたくない為。</t>
  </si>
  <si>
    <t>家族で遊園地にいきました</t>
  </si>
  <si>
    <t>ふれあいホリデー実施日前日が参観日でした。連続して休暇を取れる方の方が少ない。</t>
  </si>
  <si>
    <t>同じ月、連日などに保護者が休暇を取得するような実施の仕方はやめてほしい</t>
  </si>
  <si>
    <t>小学校３年生, 中学校卒業後</t>
  </si>
  <si>
    <t>他の行事などで休み希望を出していたので、ふれあいホリデーのために更に希望を出すのが難しかった。</t>
  </si>
  <si>
    <t>参観日やマラソン大会など行事が重なって休みが取りづらかった。行事がない時が良いと思う。</t>
  </si>
  <si>
    <t>いつがよいか分からないが金曜日だと子供は嬉しいと思う。月ようでもよい。３連休となるため</t>
  </si>
  <si>
    <t>親は休みの希望が被るので休めるかどうか微妙な人が多いと思う、小さい子は児童館に一日中となり可哀想。</t>
  </si>
  <si>
    <t>県外の好きなキャラクターのイベントに参加した</t>
  </si>
  <si>
    <t>祝日の無い月</t>
  </si>
  <si>
    <t>淡路島へ一泊旅行に出掛けた</t>
  </si>
  <si>
    <t>ショッピングモールに行きました。</t>
  </si>
  <si>
    <t>早めに予定を具体的に教えていただけると助かります。</t>
  </si>
  <si>
    <t>そもそも限られた有給は子供の熱や行事の時に取って起きたい。国をあげてやるなら、わかるが会社も認知できてない状況で謎の取り組みをするのはおかしい。やるなら全ての会社にも伝わるようにするならわかるが</t>
  </si>
  <si>
    <t>そもそもが会社に言ってもらえますか</t>
  </si>
  <si>
    <t>やるなら統一してください。やってる事が中途半端。導入して無い地域の方が大多数。今の世の中、共働きが多いのに休めない人たちは弁当を作り、自分だけが、これじゃ休みじゃ無いと泣きじゃくる子供を学童に送迎した。まず無理だろうが会社に伝えて、会社から変えてくれ。
一部で盛り上がってるのかは知らないが、今のところ迷惑な事でしか無い</t>
  </si>
  <si>
    <t>休暇の予定にしていたが、児童クラブで友達と遊びたいとのことで預けた</t>
  </si>
  <si>
    <t>機運が醸成されていない。どうしても仕事しなければいけない方へ配慮された受け入れあっても良い✳︎児童クラブ以外</t>
  </si>
  <si>
    <t>家族の好きなタイミングで休みを取りたい。</t>
  </si>
  <si>
    <t>必要ない。</t>
  </si>
  <si>
    <t>河北小はマラソン大会、参観日、ふれあいホリデーと3日間続いていたのでその辺りの配慮は必要だと感じる。</t>
  </si>
  <si>
    <t>休めない環境のため</t>
  </si>
  <si>
    <t>小学校１年生, 小学校２年生, 小学校５年生</t>
  </si>
  <si>
    <t>小学校１年生, 中学校３年生</t>
  </si>
  <si>
    <t>他の小学校行事への参加も休みを取らなければいけない為、度々休みがとりにくかった。</t>
  </si>
  <si>
    <t>コミュニティセンターの企画に参加した</t>
  </si>
  <si>
    <t>家でのんびり</t>
  </si>
  <si>
    <t>祝日ではない平日なので休みが取りにくい</t>
  </si>
  <si>
    <t>他の学校行事で休みを取っていたから。何日も休みを取れないから</t>
  </si>
  <si>
    <t>下の子が小さいので遠出はできないため、午前は近場で公園などに行き、午後は友達が遊びに来てくれた。</t>
  </si>
  <si>
    <t>同じ週に参観日やマラソン大会もあり、休暇が取りにくい。</t>
  </si>
  <si>
    <t>休みを取りにくい</t>
  </si>
  <si>
    <t>イベントではなく、親の通院に一緒に出掛けた。</t>
  </si>
  <si>
    <t>年間３連休は沢山あります。
平日親は仕事です。
祖父母等、居られる家庭はよいです。
そうでない家庭は学童の弁当作り。
はっきり言わせていただきますが、親に負担がくるので、迷惑です。
カレンダー通りの祝日だけでは駄目なのでしょうか。</t>
  </si>
  <si>
    <t>要らない</t>
  </si>
  <si>
    <t>ふれあいホリデーいらない。</t>
  </si>
  <si>
    <t>休暇希望の人が多数いたから</t>
  </si>
  <si>
    <t>小学校３年生, 小学校５年生</t>
  </si>
  <si>
    <t>花回廊に行った</t>
  </si>
  <si>
    <t>もう少し早い時期がいい</t>
  </si>
  <si>
    <t xml:space="preserve">体験イベントがあっても保護者が休みでない時は会場までの交通手段が難しい。
</t>
  </si>
  <si>
    <t>他の日に休みを取っていたので（学校行事や全国大会など）控えた。</t>
  </si>
  <si>
    <t>通院</t>
  </si>
  <si>
    <t>実施しない</t>
  </si>
  <si>
    <t>倉吉市内の学校が一斉に休みになると、職場に小中学生の子供がいる親がたくさんいるため、自分だけ休むなんてできないし、仕事に支障が出てしまうから。</t>
  </si>
  <si>
    <t>時期ではなく、各学校で休みをずらすなどしてほしい。</t>
  </si>
  <si>
    <t>市内の学校を一斉に休みにして、喜ぶのは学校の先生くらいだと思う。平日に一斉に休みにされても、職場に小中学生の子供がいる親がたくさんいるため休みを取ることはできない。人手が足りなくなり仕事に支障が出てしまうため、今後も実施するのあれば、各学校で日にちをずらしてほしい。また、今回学校が休みで、学童に預けたため、余計な労力とお金がかかった。全然ふれあいホリデーのメリットを感じられず、マイナス面しか感じられなかった。</t>
  </si>
  <si>
    <t>大山に観光</t>
  </si>
  <si>
    <t>鳥取花回廊に出かけた</t>
  </si>
  <si>
    <t>9月や10月がよい</t>
  </si>
  <si>
    <t>休暇が取れるとは限らない。取れない場合は児童クラブを利用したり、祖父母にお世話になるしかない。そうすると、親子ふれあいホリデーの取り組み自体の意味を成してないと思う。</t>
  </si>
  <si>
    <t>こどもだけで参加できるイベントに参加した</t>
  </si>
  <si>
    <t>サービス業なのと、代わりをお願いしにくいため。</t>
  </si>
  <si>
    <t>やはりまだあまり周知されていない部分があり、休みを取りづらいので、全企業がそういった流れになっているとありがたいなと思います。</t>
  </si>
  <si>
    <t>6月、10月頃</t>
  </si>
  <si>
    <t>家族全員体調を崩していたのでゆっくり休んだ</t>
  </si>
  <si>
    <t>手伝いをしてもらった</t>
  </si>
  <si>
    <t>県外旅行に初めて行った</t>
  </si>
  <si>
    <t>月曜日の方がいいかも、と思いました。</t>
  </si>
  <si>
    <t>こんな事で仕事は休めない。</t>
  </si>
  <si>
    <t>適切な時期なんて無い</t>
  </si>
  <si>
    <t>簡単に仕事を休めない。お昼ご飯の用意等、負担が増えるだけ。</t>
  </si>
  <si>
    <t>ショッピング</t>
  </si>
  <si>
    <t>どんなイベントがどこでされているのか情報不足もあり、イベントには参加できなかった。市内で買い物をしました。</t>
  </si>
  <si>
    <t>仕事上、同じ年頃のお子様をお持ちの方もおり、ふれあいホリデーが実施される時、休みをいただいたら、仕事がまわらず、結局は休みがとれない状況になる。親が休めれないと、子供だけが休みで、ただゴロゴロと過ごすだけ。なんとも言えない感じ。</t>
  </si>
  <si>
    <t>倉吉博物館のイベント</t>
  </si>
  <si>
    <t>他の行事や参観日がない月や週</t>
  </si>
  <si>
    <t>参観日がある週だったので、週に何度も休むのは申し訳なく、参観日に(母は)参加できなかった</t>
  </si>
  <si>
    <t>友達が家に遊びに来ると、約束していた。親が居ない時にとても迷惑な約束だった。</t>
  </si>
  <si>
    <t>当日、子供が休みだと気付いた</t>
  </si>
  <si>
    <t>特に家族みんなで何かをする予定を考えていなかった為</t>
  </si>
  <si>
    <t>マラソン大会、参観日と連日行事がありやすみをとったため、休みがとれない。</t>
  </si>
  <si>
    <t>学校単位で実施するのではなく、企業も巻き込んでの実施でなければ、休みを取ることは難しい。</t>
  </si>
  <si>
    <t>土日に子どもと関わるようにしているため、あえて平日に休みを設定する必要を感じない。</t>
  </si>
  <si>
    <t>子ども園の参観日に参加</t>
  </si>
  <si>
    <t>胃腸炎のため</t>
  </si>
  <si>
    <t>子供の体調不良で有給を使うので</t>
  </si>
  <si>
    <t>仕事が休みの日に子供とはふれあっています。ねらいがまだわかりません。</t>
  </si>
  <si>
    <t>散髪 外食</t>
  </si>
  <si>
    <t>平日休み、土日仕事の仕事をしています。
人数も少ない職場なので、ただでさえ子供の行事で有給取得を最低限でとっていることろに、さらには言いにくい。
ふれあいホリデーがあることを上司につたえても「ふーん」で終わりました。
企業への推奨はどこの範囲でされているのでしょうか？少なくとも弊社は認知されてません。</t>
  </si>
  <si>
    <t>土日に組み合わせて三連休にとのことですが、保護者がみんな土日休みではありません。
そもそも土日休みの保護者は、土日仕事の保護者よりも普段から子供と触れ合う時間が多いのではないでしょうか？
土日仕事の保護者に対しての何かしら取組を構築していただきたいです。
また、企業への推奨は保護者の勤務先全部にしているのでしょうか？
少なくとも、私の企業は認知されていません。
倉吉の企業だけでなく、県内、中国地方、全国規模の拠点のある企業に推奨されてますか？
その拠点の長にだけ推奨されてもなかなか認知は難しいと思います。
実態把握を充分に行った上で実施していただきたいです。</t>
  </si>
  <si>
    <t>祝日振休がない月</t>
  </si>
  <si>
    <t>職場事務所内に少なくとも父親、母親の立場の職員が四人いましたが、誰も休んでいませんでした。休める時期ではないと思います。</t>
  </si>
  <si>
    <t>テーマパークに行った</t>
  </si>
  <si>
    <t>中間期末テスト勉強期間以外</t>
  </si>
  <si>
    <t>普通の平日でしたし、会社から推奨されていないので有給申請はしにくかった。</t>
  </si>
  <si>
    <t>県内の事業所等にもっと周知して、職場から推奨してもらわないとなかなか休暇はとれないと思います。
子供だけが休みなので、弁当を作ったり学童へお願いしたりと普段より朝の準備が忙しくなり大変でした。</t>
  </si>
  <si>
    <t>同じ部署で他にも同じように休暇を取得する人がいたので、休めなかった</t>
  </si>
  <si>
    <t>なくてよいと思います</t>
  </si>
  <si>
    <t>父は仕事が休めないので、母が友だち家族と外出</t>
  </si>
  <si>
    <t>両親ともに休めるといいと思う</t>
  </si>
  <si>
    <t>希望休暇を他の用事で他の日にとっていたから</t>
  </si>
  <si>
    <t>学校行事の少ない月</t>
  </si>
  <si>
    <t>ふれあいホリデーを作るなら、仕事も休める環境にしてほしい</t>
  </si>
  <si>
    <t>お昼ご飯を食べに出かけた。</t>
  </si>
  <si>
    <t>昼まで仕事して、午後からお休みした</t>
  </si>
  <si>
    <t>自宅でゲームなどをして過ごした</t>
  </si>
  <si>
    <t>ふれあいホリデーが休みの日と分かりにくかった</t>
  </si>
  <si>
    <t>冬季期間</t>
  </si>
  <si>
    <t>ユニバーサルスタジオジャパンへ家族で行った</t>
  </si>
  <si>
    <t>散髪、デイサービス</t>
  </si>
  <si>
    <t>？</t>
  </si>
  <si>
    <t>触れ合い休暇と言っても親が休みにくい。学校行事で休む事も多い。ので休暇取りにくい。</t>
  </si>
  <si>
    <t>倉吉市立図書館主催の図書館司書体験に、一緒に参加した</t>
  </si>
  <si>
    <t>イベントを増やして欲しい。</t>
  </si>
  <si>
    <t>子供とまちゼミ(中学校制服の試着会)に参加して、午後は祖母の家に行き食事をしたり、祖父母と家で遊んだりしました。</t>
  </si>
  <si>
    <t>親も休みが取れたら有意義に過ごせそうです。一日と言わず、もっと日数を増やしてほしい。</t>
  </si>
  <si>
    <t>姉妹で過ごした後、家族でゆっくり過ごした</t>
  </si>
  <si>
    <t>倉吉市外で働いています。忙しい時期に自分だけ休みを取れませんでした。</t>
  </si>
  <si>
    <t>連休のない6月など</t>
  </si>
  <si>
    <t>おかしづくり、予防接種</t>
  </si>
  <si>
    <t>いずれにせよ休みが取りにくく迷惑な休暇に感じます</t>
  </si>
  <si>
    <t>上記質問より休みが取りやすいのはごく一部の家庭かと想像します。まして、行事が多く、祝日が多い月はエッセンシャルワーカーに勤しむ我が家のような世帯は限られた休日がより狭められる事になりました。却って一家で過ごせる時間（日にち）が減りました。行政側は教員サイドの働き方改革を含めてやってる感を出してるのかもしれませんが、実際の所のはどうなんでしょうか？</t>
  </si>
  <si>
    <t>参観日やマラソン大会などの行事が連続で続き、休みがとりにくかったです。</t>
  </si>
  <si>
    <t>職場でも子育て世代が多く全員が休むと仕事が回りません。休まない人がいると休みにくいです。また保育園児が羨ましがったり兄妹含めてリズムが崩れるので必要ないと思いました。</t>
  </si>
  <si>
    <t>小学校３年生, 中学校２年生, 中学校卒業後</t>
  </si>
  <si>
    <t>県内観光&amp;トレーニング</t>
  </si>
  <si>
    <t>休みを取るのを忘れていた</t>
  </si>
  <si>
    <t>県外へ1泊旅行に行きました</t>
  </si>
  <si>
    <t>同じ学校の友だち家族と淡路島へ日帰り旅行に行きました。</t>
  </si>
  <si>
    <t>久しぶりに平日に家族でゆったりと豊かな時間を過ごせました。来年もぜひお願いします。</t>
  </si>
  <si>
    <t>サバゲー場に行き、食事をして帰りました。</t>
  </si>
  <si>
    <t>GWなのどの繁忙期は避けて欲しい。人は多い、値段は高い、サービスも低下しがち。そんな時にお金と時間を使いたくないです。</t>
  </si>
  <si>
    <t>仕事にでないといけないから</t>
  </si>
  <si>
    <t>外食　ショッピング</t>
  </si>
  <si>
    <t>祝日の無い6月</t>
  </si>
  <si>
    <t>体験活動で企業の参加を促してはどうか？</t>
  </si>
  <si>
    <t>風邪で看病していました。</t>
  </si>
  <si>
    <t>風邪の看病なので、休暇ではなかったから。</t>
  </si>
  <si>
    <t>お家でトランプなどをして遊んだ</t>
  </si>
  <si>
    <t>親子で本当でふれあって欲しいと思うなら、職場がもっと周知していて優先的に休めるようにして欲しい</t>
  </si>
  <si>
    <t>子供も行事があり、そちらに休み希望をとった為</t>
  </si>
  <si>
    <t>なくても良い</t>
  </si>
  <si>
    <t>どうしても休みがとれなかった場合に、子供だけで，過ごす事になるため、逆に寂しい思いをする子もいると思う。
先生方の就労時間短縮も必要であり、するべきでもあると思う。でも、その分、家庭に任せられることも増えた。悪いことではないと思うが、残業している親もいる中、結局、子供だけで家にいる時間は増えた。
子供にとっては、良いことでも全ての親が休まれるわけではないため、子供の安全面も心配ではあった。</t>
  </si>
  <si>
    <t>由良駅へ行き、汽車を見たり、コナンの像を見たりしました。</t>
  </si>
  <si>
    <t>自分は休暇が取得しやすかったので一緒に過ごすことができましたが、なかなか休暇が取れなかったという声が聞かれたり、知り合いの子は特に何もしていないと言っていたり、家庭間での過ごし方の差などが感じられました。
ただ、初めての試みなのでそう感じたのだと思います。この取り組みが何年と続くと保護者の間にも取り組みの意義や前もっての休暇取得など、子どもたちにとっても、いいものとなると思います。
ぜひ、続けてください！</t>
  </si>
  <si>
    <t>昼に外食</t>
  </si>
  <si>
    <t>誰のためにやってるのか。お役所仕事のように感じた。</t>
  </si>
  <si>
    <t>小学校４年生, 小学校５年生</t>
  </si>
  <si>
    <t>友人家族とホームパーティーをした</t>
  </si>
  <si>
    <t>有給がない</t>
  </si>
  <si>
    <t>適切な時期はそれぞれの家庭であるため決めて勝手に決めてもらっては困る</t>
  </si>
  <si>
    <t>今回、学校からの説明もなく、気づいたら学校が休みだった。働いている親には平日休みが難しい親もいるので、数カ月前にはしっかり説明をし、どの親も周知できるようにしてもらわないと困る。結局、子供一人で家で過ごすことになり親としては休んでやれなかったので、お互いに辛い日になってしまった。それぞれの家庭で都合の良い時にふれあいの日は作れるので、わざわざ休みを作ってもらわなくてもいいし、来年度は廃止してほしい。</t>
  </si>
  <si>
    <t>子供が中学生と大きくなっているから、会社に子供とのふれあいのための休みの申請をしにくい。</t>
  </si>
  <si>
    <t>ふれあいホリデーの日にちには、会社全体が休みになるように働きかけて欲しい</t>
  </si>
  <si>
    <t>夫が休めないと言っていたので取得しなかったが、前日に急に休むと言い出したため夫に子供を託して私は仕事に行った。事前に分かれば私も休みを取得した。</t>
  </si>
  <si>
    <t>平日になかなか休めないので、有休を取る良いキッカケになると思う。また実施して欲しい。</t>
  </si>
  <si>
    <t>休みが限られているため。
子供が病気等をした時に休まないといけないから。</t>
  </si>
  <si>
    <t>映画を見たり。　料理を一緒に作った。</t>
  </si>
  <si>
    <t>児童館</t>
  </si>
  <si>
    <t>必要ない</t>
  </si>
  <si>
    <t>中間期末近くになどに休みになっても遊べない。
保護者が一斉に休暇がとれるわけない。
普通に学校に行ってほしい。必要ない。</t>
  </si>
  <si>
    <t>親が休みを取れなくて、悲しい思いをする子どもがいるなら、やらない方がいいと思う。</t>
  </si>
  <si>
    <t>小学校２年生, 小学校４年生, 小学校５年生</t>
  </si>
  <si>
    <t>仕事してない</t>
  </si>
  <si>
    <t>職場に小学生のいる家庭が数名あり、その全員が休むと、業務が回らないため。</t>
  </si>
  <si>
    <t>職場でふれあいホリデー自体が知られておらず、取得の理解が得られなかった。</t>
  </si>
  <si>
    <t>意味の分からない休みを作るのはやめてほしい</t>
  </si>
  <si>
    <t>このホリデーの取り組みがあることを、実施日の数日前に知りました。
恐らく告知はされていたのだと思いますが、告知方法を工夫されてもと思いました。
授業の進め方などがあり難しいかと思いますが、ホリデーを柔軟に活用するためにも、いくつか候補日を設けて、そこから選択できると保護者は休みの調整がしやすいのかなと思いました。</t>
  </si>
  <si>
    <t>家族写真を撮りに行きました</t>
  </si>
  <si>
    <t>ジョイフルパークへ行った</t>
  </si>
  <si>
    <t>祝日の土曜の前の金曜日はホテルが高くなるので、通常の土日の前の金曜日がいい。</t>
  </si>
  <si>
    <t>祝日と絡めるとホテルが高くなる、予約が取りにくい、閑散期の土日の前の金曜日がいい。もっと前に休みの日にちを公表して欲しい。</t>
  </si>
  <si>
    <t>体調不良で安静にして過ごした</t>
  </si>
  <si>
    <t>両親が仕事で休めない友達と一緒に、県外のアミューズメントパークで出かけた</t>
  </si>
  <si>
    <t>ふれあいホリデーの前２日に学校行事があり、3日連続で仕事を休む必要があった。
その結果、両親そろっての休暇取得が出来なかった。行事の日程を検討してほしい。</t>
  </si>
  <si>
    <t>岡山</t>
  </si>
  <si>
    <t>鳥取市はゴールデンウィーク、11月ともに休みがある。倉吉市も同様に増やしてほしい。運動会振替休日等も含め金曜にして連休を取りやすくして欲しい。閑散期に県外に行ける予定にしると経験を積めるいい期間になる。世間の休みと同じだと旅費が高くなるので閑散期の金曜を休みにして欲しい。</t>
  </si>
  <si>
    <t>普通にむりです。みんな休みとったら出勤する人いません。</t>
  </si>
  <si>
    <t>通常の、休み以上休みを増やされたらこまる。</t>
  </si>
  <si>
    <t>子供が熱を出してしまったので、病院に連れて行ったりで、ゆっくり過ごす事は出来ませんでした。</t>
  </si>
  <si>
    <t>特にありません。</t>
  </si>
  <si>
    <t>一人暮らしの兄の家に行った</t>
  </si>
  <si>
    <t>仕事柄、平日休めず取得はできない。</t>
  </si>
  <si>
    <t>休めず児童クラブになるから弁当も作らないといけないし、負担が増える。学年が大きくなって児童クラブに入れない場合は、1日家で過ごすことになり心配が増えるだけ。</t>
  </si>
  <si>
    <t>小学校３年生, 小学校４年生</t>
  </si>
  <si>
    <t xml:space="preserve">水族館と遊園地へ行った
</t>
  </si>
  <si>
    <t>予定もないし、子供に休まなくていいと言われたから</t>
  </si>
  <si>
    <t>有給の残りが少なく、休めなかった</t>
  </si>
  <si>
    <t>企業に取得を促してほしい</t>
  </si>
  <si>
    <t>有休残日数が少なかったため。</t>
  </si>
  <si>
    <t>来年度以降は廃止してほしい</t>
  </si>
  <si>
    <t>日帰り旅行</t>
  </si>
  <si>
    <t>職場からの案内がない、市からの案内はしていますか？</t>
  </si>
  <si>
    <t>するならするで、市が職場に推奨しないと、意味がない</t>
  </si>
  <si>
    <t>平日は勤務日なので。</t>
  </si>
  <si>
    <t>実施しなくて良いです</t>
  </si>
  <si>
    <t>平日勤務の家庭は厳しいです</t>
  </si>
  <si>
    <t>県外の親戚の所へ</t>
  </si>
  <si>
    <t>11月は学校行事が多く休みにくい。行事の少ない月の方が休みやすい。</t>
  </si>
  <si>
    <t>いい取り組みだと思うがもっと倉吉市として未就学児にも広げたり、企業が休みやすいよう協力していく必要があると思う。</t>
  </si>
  <si>
    <t>児童館へ行った</t>
  </si>
  <si>
    <t>連休にする必要は無いのではないかと思う。</t>
  </si>
  <si>
    <t>家業がある為、地域で一斉に取り組む場合は休めない。
個々の家族がそれぞれのタイミングで取り組めるような仕組みがあれば良いと思う。</t>
  </si>
  <si>
    <t>ふれあいホリデーを知ったのは、1週間程前だったため、仕事も休めず、結局は祖母にみてもらう事になり、子どもと有意義に過ごす事ができませんでした。事前に把握できていなかったのもいけないのですが、もっと前からそういう日がある事をしっかり連絡していただけたらありがたかったです。マラソン大会の日程もそうで、全く知らず、1週間前の行事予定を見て知って焦りました。その日は、無理を言って仕事を休んだので、職場にも迷惑をかけてしまいました。上小鴨小学校の時はこんな事なかったのですが、小鴨に変わってから、把握できていない行事が多くて、困っています。早い段階で、わかりやすく連絡していただけるとありがたいです。</t>
  </si>
  <si>
    <t>小学校２年生, 中学校１年生</t>
  </si>
  <si>
    <t>特に考えていない</t>
  </si>
  <si>
    <t>雪の多い時</t>
  </si>
  <si>
    <t>仕事が忙しいし、ふれあいホリデーを知らない方ばかりなので言いにくい　家族がいるので、取らなかった</t>
  </si>
  <si>
    <t>実施される時期にもよるし、市外の勤務なのでなかなか伝わらないので休みづらい</t>
  </si>
  <si>
    <t>どこがどうとはかんがえられない</t>
  </si>
  <si>
    <t>友達と約束して、遊びに出かけた。</t>
  </si>
  <si>
    <t>いつやっても変わらない　</t>
  </si>
  <si>
    <t>子供と過ごそうと思っても、ある程度の年齢になると家族より友達と遊びたくなる。なのでふれあいホリデーというか、ただの休日と同じ。</t>
  </si>
  <si>
    <t>普段の土日のように過ごした</t>
  </si>
  <si>
    <t>ふれあいホリデーがあった頃に学校行事が2日あり、そちらに休暇を取ったので、同じ頃に何日も休みにくかった為。</t>
  </si>
  <si>
    <t>家族に学生がいないと、ふれあいホリデーの試行があることを知らない人もたくさんいると思うので、会社などにも状況を知ってほしい。</t>
  </si>
  <si>
    <t>どの時期に実施しても、仕事が休めるとは限らない。</t>
  </si>
  <si>
    <t>倉吉独自の休暇制度を実施しても、何の意味もないと思う。
仕事で休めるとは限らない。
返って、子どもの食事の準備をして仕事に行かなければならないのが面倒である。</t>
  </si>
  <si>
    <t>不要です。</t>
  </si>
  <si>
    <t>誰の為の休みか分からない。簡単に休めるわけがない。教員とその子供ぐらいしかメリットを感じない。預け先が無いから仕方なく休んでいる人は一体何人いるのでしょう？学童に普段預けている家庭はまだいいですが。体験、イベントに携わる方たちは当然、お子様のいない家庭、もしくは手が離れたような家庭だと思いたい。携わっているのであれば趣旨が理解できない。
今後の在り方を検討して頂いてほしい。</t>
  </si>
  <si>
    <t>フルタイムで働いていたら子どもの予定に合わせて休暇を取るのは無理</t>
  </si>
  <si>
    <t>いつでもいいが、休めるかどうかは不明</t>
  </si>
  <si>
    <t>休みたいけど休めない</t>
  </si>
  <si>
    <t>平日なら</t>
  </si>
  <si>
    <t>欠勤になり、給料も減ってしまう為</t>
  </si>
  <si>
    <t>無理やり休暇を作るのはやめてほしい。</t>
  </si>
  <si>
    <t>シングルマザーなので、働かないと生きていくのに必死な中、親が必要な休みはやめてもらいたいです。本当に困りました。</t>
  </si>
  <si>
    <t>米子の子どもが遊べる施設に遊びに行った。</t>
  </si>
  <si>
    <t>取得しにくかった, 11月になって知ったから</t>
  </si>
  <si>
    <t>前日と前々日に参観日などあり休暇取得していたから</t>
  </si>
  <si>
    <t>参観日や行事続きは休みを取りにくい。先生のための休みだと感じた。普段から親子でふれあえているから平日に休みの必要を感じない。</t>
  </si>
  <si>
    <t>業務多忙で取得できなかった, 取得したいが業務がまわらない。</t>
  </si>
  <si>
    <t>取得したいが、職員の大半が子育て世代、業務がまわらない。</t>
  </si>
  <si>
    <t>平等に取得できる体制にして欲しい。</t>
  </si>
  <si>
    <t>参観日等他の学校行事がある。何も行事が、ない月にして欲しい。</t>
  </si>
  <si>
    <t>子育て世代が平等に子供との時間をとれてこそがこの休暇の目的であり、他の友達は家族で過ごせ、また学童に預けることになるので有れば、この休暇は必要ない。
学校で過ごせる方がよっぽど親子のストレスにならない。
子供世代が、平等に休暇取得できる体制を作るべきである。</t>
  </si>
  <si>
    <t>マラソン大会、参観日と行事が連日あり有給を取得していたので、休みを申請することに無理がありました。会社は子供がいる方ばかりではないので子供のための休みとはいえ、なかなか理解を得るのは難しいです。学校行事ではないので、ふれあいホリデーという漠然とした取り組みに同僚に迷惑を掛けてまで休みをもらうことができませんでした。どう改善しても平日にこの目的で休みを取るのは今後も一部の方のためにしかならないと思うし、休みが取れなかったことを子供に対して申し訳なく考えてしまうこの取り組みが倉吉市の小中学校の子供達と保護者のために本当になっているのでしょうか。</t>
  </si>
  <si>
    <t>適切な時期はわかりません</t>
  </si>
  <si>
    <t>何か子供達への取り組みをと考えて頂いたのはありがたいです。ですが、平日に休みだと、1人家にいて1人でお昼ご飯を食べ、1日ゲームをしたりTVを見たりして過ごす子供もいるかもしれない。周りの友達は家族が休みを取れて楽しそうにしているのに自分は1人ぼっちだと寂しい思いをしている子がいるかもしれない。子供達への平等な取り組みならばそういうことも考えて頂きたいです。</t>
  </si>
  <si>
    <t>翌日のイベント参加の準備</t>
  </si>
  <si>
    <t>育休中</t>
  </si>
  <si>
    <t>職場でみんなが一斉に休暇をとることは不可能なので取得できなかった。</t>
  </si>
  <si>
    <t>職場でみんなが一斉に休みをとることはできないため</t>
  </si>
  <si>
    <t>特定の1日だと、職場でみんなが一斉に休暇がとれず、全く意味のない(むしろ子供が一人になってしまう)日になってしまうので、特定の1週間の間で1日取得など、方法を検討頂きたい</t>
  </si>
  <si>
    <t>買い物に出かけた</t>
  </si>
  <si>
    <t>ちょうど私が休みなのもあり、どこか出かけてみない？と誘ってみましたが「期末試験の課題をしたいから」と断られてしまい各々自由に過ごしました。</t>
  </si>
  <si>
    <t>テスト期間中や課題が出ているとき以外でしていただいたら誘いやすいかなと</t>
  </si>
  <si>
    <t>市立図書館や買い物へ行き、あとは自宅で過ごした。</t>
  </si>
  <si>
    <t>家族で旅行に行きたい</t>
  </si>
  <si>
    <t>業務多忙で取得できなかった, 同じ週に、参観日とマラソン大会があり、連続して休暇をとるのはさすがに難しかった。</t>
  </si>
  <si>
    <t>上記のとおり。同じ週に、参観日やマラソン大会があれば、連続して何日も休むことになり休みがとても取りづらい。</t>
  </si>
  <si>
    <t>学校行事と離すなど、休暇をとりやすい日にしてもらいたいです。今回、水曜日にマラソン大会、木曜日に参観日がある中で、金曜日に一日休みをとることは大変難しく、職場にも迷惑がかかります。来年も固まっていたら、休暇は難しいです。</t>
  </si>
  <si>
    <t>小学校５年生, 中学校卒業後</t>
  </si>
  <si>
    <t>もともと年休取得が難しい職場であり、数日後に参観日もあったため希望が出しにくかった</t>
  </si>
  <si>
    <t>この休日について認知されていなかったから</t>
  </si>
  <si>
    <t>職場にも認知してもらえるようにしていただけるとありがたいです。</t>
  </si>
  <si>
    <t>一緒にランチ、買い物にいき、その後は家でゆっくり過ごしました。</t>
  </si>
  <si>
    <t>ふれあいホリデーにピンときておらず、休みの目的が分かっていなかった。</t>
  </si>
  <si>
    <t>職場のボランティア活動</t>
  </si>
  <si>
    <t>取得しにくかった, 同じ職場内に市内の小中学生がいる人が何人もいると、全員休めない</t>
  </si>
  <si>
    <t>市内の小中学生がいる人が職場内に何人もいる</t>
  </si>
  <si>
    <t>市内の小中学生がいる保護者が必ずしも休暇がとれるとは限らない。休暇がとりたくても職場の人数が足らなくて仕方なく出勤する人もいる。その場合、結局は学童に行かせたり、家に子どもだけで留守番させることになる。留守番している子は大抵がゲームなどのメディアをしていたり、子どもだけでどこか遊びに行ってしまったり…。連絡もとれないし、仕事していても安心できない。どこがふれあいなのか不明。このふれあいホリデーをするなら、子どもだけ休むのではなく、保護者も必ず休むことができるようなしっかりとした市の取り組みを考えてほしい。小中学生だけ休まれても正直困る。</t>
  </si>
  <si>
    <t>周りの保護者の方の皆さんが仕事が休めない為、休暇は取らないと言われていた。この休暇があることで、学童に子どもを預けると言う方が多かった。学童に預けられない方は休暇を取得しなければならない為、この触れ合いホリデーはどうなのかと、言われていました。そのため、この休暇は意味があるのかわからなかった。休暇を取れる保護者はかなり少数になるかと思います。保護者の負担はかなりあったかと思います。</t>
  </si>
  <si>
    <t>小学校２年生, 小学校４年生, 中学校２年生</t>
  </si>
  <si>
    <t>買い物や食事を共にした。</t>
  </si>
  <si>
    <t>我が家では今年度はたまたま休暇を取得できたが、家庭によっては休暇を取得できない職種もあるのではないかと感じる。</t>
  </si>
  <si>
    <t>午前中、ゴビウスに行き、午後から米子の室内遊園地で一緒に遊んだ</t>
  </si>
  <si>
    <t>平日に学校が休みだと施設に行きやすいので継続して欲しい</t>
  </si>
  <si>
    <t>連休はありがたいが、金曜日より月曜日が良い</t>
  </si>
  <si>
    <t>・この取り組みについて周知されていないから。
・金曜日に休むと3連休になり、仕事が休みにくい。</t>
  </si>
  <si>
    <t>いつ実施されても休みにくいことには変わりない。</t>
  </si>
  <si>
    <t>父母共に休みがとれず、子どもを一人で留守番させることになり、申し訳なさでいっぱいでした。祝日のように、"必ず休み"という形であれば親子でゆっくり関わりを持つことは可能ですが、今年度のような実施の仕方では、仕事を休むことは難しいです。</t>
  </si>
  <si>
    <t>見にいきたかった映画を見にいった。</t>
  </si>
  <si>
    <t>仕事が休めないご両親のお家があるので、ふれあいというキャッチフレーズはやめた方がいい気がした。職場によってはほとんどの人が対象になり、休みが取りづらい職種もあるので前もって企業や職場等に周知してもらう必要があると思った。保護者から職場にこの休みを切り出すには勇気がいりそう。</t>
  </si>
  <si>
    <t>友達と遊んだ子とおばあさんの家</t>
  </si>
  <si>
    <t>普段行事事や子供の体調で休んだりするので休みにくい</t>
  </si>
  <si>
    <t>仕事が休みにくい家庭もあるので学校に行ってもらう方がよい</t>
  </si>
  <si>
    <t>祝日のない6月</t>
  </si>
  <si>
    <t>友達とJRで鳥取市へ行きわらべ館に行った。</t>
  </si>
  <si>
    <t>平日なので施設がすいていて良かったです。</t>
  </si>
  <si>
    <t>実家に帰省</t>
  </si>
  <si>
    <t>祝日が多いのにする必要がないと思います。親が休暇がとるのが大変</t>
  </si>
  <si>
    <t>ドライブ</t>
  </si>
  <si>
    <t>倉吉市外に出かけたい</t>
  </si>
  <si>
    <t>11月は参観日、マラソン大会に加えふれあいホリデーと毎週でした。休みたかったが休めるわけがない。やるなら、月も考えて欲しい。どこの小学校もマラソン大会は11月頃です。結局、1人で過ごすか学童なので可哀想でした。</t>
  </si>
  <si>
    <t>祭日の少ない月</t>
  </si>
  <si>
    <t>事前に保護者に説明して欲しい。11月に入りふれあいホリデーで学校休みと聞かされ家族も休めないし大変でした。他の子がお出かけしたと子どもが聞き羨ましがっていた。</t>
  </si>
  <si>
    <t>普段から子どもの行事や体調不良で休んでいるため</t>
  </si>
  <si>
    <t>いつにしても会社が休みでなければ同じだと思う</t>
  </si>
  <si>
    <t>対象の子供がいない家庭ではふれあいホリデーの周知がされておらず、休みを取り辛い。</t>
  </si>
  <si>
    <t>体調がイマイチだったので、
最低限のお買い物くらいでした。</t>
  </si>
  <si>
    <t>ちょうど誕生日だったので、家でお祝いしたあと旅行にいった</t>
  </si>
  <si>
    <t>先に仕事が決まっており、年度始め等予定がわかっていれば、休みを取れていた。ふれあいホリデーの前日、前々日とマラソン大会や授業参観で休みを取っていたし、23日、24日は祝日日曜で仕事を休み申請しているため、22日を急に休むという選択肢は取らなかった。実施するならもっと早くに通達してほしかった。であれば、休み取得は出来たので。</t>
  </si>
  <si>
    <t>いつ実施でも良いが、年度始め等決定を早めていただきたい。</t>
  </si>
  <si>
    <t>耳鼻科に行った。</t>
  </si>
  <si>
    <t>私は午後の短時間休みが取れたので、アレルギー持ちのため耳鼻科に連れて行きました。
倉吉市だけでするのではなく、中部地区全体もっといえば鳥取市がGWにしているのでそこに合わせるとかでやるべき。休みを取りやすい企業ばかりでは無い。お子さんの小さな家庭は休みが取れなければ学童をあてにする。学童の職員の中にも自分の子は家で休みなのにという方もおられると聞く。こんな小さな田舎なのに◯◯市は、◯◯町は　とナンセンスなことをするから浸透なんてしないし、家族で体験的な活動をという最上位の目標なんて到底、到達することはできないと感じた。そして体験活動を狙うのであれば、それ相応のイベントも打ち出すべき。首長レベルで、みんなでやりましょうと声を掛け合うべき。今年度はじめてなので次年度以降に楽しみにしています。</t>
  </si>
  <si>
    <t>蒜山高原センターに行ったり､岡山のパンケーキを食べに行ったりして母娘の時間を過ごした。</t>
  </si>
  <si>
    <t>自宅でゲームして過ごした</t>
  </si>
  <si>
    <t>旅行に行きたい</t>
  </si>
  <si>
    <t>参観日、マラソン大会など行事が重なった為、どこに休みをとるか子供と相談して22日に決めた。
正直、3日間も休みは取れない。職場が遠いので2時間有休をとっても足らない。
どうしよぅ、、と、悩みの種にもなるので3日連続はやめてもらいたい。</t>
  </si>
  <si>
    <t>わざわざ休暇を取らないと行けないので祝日等にしてほしい。</t>
  </si>
  <si>
    <t>由志園に紅葉ライトアップを観にいきました。</t>
  </si>
  <si>
    <t>他の行事で有休を取得しているため</t>
  </si>
  <si>
    <t>必要ないと思った</t>
  </si>
  <si>
    <t>今後続けていくのなら企業全体の協力が必要</t>
  </si>
  <si>
    <t>仕事だから</t>
  </si>
  <si>
    <t>そもそも子どもが大きい方やいない方はふれあいホリデーを知らない為伝えても理解して貰えない</t>
  </si>
  <si>
    <t xml:space="preserve">会社側にももっと説明して頂かないと休みがとれない。
</t>
  </si>
  <si>
    <t>もうしないでください</t>
  </si>
  <si>
    <t>また子供だけで過ごすことになります。</t>
  </si>
  <si>
    <t>NPO法人遊山の森が企画された会を利用した</t>
  </si>
  <si>
    <t>自分は自営業なので、休めば収入が減り休めないが、従業員は休ませたいので、せめて年度始めには早く事業所にも日程の決定を案内して欲しい。</t>
  </si>
  <si>
    <t>週末で勤務が多忙と分かっていたので</t>
  </si>
  <si>
    <t>普段我慢しているゲームセンターに行って思いっきり遊んだ。</t>
  </si>
  <si>
    <t>いつも習い事がありゆっくりできないのでこれをやっていただけると何もなく一緒に過ごせるのでやってほしい。</t>
  </si>
  <si>
    <t>野外活動参加</t>
  </si>
  <si>
    <t>シフトが決まっているから</t>
  </si>
  <si>
    <t>小中学校の休みでは親は対応できない。
お昼ご飯や日中の過ごし方の対応ですごく困る
市内中の会社を休みにしないと意味がない。</t>
  </si>
  <si>
    <t>学童の予定だったが風邪をひいてしまい、結果的に家で過ごすことになった。体調不良で寝ている間は動画で過ごしてもらったが、動画ばかりにならないようにお昼ごはんを一緒に作ったりはした。</t>
  </si>
  <si>
    <t>連休がすでにたくさんある中別途設置する意義がまだそこまで理解できない</t>
  </si>
  <si>
    <t>通常の連休じゃなく別途連休をもうける理由が今の説明ではわからないので、そのあたりが理解できる説明が必要だと思う。</t>
  </si>
  <si>
    <t>業務多忙で取得できなかった, 学校の単位の関係で休めなかった</t>
  </si>
  <si>
    <t>せめて、全県で取り組んでいたら、職場や学校の側も配慮できると思う。この形態では、実際に休暇を取れる人は少ない。</t>
  </si>
  <si>
    <t>せめて県下一斉に同じ日に実施して、保護者の職場も休業予定にしたりしたら、困る保護者は少ないと思う。ほんとにふれあいデーがあるの？と思いながら過ごした。もっと周知が進んでいき、例えば、危険のない事業所は子どもも一緒に出勤オッケー、とか、ざっくばらんに過ごせたらいいなと思う。継続して、良い形をぜひ模索してほしい。</t>
  </si>
  <si>
    <t>映画をみに行った</t>
  </si>
  <si>
    <t>一緒に買い物をしたりゲームセンターに行った</t>
  </si>
  <si>
    <t>主婦だから</t>
  </si>
  <si>
    <t>商業施設に行き、今親子ではまっているアニメのグッズなど買いに行った。</t>
  </si>
  <si>
    <t>普段バタバタと生活してる上で、子供に目線を合わせて話したり、遊んだりとなかなか出来なかったので、とても有意義な時間になりました。</t>
  </si>
  <si>
    <t>久しぶりに家族全員が揃ったので家でゆっくり過ごしました</t>
  </si>
  <si>
    <t>工作(レジンアクセサリー)を作ったり、
生地からピザを作って食べた。</t>
  </si>
  <si>
    <t>素敵な取り組みだと思います。当日イベントを探しましたが、あまり惹かれる物がなかったのが残念でした。もう少し広告やイベントなどを増やしていただいて、地域全体にこの取り組みを知ってもらい、父親達も休みやすい環境になると、もっと良い休日となるかなぁと思いました。</t>
  </si>
  <si>
    <t>業務が忙しく、休みが取りにくかった。</t>
  </si>
  <si>
    <t>適切な時期は、判断しにくい</t>
  </si>
  <si>
    <t>子どもとの時間を過ごす為の休みなら、やり方を考えた方がいい。必ずどこかにしわ寄せが来るから…</t>
  </si>
  <si>
    <t>職場で認知されてない</t>
  </si>
  <si>
    <t>一般家庭には意味がない</t>
  </si>
  <si>
    <t>普段なかなか行くことができない県内の観光地に行ったり大きな公園に行き思いきり遊んだ。</t>
  </si>
  <si>
    <t>平日なので、休めなかった。</t>
  </si>
  <si>
    <t>仕事を休める方はごく1部だと思う。就労なので仕事を休めない家庭の子供達を受け入れる側などにしわ寄せがいき、休みたくても休めない状況になってしまう方もいる。
まずは事前にアンケートなどを取り、それを元に計画するべきだと思う。</t>
  </si>
  <si>
    <t>中学生は試験前だったこともあり、みんなで出掛けようと言う事にはならなかった。</t>
  </si>
  <si>
    <t>平日に休みをとるのは負担が大きいし、職場のほとんどの人が子育て中なのでみんなが休む訳にはいかない。
普段限られた休日だが、その中でもしっかり家族と過ごしている。
土日に体験的学習活動等を実施すればよい。</t>
  </si>
  <si>
    <t>一緒にランチを食べました。</t>
  </si>
  <si>
    <t>自分で仕事時間を決められる仕事のため。</t>
  </si>
  <si>
    <t>父親は仕事でしたので、各職場が自由にその日は休みがとれるような取り決めがあれば嬉しいです。</t>
  </si>
  <si>
    <t>特に無し</t>
  </si>
  <si>
    <t>ふれあいホリデーと名前をつけて休みを作るのであれば親（職場）に対しても休みを設ける対策をしないといけない。逆に親の負担を増やすだけ。その他の子供の行事等で休みを取る方が優先的。</t>
  </si>
  <si>
    <t>倉吉未来中心へ出かけた</t>
  </si>
  <si>
    <t>倉吉だけでなく、湯梨浜も含めた、鳥取県中部で実施してほしい。</t>
  </si>
  <si>
    <t>家にある全てのテーブルゲームをしました。</t>
  </si>
  <si>
    <t>倉吉市図書館の図書館司書体験に参加しました。</t>
  </si>
  <si>
    <t>持病療養中</t>
  </si>
  <si>
    <t>仕事の予定が入った</t>
  </si>
  <si>
    <t>一斉に実施するのは難しいと思う</t>
  </si>
  <si>
    <t>◯ふれあいホリデーを実施するなら、保護者が休みやすい状況を作れるように、市から職場に呼び掛けることが必要だと思う。職種によって休みやすさ、休みにくさかあり、繁忙期もそれぞれ異なるため、一斉に、というのは現実的でない。
◯当日、子供を学童に預けたが、あまり預からないように言われていると、学童の先生は困惑していた。学童に行かせると弁当を用意しないといけない。負担が増える。
すごく中途半端な取り組みだと感じた。
◯すべての家庭が円満なわけではない。自宅に居場所がない子供、給食が大切な栄養源になっている子供もいる。ふれあいホリデーの日に家で虐待を受けた子供もいたかも知れない。
全てが円満な家庭前提の取り組みは、とてもリスキーだし、そこに標準を合わせてはいけない。
こういうことをするなら、そういう子供の受け皿を用意してからにしていただきたい。
◯学童の受け入れ制限などは、倉吉市がされたのですか？
はっきり言って、頭がお花畑です。
きちんと考えて実施されたこととは、とうてい思えません。</t>
  </si>
  <si>
    <t>祖父母の家に遊びにいった</t>
  </si>
  <si>
    <t>未就学児, 小学校１年生, 小学校５年生, 中学校１年生</t>
  </si>
  <si>
    <t>休暇が取れない</t>
  </si>
  <si>
    <t>休暇が取れない家庭の子どもが家でダラダラ過ごさず、普段とは違った休日を過ごせるように子どもだけで参加できる体験イベント等が充実すると良いと思います</t>
  </si>
  <si>
    <t>特別な事はなく、通常の休日のように過ごしました</t>
  </si>
  <si>
    <t>主婦</t>
  </si>
  <si>
    <t>間際まで休暇のことを知らなかった。周りも知らない人が多かった。</t>
  </si>
  <si>
    <t>未就学児, 小学校２年生, 小学校４年生, 小学校６年生, 中学校２年生</t>
  </si>
  <si>
    <t>ふれあいホリデーが直前まで何なのか知らなかったから為</t>
  </si>
  <si>
    <t>普段から家族で過ごす時間が少ないので家族で過ごしたいが、その為の休みなら全会社に周知してもらい親も休みになるようにしてほしい</t>
  </si>
  <si>
    <t>販売業の為、11月も祭日が多く、ゴールデンウィークも休みがとれないので祭日が少ない月がいい</t>
  </si>
  <si>
    <t>そもそもこの休みが何の為の休みなのか周知していない親も多いです。こういう休みがあるのなら倉吉の会社にも周知しないと休みもとりづらいし、子どももイベントには参加していない子もいていつも通りの休みまたは
子どもだけで過ごす子もいました。周知が足りないと思います。</t>
  </si>
  <si>
    <t>島根にでかけた</t>
  </si>
  <si>
    <t>出かけやすい時期(気温や病気の流行などを考慮して)</t>
  </si>
  <si>
    <t>休みになる場合は早めに教えていただきたいです</t>
  </si>
  <si>
    <t>パソコンで入力練習</t>
  </si>
  <si>
    <t>倉吉市立図書館の謎解きをし、お話会に参加</t>
  </si>
  <si>
    <t>お休みを取りにくい保護者さんの声を聞きます。企業などにむけて、呼びかけをするのはいかがでしょうか。</t>
  </si>
  <si>
    <t>下の子が風邪気味だったので家の中でのんびり過ごしました</t>
  </si>
  <si>
    <t>無職だから</t>
  </si>
  <si>
    <t>常に一緒にすごしているので我が家には関係ない</t>
  </si>
  <si>
    <t>祝日がない6月だと子供も息抜きに良いと思う</t>
  </si>
  <si>
    <t>親に合わせるのではなく、子供に合わせるという取組みは良いと思う。無駄な夜の部会を減らして子供と過ごす時間を奪うことを見直して欲しい。</t>
  </si>
  <si>
    <t>担当の業務があるため、平日の休みは取りにくい。</t>
  </si>
  <si>
    <t>せめて、お弁当持ちで自由登校にしてほしい。</t>
  </si>
  <si>
    <t>やめてほしい。</t>
  </si>
  <si>
    <t>安易に休みが取れる保護者は多くはないのでは？普段、学童利用もしていないので、その日だけ、飛び込みで学童に行けるわけでもないし、家族と過ごすことが目的の休日が、逆に子供たちだけで留守番させてしまう休日になる。
せめてその日は自由登校にして、授業の進度が影響しない体育、音楽、レクレーションなどしてはどうか？</t>
  </si>
  <si>
    <t>いつもと変わらず家で過ごした。</t>
  </si>
  <si>
    <t>保護者、親へ提案なく勝手にふれあいホリデーというふざけた休暇を実施され、迷惑でした。親は繁忙期なので休みを取りたくてもとれない。よく分からない休み、休暇の取得も考えませんでした。</t>
  </si>
  <si>
    <t>今年度でやめてください。来年度の実施は反対です。</t>
  </si>
  <si>
    <t>来年度は実施しないでください。</t>
  </si>
  <si>
    <t>繁忙期で休めない親は子どもに対してとても罪悪感を感じました。これが毎年されて、友達や学校の中でふれあいホリデーの話になった時にふれあいホリデーで休めない親は子どもはどんな気持ちになるでしょうか？そこまで考えましたか？ふれあいホリデーに学童へ行く子ども、学童へ行かせる親の気持ちを考えましたか？
また、これに伴い幼稚園も自由登園、自宅で保育が可能な人は休ませてほしい、給食からお弁当への変更。とってもとっても負担でした。
子どもを休ませるのであればまずは企業も職場も全て休みがとれる事を前提に行ってほしい。こんな屈辱的な休みは今までありませんでした。なにが面白くてふれあいホリデーを実施したのでしょうか。来年度以降は絶対に行わないで下さい。</t>
  </si>
  <si>
    <t>愛犬と一緒にドッグランへ</t>
  </si>
  <si>
    <t>イベントが多い時期</t>
  </si>
  <si>
    <t>家の中だと結局メディア、ゲームになる。地域などイベントごとが多い時にした方が外に出て過ごしやすい</t>
  </si>
  <si>
    <t>県外のおばあちゃんのお見舞いに行った。</t>
  </si>
  <si>
    <t>ちょうど弟のまま食いがあったので
みんなが集まってごはんを食べたりした</t>
  </si>
  <si>
    <t>働いていたらなかなか週末の前に有休を
とることができないし、土曜が休みではないので
金曜と土曜日休み取るのは大変。
土日で十分。
金曜休みにしたところで学童はあいていた
みたいなので、預ける人は多いと思うので
意味がないのでは、、、と思いました。</t>
  </si>
  <si>
    <t>倉吉市博物館の午後からのイベント</t>
  </si>
  <si>
    <t>どこでも</t>
  </si>
  <si>
    <t>仕事も気軽に休めるように周知して欲しい。体験的学習をさせたくても送迎が必須になる。何のための休みかよくわからなかった。</t>
  </si>
  <si>
    <t>家族と買い物</t>
  </si>
  <si>
    <t>お任せします</t>
  </si>
  <si>
    <t>事前にわかっていたので、予定がたてやすかったです</t>
  </si>
  <si>
    <t>他の従業員の休みの兼ね合い</t>
  </si>
  <si>
    <t>仕事の具合によるので何とも言えない</t>
  </si>
  <si>
    <t>買い物に行って、子どもと好きなことをした！ピザを食べたり。一緒にゲームをしたり。</t>
  </si>
  <si>
    <t>子どもと触れ合える機会はとてもありがたいのですが、緊急時(特別休暇が無かったり)などに使いたい為、有給を使うのに抵抗がありました。親も休みやすいようにしていただきたいです。</t>
  </si>
  <si>
    <t>ごはんを食べに行ったり、ショッピングしたりしました。</t>
  </si>
  <si>
    <t>夏休み等の長期休暇期間</t>
  </si>
  <si>
    <t>今のところ専業主婦なのでいつでも一緒に過ごせますが、働くとなると、職種にもよりますが、普段の決まっている休日とは別に休みを取得しないといけない人もいると思うので難しい気がしました。普段から子供の体調不良や学校行事で休みや半日休暇、中抜けなどしなければならないこともあると思うので、ふれあいホリデーと言っても会社の人達の理解が得られなければなかなか休ませてと言いづらい人も多いと思います。</t>
  </si>
  <si>
    <t>学校行事、土日と前後に挟まれており連続になるため仕事周りの事も考えると休みたくても休みを取ることが難しい。</t>
  </si>
  <si>
    <t>一斉に実施するのは難しい</t>
  </si>
  <si>
    <t>〇ふれあいホリデーを実施するなら、保護者
が休みやすい状況を作れるように、市から職
場に呼び掛けることが必要だと思う。職種に
よって休みやすさ、休みにくさかあり、繁忙
期もそれぞれ異なるため、一斉に、というの
は現実的でない。
〇当日、子供を学童に預けたが、あまり預か
らないように言われていると、学童の先生は
困惑していた。学童に行かせると弁当を用意
しないといけない。負担が増える。
すごく中途半端な取り組みだと感じた。
〇すべての家庭が円満なわけではない。自宅
に居場所がない子供、給食が大切な栄養源に
なっている子供もいる。ふれあいホリデーの
日に家で虐待を受けた子供もいたかも知れな
い。
全てが円満な家庭というのが前提の取り組みは、とてもリスキーだし、そこに標準を合わせてはいけない。
こういう取り組みをするなら、円満でない子供の受け皿を用意してからにしていただきたい。
〇学童の受け入れ制限などは、倉吉市が呼びかけられたのですか?
はっきり言って、頭がお花畑です。
きちんと考えて実施されたこととは、とうて
い思えません。</t>
  </si>
  <si>
    <t>一緒にスイーツ作りをした</t>
  </si>
  <si>
    <t>平日業務が忙しい職場で普段から平日の1日休みは少なく取得しづらかった。</t>
  </si>
  <si>
    <t>小学生、中学生、高校と全てが休みではどの親も休みを取得するわけにいかないと職場で話になりました。子育て世代が多く全員が休見たくても休めないです。
せめて休む日を小学生、中学生は変えるべきだと思います。</t>
  </si>
  <si>
    <t>職種によってはどうしても休めないこともあるので、子どもを預ける場所が必要になったり親子の時間を過ごせない罪悪感も生まれたのが正直な感想です。</t>
  </si>
  <si>
    <t>鳥取市まで買い物</t>
  </si>
  <si>
    <t>小学校１年生, 小学校５年生, 中学校１年生, 中学校３年生</t>
  </si>
  <si>
    <t>親子でクッキング</t>
  </si>
  <si>
    <t>全員が休めば仕事がまわりません。</t>
  </si>
  <si>
    <t>全員が同じ時には無理だと思うので親の休みを推奨されるなら市役所の方がまずは率先して休みをとってみてはどうですか。</t>
  </si>
  <si>
    <t>美容院、昼食</t>
  </si>
  <si>
    <t>小学校２年生, 中学校卒業後</t>
  </si>
  <si>
    <t>職場は2人体制なので、1人休んだ場合出勤しないといけないため。</t>
  </si>
  <si>
    <t>もっと大々的にふれあいホリデーの周知が必要だと感じます。
恥ずかしながら、私自身も直前まで子供にそのような休みがあると知りませんでした。</t>
  </si>
  <si>
    <t>県外へ家族旅行した</t>
  </si>
  <si>
    <t>日程が分かり次第（年度始めとかのタイミングで）教えて欲しい。
他の小中学校行事が重複しないようにして欲しい</t>
  </si>
  <si>
    <t>小学校５年生, 小学校６年生</t>
  </si>
  <si>
    <t>みんなでホラーゲームみたり。</t>
  </si>
  <si>
    <t>こどもの国</t>
  </si>
  <si>
    <t>図書館</t>
  </si>
  <si>
    <t>昼食を、食べに行く</t>
  </si>
  <si>
    <t>仕事のため</t>
  </si>
  <si>
    <t>ちょうど体調不良のため</t>
  </si>
  <si>
    <t>もう少し早めに教えて欲しかった。親が仕事を休めれば良いが必ず休めるわけではないので大変です。</t>
  </si>
  <si>
    <t>午前中は仕事だった為、午後から半休をもらい自宅でゆっくり会話したりして過ごした。</t>
  </si>
  <si>
    <t>子どもだけで友達と過ごした</t>
  </si>
  <si>
    <t>有給休暇の残が少ないため</t>
  </si>
  <si>
    <t>実施に反対です</t>
  </si>
  <si>
    <t>休み希望日が月3日の為、取得しにくい</t>
  </si>
  <si>
    <t>イベントがあり参加した</t>
  </si>
  <si>
    <t>春には事前に分かってはいたものの、仕事が忙しく休める環境ではなかった</t>
  </si>
  <si>
    <t>仕事を休み、いつもの様に家ですごした</t>
  </si>
  <si>
    <t>主旨が浸透していない為か、無理に平日仕事の休みを取得し子どもと過ごす事の重要性があるのか？と思います。「ふれあい」「体験学習」は土日にしっかりしています。
学校や先生方の労働時間削減の一部では？と捉えてしまいます。
意図は何だろうか？と周りの保護者間では不評でした。
「体験的学習活動等休業日」という名前では分かりづらいのと、名前と活動の一致感が親子で知れるとまた違うのかもしれません。</t>
  </si>
  <si>
    <t>１日目は校内マラソン大会、２日目は参観日、３日目がふれあいホリデーではとても仕事との調整が付かない。夫婦で分担したがとても無理。</t>
  </si>
  <si>
    <t>学校の行事と続かない様にして下さい。</t>
  </si>
  <si>
    <t>父親主催の音楽イベントに向けてリハーサル</t>
  </si>
  <si>
    <t>トム・ソーヤ牧場、ラピスパに行った。</t>
  </si>
  <si>
    <t>他の理由で休まざるを得ないことが多く、有休を残しておきたい為。</t>
  </si>
  <si>
    <t>連休になるような日程がいい。</t>
  </si>
  <si>
    <t>県外にドライブに出かけました</t>
  </si>
  <si>
    <t>母子家庭です。これまで普段なかなか
仕事で一緒に過ごしてやれてなかったのですが、一緒に休暇を取りました。
受験生の娘が気分転換になったと
喜んでいました。</t>
  </si>
  <si>
    <t>職場で、このことで同日に休む人が何人もおり、一気に休むと職場がまわらない。</t>
  </si>
  <si>
    <t>無責任な取り組みはやめて欲しい。</t>
  </si>
  <si>
    <t>とても迷惑。
職場からはふれあいホリデーについて推奨もなく、そもそも倉吉市から各企業に説明がしてあるのか。休みが取れるなど、なんの説明もなく配慮もない。職場に何人も倉吉市の人がいて、その人たちが全員休むと仕事が回らない。結局は休みは取れず、でも子どもは1人になるから、誰かを頼って預けなければならない。学童も、子どもとの関わりを大事にしてくださいと預かってくれない。本当に迷惑。こんな機会を作らなくても子供との関わり、時間、ふれあいは十分作っています。
とても迷惑なので、来年以降やめてほしい。
これがあることで、保育園幼稚園の預かり制限もかかり、本当に大変だった。仕事があるのに、家で見て欲しいと短時間にされた。
また、開催時期候補に、ゴールデンウィーク期間中とあるが、ゴールデンウィークの平日を休みに設定するなど、もってのほか。全保護者が休める環境にあるなどと、勘違いしないでください。本当に迷惑です。</t>
  </si>
  <si>
    <t>有給が入ったばかりで使いたくなかった。学童も利用できるので。</t>
  </si>
  <si>
    <t>無くてよい</t>
  </si>
  <si>
    <t xml:space="preserve">休日に一緒に遊んでいるしわざわざ学校を休みにしてまで実施しなくても良いと思う。
</t>
  </si>
  <si>
    <t>図書館の司書体験</t>
  </si>
  <si>
    <t>祝日がない6月がいいと思う</t>
  </si>
  <si>
    <t>全国で行うとか、鳥取県全てで行うなら、制度のアピールもできると思いますが、倉吉市だけやっても、一部の大人だけが休んでいる程度なので、あまり盛り上がらないし、この制度の必要性を感じにくい。</t>
  </si>
  <si>
    <t>市内で外食しました</t>
  </si>
  <si>
    <t>市役所の窓口に行ったりおばあちゃんの家に行った。</t>
  </si>
  <si>
    <t>10月や11月は学校行事が多く、他にも仕事を休む日が多いので、休みにくい。</t>
  </si>
  <si>
    <t>学校行事が少ない時期や祝日がないような月がいい。親全員が休みを取れるわけではないと思う。この取り組みの意図があまりわからない。</t>
  </si>
  <si>
    <t>皆が休みをとれるとも限らない中、適切な時期も人それぞれだと思う</t>
  </si>
  <si>
    <t>国民の休日でもないのに、ふれあいホリデーと称して子どもにとっては絶対の休日を設けられても、働く親が多い中困る保護者も多いと思う。このような意図で休日を、ということであれば、親も子どもも完全に休めるような社会状況にしなくては意味がない。</t>
  </si>
  <si>
    <t>平日にしか参加できない工場見学に行った。</t>
  </si>
  <si>
    <t>鳥取全県で同じ日になるとよいかな？と思いました。</t>
  </si>
  <si>
    <t>まちゼミに参加した</t>
  </si>
  <si>
    <t>有休が無く、欠勤になってしまうため取得しにくかった。</t>
  </si>
  <si>
    <t>連休にして休めない</t>
  </si>
  <si>
    <t>普通に学校に行ってほしい</t>
  </si>
  <si>
    <t>小学校１年生, 小学校５年生, 小学校６年生</t>
  </si>
  <si>
    <t>社会的に周知していただかなければ、休みが取得しづらいと思いました。</t>
  </si>
  <si>
    <t>小学校３年生, 小学校５年生, 中学校２年生</t>
  </si>
  <si>
    <t>中学校のテスト期間じゃない時で</t>
  </si>
  <si>
    <t>イオンに行きショッピングを楽しんだ</t>
  </si>
  <si>
    <t>職場でも推奨されていないし、有給も残り少ない、仕事も多忙なため</t>
  </si>
  <si>
    <t>有給が取得しにくい家庭には、とても厳しい。子供と一緒に過ごせないし休めないことに罪悪感を感じてすごく嫌だった。</t>
  </si>
  <si>
    <t>子どもたちは、休日が増えて喜んでいた。
しかし、親が休めて、普段とは違う経験、体験が出来る子と、親が仕事を休めないので、学童、または、家で子どもだけで過ごす子の差が出来て、そこはどうかと思う。
ありがたいことに、我が子の学童では、イベントを企画してくださり、凄く助かりました。</t>
  </si>
  <si>
    <t>県外に旅行に出かけた</t>
  </si>
  <si>
    <t>休みがとりづらいので、なんとも言えない</t>
  </si>
  <si>
    <t>休暇を増やされたら仕事している人は困る</t>
  </si>
  <si>
    <t>普段休みの日に触れ合っているのに、わざわざ平日に、休暇を作る必要があるのか？
仕事がある人は困る。
有給が足りない人もいたり、仕事上休んであげたくても休めなくて一緒に過ごせない親子もたくさんいると思う。
そうなると、切ない思いをするのは誰だと思いますか？
その辺もしっかり考えて欲しい。</t>
  </si>
  <si>
    <t>6月なら祝日ないので良いと思う</t>
  </si>
  <si>
    <t>サービス業や自営業の人は休めないので、結局ふれあえない。</t>
  </si>
  <si>
    <t>休みがどうゆうものか認知されてないので、休みにくい。休んだとしても公休にはならないので有給休暇になってしまう。</t>
  </si>
  <si>
    <t>家で父親とサッカーなどして遊んだ</t>
  </si>
  <si>
    <t>人手不足です</t>
  </si>
  <si>
    <t>休暇を小中ある世帯が一斉に休んだら職場が回らない　</t>
  </si>
  <si>
    <t>休みが一斉に取れるところはいいけど、取れないので非現実的な計画</t>
  </si>
  <si>
    <t>休めないから</t>
  </si>
  <si>
    <t>休みが取れる親ばかりではないのでやめたほうがいいと思う</t>
  </si>
  <si>
    <t>子育て家庭の職員がたくさんおり、取得しにくい。</t>
  </si>
  <si>
    <t xml:space="preserve">我が家は子どもだけで過ごしたが、小さい子どもの家庭は、結局、学童に全て負担がいったと思う。親子で過ごす休暇だと思うが、今回、職場でも休暇をとった人が少なく、休暇もとりづらい雰囲気があった。
厳しいことを言うようであるが、今回は教師のための休みではないかと捉えてしまう。
本来の目的を達成するためには、親の職場を完全に休みにしないと、学校を休みにしたとしても親が休めず、親子の時間はつくれない。
今年のような、子どもだけの休みであれば、来年度はホリデーは設ける意味はない。
また、話は脱線してしまうが、以下は意見です。
先生の業務を見直しておられると思うが、子どもたちと向き合う時間まで削減されてるように感じる。（毎日の子どもたちの帳面の日記がなくなってしまったのがとても残念。考えて自分の気持ちをアウトプットし、手書きをすることで先生とやりとりをする子どもからの習慣がなくなってしまうのは、お互いが向き合う時間を奪ってしまっていると思う。先生も一人ひとりの考えていることが、日々のやりとりではわからないのではないかと思う。）
業務改善であれば、先生はいらないと思う。AIが勉強を教えればいいと思う。学校の先生でしか教えることができない、集団生活で生きること、人間力などを、子どもたちに伝えてほしい。
</t>
  </si>
  <si>
    <t>土日休みの仕事なので一緒に過ごすのは土日で充分。わざわざ平日に休みにしてほしくはないから</t>
  </si>
  <si>
    <t>もっとほかにふれあい出来ることをした方がいい。休みにするなら親が休まないといけないので補償をしてほしい</t>
  </si>
  <si>
    <t>博物館のイベントに参加</t>
  </si>
  <si>
    <t>そもそもこの休みの認識がなかった。新聞で知った。</t>
  </si>
  <si>
    <t>のんびり、お庭遊び、ゲーム</t>
  </si>
  <si>
    <t>祝日が少ない月</t>
  </si>
  <si>
    <t>未就学児, 小学校６年生, 中学校２年生</t>
  </si>
  <si>
    <t>職場で推奨されなかった。</t>
  </si>
  <si>
    <t>職場の理解をもう少し呼び掛けるべき</t>
  </si>
  <si>
    <t>小学校４年生, 小学校５年生, 中学校１年生</t>
  </si>
  <si>
    <t>週休二日制の為、有給でとることになるので。</t>
  </si>
  <si>
    <t>祝日のない週にしてほしい</t>
  </si>
  <si>
    <t>ふれあいの為に作られた休暇なのに、親が休めなかったら意味がないと思った。
子どもたちだけで１日家の中で過ごすことになった。</t>
  </si>
  <si>
    <t>ふれあいホリデーの意味を知らなかった</t>
  </si>
  <si>
    <t>友達グループとお出かけ</t>
  </si>
  <si>
    <t>医療職なので休みにくい。お知らせが事前にはあったが、知らなかった人もたくさんいた。</t>
  </si>
  <si>
    <t>事前にお知らせはありましたが、あまり周知はされていない取り組みだった。
家族、親子で過ごすことは大切だとは思うが、医療職のため仕事を休むのは難しい。、親もしっかり有給を使って家族時間を作る意識付けにもなるのはいいことだと思う。</t>
  </si>
  <si>
    <t>放課後等デイサービス</t>
  </si>
  <si>
    <t>職場で推奨されたが取得しなかった, 取得するつもりはなかった, 取得しにくかった</t>
  </si>
  <si>
    <t>欠勤扱いになり、給料が減ってしまう。</t>
  </si>
  <si>
    <t>適切な時期などないと思う。</t>
  </si>
  <si>
    <t>仕事をしないと生活できないので、このようなふれあいはやめてもらいたい。</t>
  </si>
  <si>
    <t>買い物に出掛けた</t>
  </si>
  <si>
    <t>その時にならないとわからない</t>
  </si>
  <si>
    <t>仕事上、休みがとりにくい。その時にならないと何もわからない。</t>
  </si>
  <si>
    <t>今回は休みが取れ子供と過ごすことが出来たが休みが取りやすい仕事環境ではない為、このような休みは正直いらない。わざわざ休みを設けなくても、土日や長期休みに一緒に過ごす時間は作れている。実際学童を利用している家庭もあり、親子で過ごして欲しいという目的であれば学童も休みにするべき。そうでもしないと、仕事を休むことはしないと思う。</t>
  </si>
  <si>
    <t>ふれあいホリデーがあることを知らなかった為休みの希望を出していなかった。そもそも用事があるわけでもないのに忙しい時期に平日に休みをとる事に抵抗がある。</t>
  </si>
  <si>
    <t>他の家庭がどうなのか分からないですが、無くて良いと感じました。学校が休みで弁当等の準備もしなくてはいけないし、休みが取れない家庭は子どもに申し訳ないです。
平日に両親とも休める家庭がそんなにあるのかも疑問です。金曜日休んだとしても土曜日仕事なら三連休になりません。
忙しい家庭にはこの取組みは負担です。</t>
  </si>
  <si>
    <t>同じ週の20日、21日に小学校行事が入っており、そちらを優先したため。そもそも慶弔や行事以外での休暇の申請は難しい。</t>
  </si>
  <si>
    <t>仕事を考えるとどの時期がよいとも言い難い</t>
  </si>
  <si>
    <t>今回は放課後児童クラブを利用しました。同建物内の児童センターとコミセンでイベントを開催されたので子どもだけでそちらに参加しました。仕事の都合もあり、親としてはそのために平日休みを取るのは難しく思います。我が家は普段から休日に行われている地域の催しなどに親子で参加するようにしています。</t>
  </si>
  <si>
    <t>子どもの誕生日プレゼントを一緒に買いに出かけた。</t>
  </si>
  <si>
    <t>ふれあいホリデー自体、保護者の職場に認知されていない。職場側から休暇を取るよう言われると、子どもの為に休暇が取りやすい。</t>
  </si>
  <si>
    <t>ふれあいホリデーという取り組みが全く周知されていないので休みが取りづらい。ふれあいホリデーを行うのであれば、職場の休みも取りやすいように活動していただきたい。</t>
  </si>
  <si>
    <t>子供だけ休みになってもふれあいホリデーにはならない。大人が職場を休みやすいようにまずは取り組むべき。</t>
  </si>
  <si>
    <t xml:space="preserve">業務多忙で取得できなかった, </t>
  </si>
  <si>
    <t>時期問わず</t>
  </si>
  <si>
    <t>必ずしも子どもと過ごせる親ばかりではないので、過ごせなかったときの
子どもの気持ちを考えると切ないものがあります。</t>
  </si>
  <si>
    <t>小学校３年生, 中学校３年生, 中学校卒業後</t>
  </si>
  <si>
    <t>取組の趣旨は理解しますが、夏休みなどの長期休業で事足りると思います。</t>
  </si>
  <si>
    <t>イベントに参加</t>
  </si>
  <si>
    <t>時期はいつでもよいが、参観日、マラソン大会など校内行事と重ならない時期。</t>
  </si>
  <si>
    <t>「ふれあい…」として日にちを設定するのであれば、親も気兼ねなくその日に休みが取得できるよう、企業側に指導的に要請してほしい。あるいは、日にちは家族の都合にあわせ、自由に設定できるようにしてほしい。
勝手な日にち設定で気兼ねなく休むことができる親が、教員以外にどれだけいるのか？よく考えてほしい！</t>
  </si>
  <si>
    <t>職場には、子どもがふれあいホリデーの親はほかにもたくさんいる。みんなが仕事休めるなら休んで子どもと過ごしたいが、そうしてしまうと社員がへり業務が回らない。無理。</t>
  </si>
  <si>
    <t>いつでもいいが、倉吉市一斉はやめてほしい</t>
  </si>
  <si>
    <t>学校ごとで、ふれあいホリデーの日にちが違うといいな。そうすれば職場も皆が休みが合わさることが少なくなるので、休みやすいと思う。</t>
  </si>
  <si>
    <t>釣りに出かけた</t>
  </si>
  <si>
    <t>勤務先の人員が少なく、当日は会議も入っていたため休むことができなかった。
休みを申し出にくかった。</t>
  </si>
  <si>
    <t>いつでもいいと思います。</t>
  </si>
  <si>
    <t xml:space="preserve">「ふれあいホリデー」はいい企画だな、と思いました。今回は残念ながらお休みが取れず、子どもだけで過ごしてしまいましたが、来年もあるのなら是非一緒に過ごしたいと思います。
今後休みやすいように、企業にも周知する必要があると思います。
</t>
  </si>
  <si>
    <t>普段の土、日と同様に、家でゆっくりと過ごしました。</t>
  </si>
  <si>
    <t>同じ週に参観日、マラソン大会があり行事が重なり休みが取れなかった</t>
  </si>
  <si>
    <t>学校公開や参観日と重ならない様にしてほしい</t>
  </si>
  <si>
    <t>同じ週に学校行事が重なると、一緒に過ごしたくても過ごせれない、とても困った
ただ子どもだけの休みになる、、
職場でも、ふれあいホリデーの理解は少ないというか周知されてないから休めれない</t>
  </si>
  <si>
    <t>自分の業務的に忙しい日程だったため、別の日程なら休めていた。</t>
  </si>
  <si>
    <t>何月でもいいが、月の前半が良い</t>
  </si>
  <si>
    <t>休みが取りやすいように、市としての行事として、職場にも働きかけをお願いしたい。</t>
  </si>
  <si>
    <t>11月は、学校イベントが多くそこに有給を当てた。プラスふれあいホリデーに休みを取得。
連続有給申請‥会社員には、辛い。
まして、同日に希望者が全て休めるとは限らない。
個人的には、ラーケーションの実施希望。</t>
  </si>
  <si>
    <t>家族で日帰り温泉</t>
  </si>
  <si>
    <t>なかなか休みにくいのはホントですが、だからこそ、この機会があれば休みやすく家族と触れ合える機会があり良かったのかなぁと思います。</t>
  </si>
  <si>
    <t>平日に休みは取れない</t>
  </si>
  <si>
    <t>県外へおでかけ</t>
  </si>
  <si>
    <t>各校で日程を変えても？同じだと職場が回らない場合もある。</t>
  </si>
  <si>
    <t>平日に家族みんながみんな休めるとは限らないと思います。</t>
  </si>
  <si>
    <t>休暇を取得するのを忘れてた</t>
  </si>
  <si>
    <t>これ以上休日を増やすのはやめて欲しい。ただでさえ祝日も増えてるのに。休みを増やしてしっかり授業は出来ているのか不安だ。</t>
  </si>
  <si>
    <t>児童館に参加</t>
  </si>
  <si>
    <t>知らなかった。</t>
  </si>
  <si>
    <t>一月前から教えて欲しい。休みが取りづらい</t>
  </si>
  <si>
    <t>お昼ご飯を食べに出かけました
その後家で友達と遊んだ</t>
  </si>
  <si>
    <t>子どもと一緒に過ごしたい気持ちはあるが、平日休みを取るのはなかなか難しいと思う。</t>
  </si>
  <si>
    <t>今回の取組の周知が徹底されてなかった、何のための休みか分からなかった。休みということすらギリギリまで分からなかった。</t>
  </si>
  <si>
    <t>そもそもいらない</t>
  </si>
  <si>
    <t>親がみんな自由に休めるわけではないので、普通に学校に行ってくれる方が助かる。
親が休めなければこの休みは意味がない。</t>
  </si>
  <si>
    <t>普通に生活した。</t>
  </si>
  <si>
    <t>業務多忙で取得できなかった, 自営業だから, 取得しにくかった</t>
  </si>
  <si>
    <t>自営業は、取得しにくい仕事です。</t>
  </si>
  <si>
    <t>休みが取れるなら、子供達がやりたいことを一緒に行いたい。</t>
  </si>
  <si>
    <t>とても、休みが取りにくいタイミングだったと思う。鳥取市のようにゴールデンウィークや大型連休や前後に実施するのが良いのでは？と個人的に感じます。</t>
  </si>
  <si>
    <t>図書館の謎解きイベント</t>
  </si>
  <si>
    <t>平日は休みが取りにくい。学校が休みでも親は簡単に合わせられない。</t>
  </si>
  <si>
    <t>初めて新幹線に乗ってUSJへ旅行しました。</t>
  </si>
  <si>
    <t>親が休みを取得しやすいように、会社にも伝えてあると、休みが取りやすい。</t>
  </si>
  <si>
    <t>実施するのであれば、なかなか休暇を取れない職種も多いと思うので、子供だけで参加できる体験イベントを増やして欲しい。</t>
  </si>
  <si>
    <t>休暇の希望が出せる期間内に、11/22がふれあいホリデーであることを知らなかった。ふれあいホリデー自体も知らなかった。</t>
  </si>
  <si>
    <t>病院　図書館</t>
  </si>
  <si>
    <t>無くて良い</t>
  </si>
  <si>
    <t>普通に学校で良い</t>
  </si>
  <si>
    <t>ふれあいホリデーを知ったのが、直前だったため業務を調整できなかった</t>
  </si>
  <si>
    <t>何か特別な活動に取り組むのではなく、ただただ子どもと一緒にゆっくり過ごしたい。</t>
  </si>
  <si>
    <t>10月以外</t>
  </si>
  <si>
    <t>良い機会だと思ったが、急だったので休みを取ることができなかった。年度はじめなどに、余裕をもって告知をしてもらいたい。(されていたのかもしれないが、実施の数週間前に新聞紙面で知った)
ふれあいホリデーの翌週、子どもから「(自分の友達は)みんなお昼ごはんは“ぼっちごはん”だったらしいよ」と言われた。改めて、休みを取って子どもと一緒に過ごしてやりたかったと感じた。
保護者の有給取得促進をねらいのひとつとしてもらうのはありがたいが、児童への教育的配慮に欠ける、大人の都合を子どもたちに押し付けた強引な実施だったように感じる。
このような意見はきっと公表されないんだろうなとも思っている。</t>
  </si>
  <si>
    <t>買い物等、一緒に出かけた</t>
  </si>
  <si>
    <t>・市内以外の学校や高校とも時期を合わせたら、もっと予定も立やすいと思った。家族が揃わなかった。</t>
  </si>
  <si>
    <t>蒜山でサイクリング</t>
  </si>
  <si>
    <t>友達と家で一緒に遊んだ</t>
  </si>
  <si>
    <t>仕事が休みにくいので、参観日などの学校行事がない週にしてほしい</t>
  </si>
  <si>
    <t>お昼ご飯を食べにいった</t>
  </si>
  <si>
    <t>土日祝</t>
  </si>
  <si>
    <t>平日はやめて欲しいです。親、会社ともに負担になる。仕事を休めない親からしたら1人で過ごさせるのは心配。それに、昼食の準備、学童ならお弁当。そして、学童受け入れは3年生までなので、兄弟が低学年と高学年ならバラバラ。みんなが子供と触れ合える時間を作れるとは限らないのかなと思いました。
親としては、平日は学校に行ってくれてたら給食もあり一日過ごせるので安心です。
ふれあいホリデーをこれからもするなら、学校の体育館や図書館を一日中開放して欲しい。親子で過ごせない子供もとりあえずで行く場所があるなら友達とも過ごせるし良いのかなと（←細かい事は考えてないので思いつきです）
今回、1番思ったのは、学校側が土日祝の宿題を無しにてもらえたら、学習活動等をしなくて良いので、ふれあいホリデーになります。
子供も親もニコニコです♩</t>
  </si>
  <si>
    <t>今回土曜日に私用があり連日休暇は取りにくかった。</t>
  </si>
  <si>
    <t>カラオケ、買い物、ランチなど。</t>
  </si>
  <si>
    <t>未就学の兄弟がいて普段出来ない事を上の子どもとしたい。</t>
  </si>
  <si>
    <t>専業主婦なので三連休でなく、平日の真ん中にあっても良いなと思いました。
丸一日1人につきっきりで過ごす時間は中々取れないのでとても良い取組みだと思いました。</t>
  </si>
  <si>
    <t>一緒にご飯を食べた</t>
  </si>
  <si>
    <t>公園で遊んでお買い物した</t>
  </si>
  <si>
    <t>主人は倉吉市勤務ですが県職員なので会社から休むようには言われませんでした。
もっと倉吉市全体に知ってもらって仕事を休みやすくしてほしい。</t>
  </si>
  <si>
    <t>シフトで出勤が決まっていたから</t>
  </si>
  <si>
    <t>天気が悪かったので家でテレビを見たり、子ども（保育園児）の予防接種に行ったりした。</t>
  </si>
  <si>
    <t>育休中で休みだった</t>
  </si>
  <si>
    <t>祝日を絡めない週末の金曜日か月曜</t>
  </si>
  <si>
    <t>祝日のある週は外して欲しい</t>
  </si>
  <si>
    <t>映画を観に行った</t>
  </si>
  <si>
    <t>家族と祖母と一緒に買い物や食事をし、色々な会話をして楽しく過ごした。</t>
  </si>
  <si>
    <t>休暇を取りやすい環境の家庭は良いが、みなさんが休暇を取れる環境ではないと思うので、職場の方にも理解し、休暇を取りやすくしてもらえるように周知していけれたらもっと良いかなと思う。学校行事（参観日等）と同じ週だった学校もあるようなので、休みを取りやすいように、週をかえてもらいたい。</t>
  </si>
  <si>
    <t>発熱し安静に過ごしてた</t>
  </si>
  <si>
    <t>家でテレビを見た</t>
  </si>
  <si>
    <t>平日だと休みが取れない人が多いのであまりいい企画とは思えない。</t>
  </si>
  <si>
    <t>期末前だったので、自宅でテスト勉強をしていた。授業の不満を色々と聞くことができた。</t>
  </si>
  <si>
    <t>学習、休息に充てる。</t>
  </si>
  <si>
    <t>週末につなげると休みが長くなるため飽きた。我が家には不要。</t>
  </si>
  <si>
    <t>普段から十分コミュニケーションを取っているのでわざわざの休日は不要。余計なお世話と感じる。必要な時は学校を休ませる。我が家では、教師が休みたいだけということで子どもと意見が一致。</t>
  </si>
  <si>
    <t>知らなかった</t>
  </si>
  <si>
    <t>仕事上理由のない休みは取得しにくいため</t>
  </si>
  <si>
    <t>どの時期でも同じ</t>
  </si>
  <si>
    <t>両親とも仕事を持っている家庭が多いと思われる。職場が「ふれあいホリデーの日は積極的に休みを取らせる」という環境を作らない限りは、平日になかなか休みを取りにくいのではないか。</t>
  </si>
  <si>
    <t>もっと早くから周知してほしかった
会社側は知らないと思う</t>
  </si>
  <si>
    <t>学校を休みにしても、社会一般的に休みではないため、業務を回すため休めない状況にあります。一部の子どもにとっては楽しい日かもしれないが、子どもに寂しい思いをさせ、親が休みを取らないのは自分が大事にされていないからではと考える子どももいるかもしれません。心のケアが必要になるようなふれあいホリデーは、意味があるのかと疑問に思います。</t>
  </si>
  <si>
    <t>取得するつもりはなかった, 取得しにくかった, ふれあいホリデーを知らなかった</t>
  </si>
  <si>
    <t>有給の残り日数が少なかった</t>
  </si>
  <si>
    <t>シフト制の職場で、休み希望を出したつもりだったが出来ておらず、勤務表が完成してからの変更は難しかったため。</t>
  </si>
  <si>
    <t>ランチ・ショッピング</t>
  </si>
  <si>
    <t>マラソン大会、参観日と行事でお休みをもらっていたため。</t>
  </si>
  <si>
    <t>お昼ご飯を外食にした</t>
  </si>
  <si>
    <t>家族ですごす</t>
  </si>
  <si>
    <t>学校行事であっても親は四苦八苦しながら休暇を申請しているのが現状です。
結局、1人でも留守番が出来る子なら親は仕事、子どもは自宅で留守番。1人では留守番が出来ない子なら、親は“学校行事ではないのに”休まねばならなくなり肩身が狭い。という気がします。</t>
  </si>
  <si>
    <t>旅行行きました</t>
  </si>
  <si>
    <t>元々出勤の日であったため
休むと仕事に支障が出るため</t>
  </si>
  <si>
    <t>仕事の関係で休むことが難しいため無くてもいいと思う。普段から子供と接するため改めて休みとしてしなくても良いと思う。</t>
  </si>
  <si>
    <t>小学校１年生, 中学校１年生, 中学校卒業後</t>
  </si>
  <si>
    <t>家でゆっくりしました。</t>
  </si>
  <si>
    <t>専業主婦なので。</t>
  </si>
  <si>
    <t>10月ごろ天気もよくてコンサートなど楽しめるイベントがたくさんあるので。</t>
  </si>
  <si>
    <t>10月はたくさんのイベントがありますが。11月はあまりないのでどんなイベントがあるのかまとめて教えてもらいたいです。</t>
  </si>
  <si>
    <t>病院</t>
  </si>
  <si>
    <t>たまたま休暇が取得できたが、仕事の調整が利かない場合、子どもだけを留守番させることになる。（学童も利用者が居なかった）
家で遊ばせるだけなら、通常通りの授業が良い。
イベント参加にしても、主催者の側に親が居ればその人は休めない。
目的は分からないでもないが、親だけでなく一般にも周知して、理解を得られないと継続は難しいのではないかと思う。</t>
  </si>
  <si>
    <t>家族で旅館に宿泊した。</t>
  </si>
  <si>
    <t>職員がいなく休めない</t>
  </si>
  <si>
    <t>前日、前々日も小学校の行事で休暇を取得しており、休みにくかった。</t>
  </si>
  <si>
    <t>そもそも、何のための休みなのかを知らず、後になって気づきました。見落としていたのかもしれませんが、保護者向けに文章などで「ふれあいホリデー」の説明があると良かったです。来年以降は、遅くとも前月までに、知らせて頂けたら休暇取得も検討出来るかと思います。</t>
  </si>
  <si>
    <t>未就学児, 小学校４年生, 中学校１年生</t>
  </si>
  <si>
    <t>野外活動に参加した。</t>
  </si>
  <si>
    <t>子どものみ参加の野外活動に参加したため取得する必要がなかった。</t>
  </si>
  <si>
    <t>児童館に入れないお兄ちゃんは家で過ごしました。仕事の関係で</t>
  </si>
  <si>
    <t>親が休めないので意味はないと思います</t>
  </si>
  <si>
    <t>なくていいと思います</t>
  </si>
  <si>
    <t>その週に参観日とマラソン大会があり（小学校）続けて休みが取れない。</t>
  </si>
  <si>
    <t>取得しにくかった, 職場から奨励はなかった</t>
  </si>
  <si>
    <t>倉吉市以外の方はこの取り組みを知らなかった</t>
  </si>
  <si>
    <t>時期の問題ではない</t>
  </si>
  <si>
    <t>意味がない取り組みだと思う。子どもだけ休みにされても、すべての親が仕事を休める環境にないため、休める親は良いが休めない親にとっては、弁当作りや児童クラブの時間に合わせた送迎など負担が増えるばかりである。</t>
  </si>
  <si>
    <t>未就学児, 小学校４年生</t>
  </si>
  <si>
    <t>取り組みとしては素晴らしいと思いますが、保護者が仕事を休むことなどできない家庭は結局子供さんを学童に行かせたり、留守番になってしまうケースをたくさん聞きました。企業にも理解をしてもらい、休暇を取りやすくするとか、そこに勤める保護者と一緒に出来る体験イベントを開催してもらうなど、様々な工夫もこれからはいるのではないかなと思いました。</t>
  </si>
  <si>
    <t>ボランティア</t>
  </si>
  <si>
    <t>県外に出かけた</t>
  </si>
  <si>
    <t>普段行けないところに行く</t>
  </si>
  <si>
    <t>取り組みの目的を理解していない人が多すぎる
来年度以降も取り組むのなら周知の方法を考えた方がいい。
年に1回この取り組みを実施しただけで目的が達成できるとは到底思えないし、取り組み自体が教育委員会の自己満足にしか過ぎない。
仕事を休めない人の為の受け皿を児童クラブにしてしまうと休めないではなく休まない人が出てくると思う。そもそも児童クラブを開けると児童クラブに勤務している方は休めないのでは
ないですか？子供だけで参加できるイベント開催、その際のバス送迎等もっと方法を考えた方が良いと思う。</t>
  </si>
  <si>
    <t>お買い物、昼ごはん</t>
  </si>
  <si>
    <t>学校行事が少ない時がいい。その方が休みが取りやすい</t>
  </si>
  <si>
    <t>少人数での仕事で、シフトが決まっているため</t>
  </si>
  <si>
    <t>決まっている休み以外は、休めない</t>
  </si>
  <si>
    <t>すいませんが、実施しないでいいと思います。</t>
  </si>
  <si>
    <t>子供たちのラッキーな休みだけになってるような気がしますが…。</t>
  </si>
  <si>
    <t>業務多忙で取得できなかった, いまひとつ趣旨がわからず、親も休みを取得して、というような流れとは知らなかった</t>
  </si>
  <si>
    <t>趣旨が理解できない</t>
  </si>
  <si>
    <t>普通に仕事の日  
子どもが休みになったところで、親の仕事には関係ない 
祝日でもないのに休めない</t>
  </si>
  <si>
    <t>保護者の仕事にはふれあいホリデーは関係がないので、休みは取りにくい
ふれあい？とは、なりにくいですね</t>
  </si>
  <si>
    <t>ふれあいホリデーがあっても職場で推進されてない。するなら倉吉市全体で休日にするべき。</t>
  </si>
  <si>
    <t>仕事を休めないので、やめてもらいたい</t>
  </si>
  <si>
    <t>職業柄休めないのでやめてもらいたい</t>
  </si>
  <si>
    <t>この制度じたいどうなのかと思う。</t>
  </si>
  <si>
    <t>前日に学校行事で休みをとっていたので続けて休暇をとるのは難しい為</t>
  </si>
  <si>
    <t>個人的には他にも三連休がある為実施はなくても良い</t>
  </si>
  <si>
    <t>学校行事が小学校、中学校とある為ふれあいホリデーの為の希望休みは難しい</t>
  </si>
  <si>
    <t>いつ実施しても同じかなと思います。</t>
  </si>
  <si>
    <t>皆が皆、休みをとれるわけではないし、子どもがいる家庭ばかりの職場だったら、仕事にならないので、これを来年以降も続けるのは難しいのではないかと思う。結局どこかしらに負担がかかるだけなのではないか。</t>
  </si>
  <si>
    <t>小学校２年生, 小学校３年生, 中学校３年生</t>
  </si>
  <si>
    <t>有休がない</t>
  </si>
  <si>
    <t>スポーツクライミングをした</t>
  </si>
  <si>
    <t>目的をはっきりさせて、保護者も積極的に休暇が取れるように働きかけてほしい</t>
  </si>
  <si>
    <t>小学校４年生, 小学校６年生, 中学校卒業後</t>
  </si>
  <si>
    <t>取得しにくかった, 状況的に休めない</t>
  </si>
  <si>
    <t>休めるものなら休みたかったが、他の人に休みを先取りされてしまい、休める状況ではなかった。結果、休めなかった。</t>
  </si>
  <si>
    <t>よく分からないが、行事の多くないタイミングが望ましいと思う。</t>
  </si>
  <si>
    <t>とにかく、市内全て同日はやめて欲しい。本当に対象の保護者が全員休んだら、職場によっては業務に支障をきたすことになる。
これを利用して休めたご家庭はいいかもしれないが、休めなかった家庭もあるはずなので、とても不公平だと思うし、休めなかったせいで子どもに残念な思いをさせているようだ。
今回利用できなかった家庭については、別日に同様の休暇を取得できるような、何か施策はないのか？
地区ごとで分ける、または、2回に分けて、どちらか１回を利用してもらい、少しでも分散させる、など対応策がないのなら、いっそのことやめた方がいいと思う。</t>
  </si>
  <si>
    <t>休日の理由を知らなかった</t>
  </si>
  <si>
    <t>子供を持つ親が多いので休みがとれない</t>
  </si>
  <si>
    <t>休みはとれないと思う</t>
  </si>
  <si>
    <t>なかなか休みが取れないし、休みがとれたとしても普段の休日と変わらないと思う</t>
  </si>
  <si>
    <t>とても良い取り組みだと思いますが、職場の中に小中学生を持つ親が沢山いるため、自分が率先して休暇を取ることはしにくいです。職場にも、その取り組みの理解がなければ、推奨もされないので、各職場にもできる限りの休暇を推奨する依頼文書等があれば、有難いです。</t>
  </si>
  <si>
    <t>良い取り組みなので、継続はして頂きたいですが、職場の理解が得られるように対策が必要かと思います。</t>
  </si>
  <si>
    <t>お友達親子とランチに出かけた</t>
  </si>
  <si>
    <t>子の体調が悪かったため、自宅で読書をしたり、ゆっくりと過ごした</t>
  </si>
  <si>
    <t>有給推奨という意図を知らなかった。</t>
  </si>
  <si>
    <t>休暇取得の促進をもっと、企業や一般に広報しないと意味のない事だと思う。</t>
  </si>
  <si>
    <t>保護者の休みやすい時期</t>
  </si>
  <si>
    <t>今回、子供に合わせて休めない保護者が多いと感じたので、『ふれあいホリデー』と言うネーミングは相応しくないと思う。ふれあえない子供も親も可哀想だと思いました。親も確実に休暇となる祝日にできるならいいと思います。</t>
  </si>
  <si>
    <t>お菓子作りをした。</t>
  </si>
  <si>
    <t>未就学児, 小学校３年生, 小学校６年生</t>
  </si>
  <si>
    <t>いつもの休日のように家で過ごし特別な事はしていない</t>
  </si>
  <si>
    <t>休み希望が月3日しかなく難しかった</t>
  </si>
  <si>
    <t>平日休みは難しいと思う。</t>
  </si>
  <si>
    <t>他に有給を取らなければいけない日があるから</t>
  </si>
  <si>
    <t>会社側から勧めてほしい</t>
  </si>
  <si>
    <t>家族旅行</t>
  </si>
  <si>
    <t>11月22日以外</t>
  </si>
  <si>
    <t>11月23日には、全国の神社で新嘗祭が行われ、連休を活かして活動しようとすると、地域の行事とバッティングする。
この度、同様の取り組みが他県でも実施されていることを知らず、県外旅行を計画したが、平日にもかかわらず旅行先が混雑しており、拍子抜けした。他市、他県での取り組み状況について情報提供いただけるとありがたい。</t>
  </si>
  <si>
    <t>児童クラブのボランティアへ行った。</t>
  </si>
  <si>
    <t>職場では小学校低学年のお子さんをお持ちの方の方が休みを取った方がいいと思った。1人で留守番できる年齢の子まで休暇を取れば､職場はまわらない。</t>
  </si>
  <si>
    <t>適切な時期があると思わない</t>
  </si>
  <si>
    <t>なんとか半日休みをとって家でゆっくり過ごしました。</t>
  </si>
  <si>
    <t>行事の少ない月が休みを取りやすいです。</t>
  </si>
  <si>
    <t>子供（保育園の弟あり）の行事で仕事を休むことが多いので、取得しづらかった。ふれあいホリデーをよく認識していなかったので、もし来年もあれば子供と過ごす時間にあてたいと思う。</t>
  </si>
  <si>
    <t>祝日がない月</t>
  </si>
  <si>
    <t>卒園した保育園でのイベント</t>
  </si>
  <si>
    <t>午後から退勤後に参加した。</t>
  </si>
  <si>
    <t>家でゆっくり過ごしたり、買い物へ行ったり</t>
  </si>
  <si>
    <t>企業や事業所へ直接提案やお願いをしなければ個人としては休みを取りづらいと思う。</t>
  </si>
  <si>
    <t>無くして欲しい</t>
  </si>
  <si>
    <t>仕事は休めなかったので職場兼実家に一緒に出勤した</t>
  </si>
  <si>
    <t>月末前で忙しかった為</t>
  </si>
  <si>
    <t>料理教室、体育館遊び</t>
  </si>
  <si>
    <t>ショッピング外食</t>
  </si>
  <si>
    <t>祝日のない月</t>
  </si>
  <si>
    <t>学生の身分な為、休暇を取ることはできず、欠席扱いとなるため</t>
  </si>
  <si>
    <t>県民の日</t>
  </si>
  <si>
    <t>県民の日だと、公共施設が無料なので、体験活動促進が促されるのではないか。様々な家族の形であったり、働き方であったり、平日に養育者が休みたくても休めない現状を理解した上での、取り組みであってほしい。</t>
  </si>
  <si>
    <t>米子市に家族で買い物等に出かけて食事</t>
  </si>
  <si>
    <t>友達が家に来てくれて、遊んだりしました。</t>
  </si>
  <si>
    <t>午後、お菓子を作った</t>
  </si>
  <si>
    <t>業務多忙で取得できなかった, 母親は専業主婦、父は業務多忙</t>
  </si>
  <si>
    <t>基本的にサービス業等は休暇取得しづらいので、ゴールデンウィーク期間にくっつけたりするのが一番な気がします。
企業にも休暇取得をすすめては？
ふれあいホリデー自体全く知らなかったのでもっとこういったものがあるのを市全体で周知して欲しい。</t>
  </si>
  <si>
    <t>こどもたちの希望で家族でカラオケ、外食を楽しみました。</t>
  </si>
  <si>
    <t>家族で過ごしたい。</t>
  </si>
  <si>
    <t>自宅で子供と料理をしたり、映画を観た。</t>
  </si>
  <si>
    <t>専業主婦なので、休日取得の必要が無かった。</t>
  </si>
  <si>
    <t>ゴールデンウィークの間の平日などに設定していただけると、家族との予定が合いやすくて良いです。</t>
  </si>
  <si>
    <t>業務多忙で取得できなかった, 取得しにくかった, 事業主がふれあいホリデーを知らない、推奨してこない</t>
  </si>
  <si>
    <t>医療、介護、福祉に従事する保護者皆が取得しようとしたら、どうなるのかを想像して欲しい。</t>
  </si>
  <si>
    <t>実施しないで欲しい。誰が得をする休みなのか知りたい</t>
  </si>
  <si>
    <t>実施しないで欲しい</t>
  </si>
  <si>
    <t>もし、来年度も実施するのであれば、全ての企業、事業主に周知させ、該当する職員を休ませるように勧告するべきである。休めない子どもは、1人で家で過ごす。誰が得をする取り組みなのかを理解ができない。</t>
  </si>
  <si>
    <t>温泉に行った</t>
  </si>
  <si>
    <t>11月22日は半日しか休めなかった。21日に参観日、20日マラソン大会と行事が重なりすぎて、毎日休みは取れないので大変困りました。参加できなかった行事もあり、何を優先するのか…ふれあいホリデーをするなら、日程をもっと考えていただきたい。また市町村で日にちが同じだと、職場で被ってしまい、休みが取れない。市町村で日にちを変えて欲しい。</t>
  </si>
  <si>
    <t>家でくつろいだ</t>
  </si>
  <si>
    <t>ない</t>
  </si>
  <si>
    <t>少人数の職場であり、そもそも休みにくい。子どもの病気等の為に休みを取っておきたい。</t>
  </si>
  <si>
    <t>長期休暇に合わせて欲しい</t>
  </si>
  <si>
    <t>まず親の職場で休みを取りやすいように行政から働きかけて欲しい、職場の上司はふれあいホリデーについて何も知らなかった</t>
  </si>
  <si>
    <t>休暇を取得する職員が多かったため</t>
  </si>
  <si>
    <t xml:space="preserve">職場内で同じ日に休暇を取れる職員には限りがある。幼稚園、保育所も休みにすると、もっと休暇を取りやすいのでは
</t>
  </si>
  <si>
    <t>まず仕事を休めない。ふれあいホリデーのために休みますなんて言えません。親も働くのに必死です。ふれあいホリデーの意味がよくわかりませんでした。仕事が休みの日はふれあうようには心がけていますし。子どもは平日が休みになってラッキーと言ってました。大人も倉吉ホリデーにでもして倉吉市民はその日は休みにしてほしいぐらいです。ちょっと羨ましかったです。無理ですよね。今回は子どもだけ過ごすことなるだけなら学校に行っている方が安心でした。</t>
  </si>
  <si>
    <t>ゆっくり家族でできることをしたい。</t>
  </si>
  <si>
    <t>意味のあるふれあいホリデーにしてほしいです。</t>
  </si>
  <si>
    <t>自分の用事とお昼ごはんを食べに行きました。</t>
  </si>
  <si>
    <t>実施はしなくても良いと思う。</t>
  </si>
  <si>
    <t>学校の都合だけで強制力も無い為休めない。</t>
  </si>
  <si>
    <t>学生がいる家庭は両親共絶対に休ませるよう各事業者に通達する事が必須</t>
  </si>
  <si>
    <t>冬休みを延長する</t>
  </si>
  <si>
    <t>ふれあいとは名ばかりで、あまりにも配慮がなさすぎる。これでは生徒とその日休みである教師しかふれあえない。</t>
  </si>
  <si>
    <t>この取組みは無駄だとおもう</t>
  </si>
  <si>
    <t>する意味がわからない
我が家は農家なのでそもそも休みが無い
公務員や会社勤めなら休む事が可能かもしれないが、市内中の学校がやれば職場などが被れば休めない人もいるはずだ。
物価高などで生活が苦しくなってるのにわざわざお金を稼ぐ機会を減らす必要はない</t>
  </si>
  <si>
    <t>友達と遊ぶ</t>
  </si>
  <si>
    <t>職場にふれあいホリデーが浸透していなかった</t>
  </si>
  <si>
    <t>せっかくの取り組みですが、保護者と過ごせない子はただの休みになってしまうと思います。</t>
  </si>
  <si>
    <t>子供がいる同僚が居るから</t>
  </si>
  <si>
    <t>鳥取砂丘に行きました</t>
  </si>
  <si>
    <t>倉吉のみの施策であり、わざわざ職場へ説明して休みを取るには至らなかった。せめて市内の企業に情報が入っていれば、もう少し違うかもしれない。</t>
  </si>
  <si>
    <t>子供は連休になり喜んでいたが、結局一緒に過ごすこともできず…自宅で子供のみでテレビやゲームをして過ごした。それなら通常通り学校に行って友達と交流して過ごしてくれた方がよかった。
結局、祝日でもなく親は仕事なので、あまり良い取り組みではないと思う。</t>
  </si>
  <si>
    <t>部活に同行</t>
  </si>
  <si>
    <t>旅行した</t>
  </si>
  <si>
    <t>職場で推奨されていなかったし、学校が休日になることを近くなるまで知らなかった。急に休めるほど業務や人員に余裕がない。</t>
  </si>
  <si>
    <t>友達同士なら体験等に行く可能性も有るが、親が誘っても子どもの方が一緒に何かをするつもりがないと思う。</t>
  </si>
  <si>
    <t>祝日がない6月か12月</t>
  </si>
  <si>
    <t>職場で推奨はされてなかった。倉吉以外の職場の場合はそもそも職場が知らないと思う。
お知らせがあったのが急だったので休むことを考えることもできなかった。
平日をふれあいホリデーとするのは職場で休みを取ることを念頭に置かれていると思うが、子育て世代の多い職場で多くの人が休んで良いということにはならないと思う。</t>
  </si>
  <si>
    <t>小学校１年生, 小学校５年生, 中学校１年生</t>
  </si>
  <si>
    <t>子供達とグランドゴルフをした</t>
  </si>
  <si>
    <t>やすみだと知らなかった</t>
  </si>
  <si>
    <t>いつも仕事だから</t>
  </si>
  <si>
    <t>特に考えてない</t>
  </si>
  <si>
    <t>半日休みをとって過ごしました</t>
  </si>
  <si>
    <t>休み取るのは大変ですが、是非続けてください。</t>
  </si>
  <si>
    <t>未就学児, 小学校５年生, 中学校１年生</t>
  </si>
  <si>
    <t>保育園児は保育園へ、他の子は家で過ごしました。</t>
  </si>
  <si>
    <t>小学校２年生, 中学校１年生, 中学校３年生</t>
  </si>
  <si>
    <t>ふれあいホリデーの趣旨のお知らせが会社の休暇申請を出した後だったので休めませんでした。子どもにもがっかりさせてしまい残念でした。</t>
  </si>
  <si>
    <t>可能な限りではありますが、休暇の取得を検討するために早めのお知らせを希望します(2ヶ月近く余裕があれば検討しやすいです)</t>
  </si>
  <si>
    <t>ふれあいホリデーの前２日間参観日などで休みをとったので３日続けてとれなかった。</t>
  </si>
  <si>
    <t>前後に学校行事（参観日など）が連日あると休みが取れないのでそのあたりも考慮していただきたい。</t>
  </si>
  <si>
    <t>普段の休日と同じように過ごした。</t>
  </si>
  <si>
    <t>休みを取れない職業もあると思うので、意味があるように思えない。</t>
  </si>
  <si>
    <t>なしっこ館や未来中心の遊具で遊んだ。</t>
  </si>
  <si>
    <t>小学校６年生, 中学校２年生, 中学校卒業後</t>
  </si>
  <si>
    <t>外に出掛けた子どももいるし、家でゆっくり過ごした子もいる。</t>
  </si>
  <si>
    <t>自分で調整できるから</t>
  </si>
  <si>
    <t>それぞれの時間を過ごすと思う</t>
  </si>
  <si>
    <t>人から聞いた話ですが、市内の小学校に勤務する教員の方がお休みにも関わらず園児を保育園に預けられるため、保育士さんは休めなかったそうです。特定の人たちだけのホリデーにならないように、人を思いやることが大切だと思います。
ほとんどの方は休めない状況にあるということを解って欲しいと願います。</t>
  </si>
  <si>
    <t>大阪の美術館に行った</t>
  </si>
  <si>
    <t>10月～11月の初旬</t>
  </si>
  <si>
    <t>この制度を利用できるのは一部の恵まれた家庭だけだと思います。子どもたちの家族の形が1つではないこと、具体的にどのような家庭があるのか、それらをイメージしてください。その上で、その家庭の保護者が休暇を取れるのかを想像してください。
母子家庭の低所得世帯が、すべての家庭で休暇を取得して子どもと過ごせるでしょうか？休暇を取得できなければ、子どもの預け先を探さなくては行けません。学童に預けることになれば、お弁当を作らなくては行けません。
また、家族と過ごせる子とそうでない子の間には精神的な隔たりが生まれてしまいます。
私はフリーランスで仕事をしているため休暇がとれました。しかし、フリーランスは休めば無給です。それだけでなく、翌日以降の業務量が増えます。
個人的にはよい制度だと思えません。来年以降も続けられるのであれば、しっかり議論した上で、保護者に実施する理由を詳しく伝えた上で実施していただきたいと思います。</t>
  </si>
  <si>
    <t>一緒にご飯を食べて、話した。</t>
  </si>
  <si>
    <t>ふれあいホリデーの為に休暇をとったが、アルバイト勤務で時給制の為、その分お給料が減ってしまうのがつらかった。
来年また試行されるのであれば、休まなければならなかった日のお給料分のケアも考えて欲しいと思った。
色んな家庭があると思うが、自分なりに子どもたちとはめいっぱい触れ合っているつもりなので、ふれあいホリデーは必要なのかは疑問に思っている。</t>
  </si>
  <si>
    <t>子どもが体験に誘ってもついてこない</t>
  </si>
  <si>
    <t>取り組まなくてもいい</t>
  </si>
  <si>
    <t>子供が体調不良が続いて休みを取得したため休みづらかった</t>
  </si>
  <si>
    <t>休みはいらない、祝日も結構あるので家族で出かけてる</t>
  </si>
  <si>
    <t>コミュニティの催し物に参加した</t>
  </si>
  <si>
    <t>自分自身がよくわかっていなかった。職場も知らないかもしれない。</t>
  </si>
  <si>
    <t>漫画ミュージアムで漫画を読み、お買い物をしました</t>
  </si>
  <si>
    <t>月曜日休みの人は割と多い気がするので、金曜日ではなく月曜日に実施するのもいいのでは？と思いました</t>
  </si>
  <si>
    <t>仕事が立て込んでいた</t>
  </si>
  <si>
    <t>どちらでもよい</t>
  </si>
  <si>
    <t>県外旅行</t>
  </si>
  <si>
    <t>祝日の少ない時期の金曜日か月曜日</t>
  </si>
  <si>
    <t>勤労感謝の日は、毎年、地区の祭りがある。今年は初めての取り組みだったので家族旅行を計画し、地区の祭りは欠席したが、毎年となるとそうといかないので、旅行の計画は出来ない。別の時期のほうがありがたい。</t>
  </si>
  <si>
    <t>おじぃちゃんおばぁちゃんの家にいった</t>
  </si>
  <si>
    <t>ふれあいホリデーの前日に参観日があったが、連日はなかなか休めない。</t>
  </si>
  <si>
    <t>昼食、買い物、ドライブなど、子どもが計画したことを親子でやった</t>
  </si>
  <si>
    <t>趣旨がイマイチわからない。
なぜ平日なのか？土曜日等をふれあいホリデーとしてもよいのでは？特に祝日などある場合には休みが取りにくい。
保護者への説明だけでなく、保護者が休暇を取得しやすいように企業等にも説明はあったのか？
保護者が休めない場合、子どもは寂しいおもいをするのでは？
未就学児が参加できないイベント参加の場合、親は休みだが下の子は保育園には預けてもよいのか？など。
実施することに反対というわけではなく、いろいろと検討しなければならないことがあると思う。</t>
  </si>
  <si>
    <t>有給が残り少なく、子供の急病で休めなくなると困るから。欠勤になると給料が減ってしまう。小中学生がいる社員が一斉に休むと業務に支障が出る。</t>
  </si>
  <si>
    <t>仕事は休めないと思うので子供だけで過ごしてもらうしかない。</t>
  </si>
  <si>
    <t>実施する前提ではなく、保護者の意見を聞いて、実施するか決めてほしい。子供だけで過ごすしかない家庭の事も考慮してほしい。昼食の準備等で保護者の負担が増える、児童センターは８時からじゃないと開かないので児童センターに預けるにしても時間給を取得しないと預けに行くことも出来ない。働く親にとっては負担です。</t>
  </si>
  <si>
    <t>祖父母の家に遊びに行った</t>
  </si>
  <si>
    <t>働いている親は簡単に休暇取得ができません。</t>
  </si>
  <si>
    <t>私は児童福祉施設で働いています。小学生の学童保育や中高生の学習支援などの仕事をしています。この日もお仕事をされていた親御さんがおられたので、利用児童の対応がありました。それもあり休みをとりにくかったです。</t>
  </si>
  <si>
    <t>11月ではなくても、どこかで。</t>
  </si>
  <si>
    <t>人様のお子様の面倒を見る職種の人間は休みがとれない。その人たちにも家庭があり子どもがいて、自分の子は学童に預けて人様のお子様を見るということになる。どうしようもないことだが。</t>
  </si>
  <si>
    <t>テスト前だったので、どこにも出かけず家で過ごしました</t>
  </si>
  <si>
    <t>県内や市内等でもっと検討して決めるべき。対象は親子という事であればもっと休暇が取りやすい時期や、企業に周知させた上で時期を決めたほうがいい。</t>
  </si>
  <si>
    <t>誰のための休みなのか、本当に必要なのか？必要であればもっと検討する必要があったのではないかと感じる。親子でというなら県内の会社に話をもって行き子どもがいる親が休みを取れる状況に持って行くべき。</t>
  </si>
  <si>
    <t>市内は倉吉市図書館で読書、イベント参加。市外は飲食店、鳥取県観光事業団施設へ訪問。</t>
  </si>
  <si>
    <t>休暇申請できる企業、公務員はいいが、サービス業は休暇申請は難しいと思う。就業者のサポートが必要。
就業者目線では、平日休み（積極的休暇申請）は有り難い。</t>
  </si>
  <si>
    <t>病欠や学校の行事で会社を休むことが多い為、実施を控えていただきたい。</t>
  </si>
  <si>
    <t>子どもが発熱したため自宅でゆっくり</t>
  </si>
  <si>
    <t>実施すべきではない</t>
  </si>
  <si>
    <t>学校だけ休みになったとしても、社会として保護者が休める体制が整っていない。子供の安全や保護者の経済的負担を軽視した施策としか思えない。</t>
  </si>
  <si>
    <t>小学校２年生, 小学校５年生, 中学校２年生, 中学校卒業後</t>
  </si>
  <si>
    <t>市内の児童対象の仕事なので、学校が休みだと必然的に仕事は休めない。</t>
  </si>
  <si>
    <t>特にない。いつであっても同じことかと。</t>
  </si>
  <si>
    <t>市が勝手に家族の休日を決めても、働いている親の職場に理解と休暇推奨可能な状況がなければ何の意味もない。親は休みたくても休めないのに子どもは家にいて休みらしい過ごし方が出来ないのは返って親子共々つらい。</t>
  </si>
  <si>
    <t>よくわからない休暇に自分の有給を使うのはもったいない</t>
  </si>
  <si>
    <t>県外に遊びに行った</t>
  </si>
  <si>
    <t>休みを取るのが大変</t>
  </si>
  <si>
    <t>家にいた</t>
  </si>
  <si>
    <t>兵庫県の城崎の水族館や街ブラをした。倉吉駅からは公共交通機関のバス、汽車のみで移動。車移動より長時間になり不自由な移動ではあったが、思い出になった。</t>
  </si>
  <si>
    <t>農業の作業がなかったから</t>
  </si>
  <si>
    <t>平日なので、混み合わないと思うので、県外などに出かけたい</t>
  </si>
  <si>
    <t>すいか農家なので、準備期間や農繁期は関われない10月以降</t>
  </si>
  <si>
    <t>・休みにするのであれば、親の休みも保証しなければならない。役場系も休みだったのか？学校系は休みだったが、保育園や幼稚園勤務の保護者は休みにくかったと聞いた。保育士、幼稚園教諭の方のために、その日だけでもお休みの保護者の方はお休みいただけるように依頼文を出し、保護者の理解を得るべきだったと思う。</t>
  </si>
  <si>
    <t>一緒に家には居たが、私は夜勤のため寝ている時間が多く、その間子どもは一人で遊んでいた。</t>
  </si>
  <si>
    <t>たまたま、夜勤のための休みとして当てられた日だった</t>
  </si>
  <si>
    <t>私の職場ではふれあいホリデーを知っている人は一人もおらず、全く周知されていませんでした。この状況では休暇を取得しようにも協力を得られません。私を含め、そのような保護者の方は他にもいらっしゃるのではないでしょうか。
それに加えて我が家の家庭環境からすると、親と一緒に過ごすどころか家で一人で過ごさざるをえなくなり、かえって寂しい思いをさせる事になるかもしれません。
ふれあいホリデーを活用できるかどうかは、それぞれの職場や家庭の環境によって大きく左右されると思います。</t>
  </si>
  <si>
    <t>母は下の子２人と県外に行った。農業の合間に夫が在宅したが、ほぼ子どものみでテスト勉強をしていた。</t>
  </si>
  <si>
    <t>県外の小旅行に行きたい</t>
  </si>
  <si>
    <t>農業をしている。準備期、農繁期を避けた10月以降がよい</t>
  </si>
  <si>
    <t>・中学、高校ともにテスト直前の週末がふれあいホリデーだったため、一緒に出かけようと誘っても、テスト勉強があるからと拒否されてしまった。今後は、テスト直前期間は避けてほしい。一緒に出かけたいので、さみしく感じた。</t>
  </si>
  <si>
    <t xml:space="preserve">朝早めに出かけ、公園で一緒に体を動かした。
</t>
  </si>
  <si>
    <t>連休よりも何もない平日の方が休みが取りやすい</t>
  </si>
  <si>
    <t>同じ職場だったりすると、一気に同じ日に休めない場合もある。前期、後期でどちらかで一回とる。など分散で取れるようにすると多くの人が休みが取りやすくなるのではないかと感じた。また体験出来る受け皿、催しがもう少し増えれば、普段出来ない体験を親子でできるのになと感じた。</t>
  </si>
  <si>
    <t>イルミネーション</t>
  </si>
  <si>
    <t>皆が休みを取りたいと思っていても、複数人休みが重なると職場の仕事に支障が出てしまう。社会全体への働きかけをお願いします。</t>
  </si>
  <si>
    <t>小学校４年生, 小学校６年生, 中学校３年生</t>
  </si>
  <si>
    <t>体調を崩していた</t>
  </si>
  <si>
    <t>公園でスポーツの練習をしてランチを食べた</t>
  </si>
  <si>
    <t>祖父母に預けた</t>
  </si>
  <si>
    <t>職場環境が悪く、休みが取りにくい</t>
  </si>
  <si>
    <t>誰でも休みが取りやすければいつでも良い</t>
  </si>
  <si>
    <t xml:space="preserve">医療やサービス業の親は中々休みが取れない。
</t>
  </si>
  <si>
    <t>大阪に一泊旅行</t>
  </si>
  <si>
    <t>子どもの要望で買い物やカフェへ行った</t>
  </si>
  <si>
    <t>外食した</t>
  </si>
  <si>
    <t>普段子供の用事、体調不良などで休むからそれ以外は取りづらい</t>
  </si>
  <si>
    <t>参観日や行事等で毎月有給を取得しているから。</t>
  </si>
  <si>
    <t>親子で児童館に遊びに行った</t>
  </si>
  <si>
    <t>家庭学習はないほうがいい</t>
  </si>
  <si>
    <t>企業に直接働きかけてもらわないと平日に休むのは難しい</t>
  </si>
  <si>
    <t>小学校１年生, 小学校６年生, 中学校１年生</t>
  </si>
  <si>
    <t>同じ月に行事で休みをいくつかとったので休みを取りにくい</t>
  </si>
  <si>
    <t>11月は行事が多いのでGWの前後にくっつけて持ってきてもらったほうが休みを取りやすい</t>
  </si>
  <si>
    <t>前から出張の予定が入っていたため</t>
  </si>
  <si>
    <t>子ども自然体験のボランティア</t>
  </si>
  <si>
    <t>出勤日が既に決定していたから。</t>
  </si>
  <si>
    <t>実家へ帰省</t>
  </si>
  <si>
    <t>各家庭で選べるようにするべき。</t>
  </si>
  <si>
    <t>業種や職場によって、休みやすい時期や曜日は異なります。一律にこの日と決められても、休めない親が大半だったのではないでしょうか。両親共に倉吉市外で勤務していますが、職場の誰もそんな事は知りませんし、もちろん休暇取得の推奨などされていません。正直、担当者の方は想像力が無さすぎます。いつ取得するかは各家庭で選べるようにするべきです。</t>
  </si>
  <si>
    <t>仕事が休める曜日でなかったため</t>
  </si>
  <si>
    <t>6月から7月</t>
  </si>
  <si>
    <t>子供だけでも体験に参加して楽しんでいたので
子供だけでも参加出来るイベントは開催して欲しい</t>
  </si>
  <si>
    <t>午前中の勤務なので、休みを取らずに出勤したかったため</t>
  </si>
  <si>
    <t>例えば勤務先に倉吉市の人が複数いる場合もあると思います。その時に、誰が休んで誰が休まないかを決めるのは、実際には難しいのでは？と思いました。
家庭の事情や職場の事情がそれぞれ違うため、形だけの休暇にならないような工夫が今後必要だろうと思いました。</t>
  </si>
  <si>
    <t>水族館へ行った</t>
  </si>
  <si>
    <t>5月下旬、11月初旬</t>
  </si>
  <si>
    <t>市内一斉だと、職場で有休取得が重なってしまい、業務のために休めない人が出る。
校区で分散してもらえたらと考えます</t>
  </si>
  <si>
    <t>・同じ職場に小中学生をもつ職員が多く、全員が休暇を取れないので、社内でも『中学生は（親がいなくも）家にいられるもんね』という雰囲気から、休暇を申請しにくかった。職場の理解が得られにくかった。
・同じ職場に学童の職員さんもいて、当日はそちらに行く必要があった為、余計に休みが取りにくかった。</t>
  </si>
  <si>
    <t>・高校生が学童などでボランティア活動するというのは良かった。
・保護者が休暇を取りやすいように、企業にもしっかり周知して、職場の理解も得られるようにしてほしい。
・職場の人員不足でふれあいホリデーに休暇が取れない保護者も多いと思う。別の日に休みを取り、その日は学校を出席扱いにするなどの措置があってもいいのでは。（学校にも職場にも出せる申請書があるといい）</t>
  </si>
  <si>
    <t>職場に同じように小学生の子がいる同僚がいるが同じく休みを取らなかったのと、上司が休んでいいよと言わなかった為。</t>
  </si>
  <si>
    <t>幼稚園勤務なので園児は休みではなく、さらに発表会前なのもあり休みが取れなかった。</t>
  </si>
  <si>
    <t>子供が体調不良のため、家で遊んだりしました。</t>
  </si>
  <si>
    <t>休暇を取得しやすい環境になるといい</t>
  </si>
  <si>
    <t>大山に行き、一泊しリフレッシュした</t>
  </si>
  <si>
    <t>中学生の試験期間の外れている時期</t>
  </si>
  <si>
    <t>職場で同じ境遇の社員がいると休みの譲り合い、奪い合いが起きる</t>
  </si>
  <si>
    <t>大山に行き一泊リフレッシュ</t>
  </si>
  <si>
    <t>上の子中学生のテスト期間外の時期にしてほしい</t>
  </si>
  <si>
    <t>家族でカラオケに行った</t>
  </si>
  <si>
    <t>連休、祝日がない月がよい</t>
  </si>
  <si>
    <t>あの子は旅行に行った、あの子はテーマパークにいったなど、格差がでる。
歳の離れた兄弟がいるので、上の子はテストで学校とかになれば、旅行などは行けない。
有給で休めるとは限らない。結局欠勤で休む事になるので、やるなら有給扱いにしてほしい。</t>
  </si>
  <si>
    <t>ポケモンGOのイベントに参加した</t>
  </si>
  <si>
    <t>仕事をしていないから</t>
  </si>
  <si>
    <t>仕事先が市外で説明ずらい</t>
  </si>
  <si>
    <t>外食、買い物</t>
  </si>
  <si>
    <t>博物館のワークショップ</t>
  </si>
  <si>
    <t>未就学児, 小学校１年生, 小学校４年生, 小学校６年生</t>
  </si>
  <si>
    <t>職場の休み希望が3日しか取れず、文化祭や兄弟の試合などに希望したため、取れなかたったし、ふれあいホリデーのために希望は出せない</t>
  </si>
  <si>
    <t>何のために実施するのかわからない。子供たちは子供たちだけで遊びに出るだろうし、全ての家庭が親が休める訳でもないとおもう。数年前上の子の時、台風や雪なので休校が多く、授業日数が足りないと長期休みが短くなったこともあります。何があるかわからないので、わざわざ休暇を作る必要はないと思う。</t>
  </si>
  <si>
    <t>小学校５年生, 中学校２年生, 中学校卒業後</t>
  </si>
  <si>
    <t>家でゆったりとすごした</t>
  </si>
  <si>
    <t>図書館司書体験</t>
  </si>
  <si>
    <t>職場の理解が必要</t>
  </si>
  <si>
    <t>親目線では他の行事で休む事もあるから余裕もっての平日の休み取得は中々厳しい。</t>
  </si>
  <si>
    <t>勤務の日なので</t>
  </si>
  <si>
    <t>もっと事前に伝えてもらっていたら休暇を取れた。</t>
  </si>
  <si>
    <t>職場でも直前まで知らない人が多かったので、もっと周知して休みやすい環境を作って欲しい</t>
  </si>
  <si>
    <t>一緒にゲームをした</t>
  </si>
  <si>
    <t>土日祝で充分だと思う</t>
  </si>
  <si>
    <t>貴重な有給は子どもの行事や病気の時に使いたい。子どもとのふれあいは土日祝や長期休みで充分出来ているので、今後は無くて良いと思う。</t>
  </si>
  <si>
    <t>定期テストの為の課題、学習。</t>
  </si>
  <si>
    <t>中途半端な時期にされるより、長期休みの日数を1日増やして実施すればよい</t>
  </si>
  <si>
    <t>このような取り組みは本当に必要なのか疑問。仕事を休みたくても休めない保護者にとっては負担ではないのか？また、家族でのふれあいや体験をできる子どもとできない子どもの格差が広がるだけではないのか？年に1日、それも「ふれあいホリデー」なんて名称で実施する事でしんどさを感じる家庭もあるのでは？取って付けたような休みを1日つくるよりも、他に取り組むべき事があるのではないか？</t>
  </si>
  <si>
    <t>体調不良でお休みしました</t>
  </si>
  <si>
    <t>家族でゆっくり過ごした。</t>
  </si>
  <si>
    <t>夜勤明けだった</t>
  </si>
  <si>
    <t>子ども服を買いにイオンへ出かけました</t>
  </si>
  <si>
    <t>初めてなので、本当に休みなのか心配でしたが、
毎年同じ日で徹底していけば、実感出来ると思います。父親は仕事でしたが、母と子で過ごす時間が持てて良かったです。</t>
  </si>
  <si>
    <t>トムソーヤ牧場へ行った</t>
  </si>
  <si>
    <t>病院通院</t>
  </si>
  <si>
    <t>今回はたまたま休みだったが親は休めないので休暇はいらない</t>
  </si>
  <si>
    <t>家族全員で休みを取り、出雲大社へ出かけた</t>
  </si>
  <si>
    <t>このような休日が年に2~3回はあってもいいなと思った</t>
  </si>
  <si>
    <t>飲食店勤務です。人手不足もあり週末に休暇を取るのが難しいです。児童クラブも当日の利用者がなく、子供も「人数少ないなら行きたくない」と言い、児童クラブに子供を預けにくい状況でした。祖母に休暇をとってもらい一緒に過ごしてもらいました。
子供は学校が休みで喜んでましたが、親としては何もしてあげられなかったのが残念です。
休暇を取れる職業の方には良いと思いますが、
私は休暇を取るのが難しいので正直微妙に感じました</t>
  </si>
  <si>
    <t>ゆっくりと昼食を食べに行ったり、買い物を楽しんだ。</t>
  </si>
  <si>
    <t>他の行事などや子どもの体調不良で有給を使っている為、この休みのために有給をとるよりも、次の体調不良時のためにとっておきたかったので。</t>
  </si>
  <si>
    <t>いつの時期であっても難しい</t>
  </si>
  <si>
    <t xml:space="preserve">保育園に通う兄弟もいるので他の行事や体調不良で休みを使い有休が残り少ないこと、他でたくさん休んでるのに、元気で何事でもないのに休みはとり辛いです。
学童に預けましたが、子どもは事前に休みだと知っているので「何で学童？」と言われ、色々説明しましたが、行ってもいいけど1日は嫌だと。両親共に仕事は休めない、1日なら行かないという子ども。
午前は学童、午後からは普段は預かってもらわない別居の高齢の祖父（90代）に迎えに行ってもらい過ごしましたが、することはゲーム。
長い時間過ごすこともできないので結局、時間休をとって迎えに行きました。
我が家は珍しいパターンなのかどうかわかりませんが、弁当の準備も含め、大変な日でした。
今回は試行なのであれば、来年度はやめていただきたいと思うのが正直なところです。
この休みを続けて行かれるのであれば、県内の会社に小中学の子どもがいる家庭は休みを。ふれあいを。と、もっと働きかけをしていただきたいです。（倉吉市内の勤務ですが、そんな休みがあるのかと驚かれたので）
困ったので伝えたくて、長々と失礼しました。
</t>
  </si>
  <si>
    <t>未就学児</t>
  </si>
  <si>
    <t>子供達が初めて行くお店でランチをして、駄菓子屋に行ったりぶらり散歩しました</t>
  </si>
  <si>
    <t>子供達が初めて行くお店でランチをして、駄菓子屋に行ったり、ぶらり散歩しました</t>
  </si>
  <si>
    <t>親が、風邪で動けれなかったのでユーチューブやシルバニアファミリーや高校生の兄弟と遊んだ</t>
  </si>
  <si>
    <t>外食・通院</t>
  </si>
  <si>
    <t>未就学児, 小学校５年生, 中学校卒業後</t>
  </si>
  <si>
    <t>業務多忙で取得できなかった, 自営業だから, 取得するつもりはなかった, 取得しにくかった</t>
  </si>
  <si>
    <t>忙しい</t>
  </si>
  <si>
    <t>公園などに出たいので暖かい時期</t>
  </si>
  <si>
    <t>イベントが開催されるようなら行きたいが、平日に休んでも行く場所もお金もないのでメリットがない。家で子どもと過ごしても外に出たがるので困る。
高校は、ふれあいホリデーの次の日の祝日の土曜に学校に行かなければならなくなったので休みじゃない方が良かった。</t>
  </si>
  <si>
    <t>カードゲームをした</t>
  </si>
  <si>
    <t>2人で前々から行きたいと言っていたお店でランチをしました。</t>
  </si>
  <si>
    <t>忘れてた</t>
  </si>
  <si>
    <t>小学校２年生, 小学校５年生, 中学校３年生</t>
  </si>
  <si>
    <t>無理に休む必要が無いと思ったから。</t>
  </si>
  <si>
    <t>帰省して動物園へ行った、</t>
  </si>
  <si>
    <t>一斉に同じ日では職場によって親の休暇が取得できないのではないか。</t>
  </si>
  <si>
    <t>人員不足</t>
  </si>
  <si>
    <t>やめてほしい</t>
  </si>
  <si>
    <t>ふれあいホリデーに困惑した人がたくさんいる。普段の休日で十分
やめてほしいと思った。</t>
  </si>
  <si>
    <t>伊勢神宮に参拝するなどした。</t>
  </si>
  <si>
    <t>平日に子供と出掛けたり、体験したり出来る事は、休日に比べて動きやすかったりする部分もあり嬉しいが、職場にこのようなお休みがある事が知られていない為、休みを取りづらかったりする場合もあるかと思うので、もっとこの取り組みについて、周りに知らせることも大事かなと思います。
来年また実施するとして、時期の選択肢として、ゴールデンウィークとゆうものがありましたが、どこに行っても人が多い時に、何か体験しようとしてもなかなか厳しいので、それは避けて欲しいなと思いました。
出かけたり、体験したりするにも、気候にも左右されたりするので、（真冬だと雪が積もって雪かきで終わってしまったなどは避けたい）今回の時期は、比較的良かったかなと思います。</t>
  </si>
  <si>
    <t>友達同士で遊んで過ごした</t>
  </si>
  <si>
    <t>休める人より休めない人の意見を優先してやり方を決めるべき</t>
  </si>
  <si>
    <t>未就学児, 小学校１年生, 小学校２年生, 小学校４年生</t>
  </si>
  <si>
    <t>イオン</t>
  </si>
  <si>
    <t>11月は参観日等の行事が多く、既に休暇を取得していた取得しにくかった。</t>
  </si>
  <si>
    <t>ふれあいホリデーを今後実施するのであれば、参観日等の学校行事で親が休む事が少ない月に実施してほしい。</t>
  </si>
  <si>
    <t>基本、子供が休みの土日祝日は私も仕事は休みにしています。平日は仕事ですが、学校や幼稚園の行事、学校の早帰り、PTA作業などで休みを取らないといけない日も多いです。その中でのふれあいホリデーの休暇希望は、とても取得しにくかったです。</t>
  </si>
  <si>
    <t>実際しなくてよいです。</t>
  </si>
  <si>
    <t>休暇が推奨される職場だけではありません。休暇が取得出来ず、祖父母などに預け、祖父母の負担が大きくなる家庭もあります。
それよりも、子供がいる家庭の親は、子供が学校が休みの日や早帰りの日はどの仕事も休みや時短にするなど、市全体でそういう体制になるよう取り組むべきだと思います。
ふれあいホリデーという日を作らなくても、親子で参加できるイベントはこれからも土日祝日など学校が休みの日にどんどん開催して欲しいと思います。</t>
  </si>
  <si>
    <t>前もっての　認知不足で　取得できなかった。保護者がゆとりがないのに　子供だけゆとりでも困る。</t>
  </si>
  <si>
    <t>祭日のない月</t>
  </si>
  <si>
    <t>周りの多くが認知してなかった。
　知らせてな欲しい。</t>
  </si>
  <si>
    <t>ふれあいホリデーのはずが、
保護者は休みで、子供は保育園等で。
実質、保護者のみの休みの方がいたとよく耳にしています。
職種によって休暇取得は厳しいと思います。</t>
  </si>
  <si>
    <t>祖母に会いに行った</t>
  </si>
  <si>
    <t>６月。連休がないため</t>
  </si>
  <si>
    <t>小学校</t>
    <rPh sb="0" eb="3">
      <t>ショウガッコウ</t>
    </rPh>
    <phoneticPr fontId="2"/>
  </si>
  <si>
    <t>未就学</t>
    <rPh sb="0" eb="3">
      <t>ミシュウガク</t>
    </rPh>
    <phoneticPr fontId="2"/>
  </si>
  <si>
    <t>中学校</t>
    <rPh sb="0" eb="3">
      <t>チュウガッコウ</t>
    </rPh>
    <phoneticPr fontId="2"/>
  </si>
  <si>
    <t>卒業</t>
    <rPh sb="0" eb="2">
      <t>ソツギョウ</t>
    </rPh>
    <phoneticPr fontId="2"/>
  </si>
  <si>
    <t>小学校にいて、中学校にはいない</t>
    <rPh sb="0" eb="3">
      <t>ショウガッコウ</t>
    </rPh>
    <rPh sb="7" eb="10">
      <t>チュウガッコウ</t>
    </rPh>
    <phoneticPr fontId="2"/>
  </si>
  <si>
    <t>過ごした</t>
    <rPh sb="0" eb="1">
      <t>ス</t>
    </rPh>
    <phoneticPr fontId="2"/>
  </si>
  <si>
    <t>過ごしていない</t>
    <rPh sb="0" eb="1">
      <t>ス</t>
    </rPh>
    <phoneticPr fontId="2"/>
  </si>
  <si>
    <t>小学校にはいなくて、中学校にいる</t>
    <rPh sb="0" eb="3">
      <t>ショウガッコウ</t>
    </rPh>
    <rPh sb="10" eb="13">
      <t>チュウガッコウ</t>
    </rPh>
    <phoneticPr fontId="2"/>
  </si>
  <si>
    <t>未就学児がいる</t>
    <rPh sb="0" eb="3">
      <t>ミシュウガク</t>
    </rPh>
    <phoneticPr fontId="2"/>
  </si>
  <si>
    <t>卒業した子がいる</t>
    <rPh sb="0" eb="2">
      <t>ソツギョウ</t>
    </rPh>
    <rPh sb="4" eb="5">
      <t>コ</t>
    </rPh>
    <phoneticPr fontId="2"/>
  </si>
  <si>
    <t>問２　11月22日（ふれあいホリデー）はお子様と一緒に過ごされましたか。</t>
    <phoneticPr fontId="2"/>
  </si>
  <si>
    <t>合計</t>
    <rPh sb="0" eb="2">
      <t>ゴウケイ</t>
    </rPh>
    <phoneticPr fontId="2"/>
  </si>
  <si>
    <t>家庭で過ごした</t>
    <phoneticPr fontId="2"/>
  </si>
  <si>
    <t>イベント等に参加した</t>
    <phoneticPr fontId="2"/>
  </si>
  <si>
    <t>倉吉市内へ出かけた</t>
    <phoneticPr fontId="2"/>
  </si>
  <si>
    <t>倉吉市外へ出かけた</t>
    <rPh sb="3" eb="4">
      <t>ソト</t>
    </rPh>
    <phoneticPr fontId="2"/>
  </si>
  <si>
    <t>問３−Ｂ１　お子様はどのように過ごされましたか。</t>
    <phoneticPr fontId="2"/>
  </si>
  <si>
    <t>放課後児童クラブ等を利用した</t>
    <phoneticPr fontId="2"/>
  </si>
  <si>
    <t>（回答者様以外の）家族、親類等と過ごした</t>
    <phoneticPr fontId="2"/>
  </si>
  <si>
    <t>知り合いに預けた</t>
    <phoneticPr fontId="2"/>
  </si>
  <si>
    <t>子どもだけで過ごした</t>
    <phoneticPr fontId="2"/>
  </si>
  <si>
    <t>その他</t>
    <rPh sb="2" eb="3">
      <t>タ</t>
    </rPh>
    <phoneticPr fontId="2"/>
  </si>
  <si>
    <t>全体</t>
    <rPh sb="0" eb="2">
      <t>ゼンタイ</t>
    </rPh>
    <phoneticPr fontId="2"/>
  </si>
  <si>
    <t>取得していない</t>
    <phoneticPr fontId="2"/>
  </si>
  <si>
    <t>取得した</t>
    <rPh sb="0" eb="2">
      <t>シュトク</t>
    </rPh>
    <phoneticPr fontId="2"/>
  </si>
  <si>
    <t>保護者</t>
    <rPh sb="0" eb="3">
      <t>ホゴシャ</t>
    </rPh>
    <phoneticPr fontId="2"/>
  </si>
  <si>
    <t>№</t>
    <phoneticPr fontId="2"/>
  </si>
  <si>
    <t>実数</t>
    <rPh sb="0" eb="2">
      <t>ジッスウ</t>
    </rPh>
    <phoneticPr fontId="2"/>
  </si>
  <si>
    <t>率</t>
    <rPh sb="0" eb="1">
      <t>リツ</t>
    </rPh>
    <phoneticPr fontId="2"/>
  </si>
  <si>
    <t>11月22日（ふれあいホリデー）はお子様と一緒に過ごされましたか。</t>
    <phoneticPr fontId="2"/>
  </si>
  <si>
    <t>未就学児がいる家庭</t>
    <rPh sb="0" eb="3">
      <t>ミシュウガク</t>
    </rPh>
    <rPh sb="7" eb="9">
      <t>カテイ</t>
    </rPh>
    <phoneticPr fontId="2"/>
  </si>
  <si>
    <t>中学校を卒業した子（高校生等）がいる家庭</t>
    <rPh sb="0" eb="3">
      <t>チュウガッコウ</t>
    </rPh>
    <rPh sb="4" eb="6">
      <t>ソツギョウ</t>
    </rPh>
    <rPh sb="8" eb="9">
      <t>コ</t>
    </rPh>
    <rPh sb="10" eb="13">
      <t>コウコウセイ</t>
    </rPh>
    <rPh sb="13" eb="14">
      <t>ナド</t>
    </rPh>
    <rPh sb="18" eb="20">
      <t>カテイ</t>
    </rPh>
    <phoneticPr fontId="2"/>
  </si>
  <si>
    <t>問３−Ａ１　主にどのように過ごされましたか。</t>
    <phoneticPr fontId="2"/>
  </si>
  <si>
    <t>（「お子様と一緒に過ごした」と回答された方）主にどのように過ごされましたか。</t>
    <rPh sb="3" eb="5">
      <t>コサマ</t>
    </rPh>
    <rPh sb="6" eb="8">
      <t>イッショ</t>
    </rPh>
    <rPh sb="9" eb="10">
      <t>ス</t>
    </rPh>
    <rPh sb="15" eb="17">
      <t>カイトウ</t>
    </rPh>
    <rPh sb="20" eb="21">
      <t>カタ</t>
    </rPh>
    <phoneticPr fontId="2"/>
  </si>
  <si>
    <t>（「お子様と一緒に過ごしていない」と回答された方）お子様はどのように過ごされましたか。</t>
    <rPh sb="3" eb="5">
      <t>コサマ</t>
    </rPh>
    <rPh sb="6" eb="8">
      <t>イッショ</t>
    </rPh>
    <rPh sb="9" eb="10">
      <t>ス</t>
    </rPh>
    <rPh sb="18" eb="20">
      <t>カイトウ</t>
    </rPh>
    <rPh sb="23" eb="24">
      <t>カタ</t>
    </rPh>
    <rPh sb="26" eb="28">
      <t>コサマ</t>
    </rPh>
    <phoneticPr fontId="2"/>
  </si>
  <si>
    <t>家庭のケース</t>
    <rPh sb="0" eb="2">
      <t>カテイ</t>
    </rPh>
    <phoneticPr fontId="2"/>
  </si>
  <si>
    <t>家庭のケース</t>
    <phoneticPr fontId="2"/>
  </si>
  <si>
    <t>放課後児童クラブ等を利用した</t>
    <phoneticPr fontId="2"/>
  </si>
  <si>
    <t>（回答者様以外の）家族、親類等と過ごした</t>
    <phoneticPr fontId="2"/>
  </si>
  <si>
    <t>知り合いに預けた</t>
    <phoneticPr fontId="2"/>
  </si>
  <si>
    <t>子どもだけで過ごした</t>
    <phoneticPr fontId="2"/>
  </si>
  <si>
    <t>小学生がいて、中学生はいない家庭</t>
    <rPh sb="0" eb="3">
      <t>ショウガクセイ</t>
    </rPh>
    <rPh sb="7" eb="10">
      <t>チュウガクセイ</t>
    </rPh>
    <rPh sb="14" eb="16">
      <t>カテイ</t>
    </rPh>
    <phoneticPr fontId="2"/>
  </si>
  <si>
    <t>小学生はいなくて、中学生がいる家庭</t>
    <rPh sb="0" eb="3">
      <t>ショウガクセイ</t>
    </rPh>
    <rPh sb="9" eb="11">
      <t>チュウガク</t>
    </rPh>
    <rPh sb="11" eb="12">
      <t>セイ</t>
    </rPh>
    <rPh sb="15" eb="17">
      <t>カテイ</t>
    </rPh>
    <phoneticPr fontId="2"/>
  </si>
  <si>
    <t>休暇を取得されましたか</t>
  </si>
  <si>
    <t>職場で推奨されたが取得しなかった</t>
    <phoneticPr fontId="2"/>
  </si>
  <si>
    <t>業務多忙で取得できなかった</t>
    <phoneticPr fontId="2"/>
  </si>
  <si>
    <t>自営業だから</t>
    <phoneticPr fontId="2"/>
  </si>
  <si>
    <t>取得しにくかった</t>
    <phoneticPr fontId="2"/>
  </si>
  <si>
    <t>取得するつもりはなかった</t>
    <phoneticPr fontId="2"/>
  </si>
  <si>
    <t>勤務日ではなかった</t>
    <rPh sb="0" eb="2">
      <t>キンム</t>
    </rPh>
    <rPh sb="2" eb="3">
      <t>ヒ</t>
    </rPh>
    <phoneticPr fontId="2"/>
  </si>
  <si>
    <t>職場で推奨されたが取得しなかった</t>
    <phoneticPr fontId="2"/>
  </si>
  <si>
    <t>勤務日ではなかった</t>
    <rPh sb="0" eb="2">
      <t>キンム</t>
    </rPh>
    <rPh sb="2" eb="3">
      <t>ビ</t>
    </rPh>
    <phoneticPr fontId="2"/>
  </si>
  <si>
    <t>取得していない方の理由
（複数回答・上位のみ）</t>
    <rPh sb="0" eb="2">
      <t>シュトク</t>
    </rPh>
    <rPh sb="7" eb="8">
      <t>カタ</t>
    </rPh>
    <rPh sb="9" eb="11">
      <t>リユウ</t>
    </rPh>
    <rPh sb="13" eb="15">
      <t>フクスウ</t>
    </rPh>
    <rPh sb="15" eb="17">
      <t>カイトウ</t>
    </rPh>
    <rPh sb="18" eb="20">
      <t>ジョウイ</t>
    </rPh>
    <phoneticPr fontId="2"/>
  </si>
  <si>
    <t>来年度実施する場合、適切な時期について考えを教えてください。</t>
    <phoneticPr fontId="2"/>
  </si>
  <si>
    <t>「休暇を取得していない」と回答いただいた方は、次のどれにあたりますか。（該当：652件、複数回答）</t>
    <rPh sb="44" eb="46">
      <t>フクスウ</t>
    </rPh>
    <rPh sb="46" eb="48">
      <t>カイトウ</t>
    </rPh>
    <phoneticPr fontId="2"/>
  </si>
  <si>
    <t>時期（上位のみ）</t>
    <rPh sb="0" eb="2">
      <t>ジキ</t>
    </rPh>
    <rPh sb="3" eb="5">
      <t>ジョウイ</t>
    </rPh>
    <phoneticPr fontId="2"/>
  </si>
  <si>
    <t>11月の同じ時期</t>
    <phoneticPr fontId="2"/>
  </si>
  <si>
    <t>５月のゴールデンウィーク期間中</t>
    <phoneticPr fontId="2"/>
  </si>
  <si>
    <t>分からない</t>
    <rPh sb="0" eb="1">
      <t>ワ</t>
    </rPh>
    <phoneticPr fontId="2"/>
  </si>
  <si>
    <t>10月（10月を含む期間）</t>
    <rPh sb="2" eb="3">
      <t>ガツ</t>
    </rPh>
    <rPh sb="6" eb="7">
      <t>ガツ</t>
    </rPh>
    <rPh sb="8" eb="9">
      <t>フク</t>
    </rPh>
    <rPh sb="10" eb="12">
      <t>キカン</t>
    </rPh>
    <phoneticPr fontId="2"/>
  </si>
  <si>
    <t>実施に否定的な意見</t>
    <rPh sb="0" eb="2">
      <t>ジッシ</t>
    </rPh>
    <phoneticPr fontId="2"/>
  </si>
  <si>
    <t>6月（6月を含む期間）</t>
    <rPh sb="1" eb="2">
      <t>ガツ</t>
    </rPh>
    <rPh sb="4" eb="5">
      <t>ガツ</t>
    </rPh>
    <rPh sb="6" eb="7">
      <t>フク</t>
    </rPh>
    <rPh sb="8" eb="10">
      <t>キカン</t>
    </rPh>
    <phoneticPr fontId="2"/>
  </si>
  <si>
    <t>【保護者】</t>
    <rPh sb="1" eb="4">
      <t>ホゴシャ</t>
    </rPh>
    <phoneticPr fontId="2"/>
  </si>
  <si>
    <t>小学生がいて、中学生はいない家庭</t>
    <phoneticPr fontId="2"/>
  </si>
  <si>
    <t>小学生はいなくて、中学生がいる家庭</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</si>
</sst>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m/d/yyyy\ h:mm:ss"/>
    <numFmt numFmtId="177" formatCode="0_ ;[Red]\-0\ "/>
    <numFmt numFmtId="178" formatCode="0.0%"/>
  </numFmts>
  <fonts count="9">
    <font>
      <sz val="10"/>
      <color rgb="FF000000"/>
      <name val="Arial"/>
      <scheme val="minor"/>
    </font>
    <font>
      <sz val="10"/>
      <color rgb="FF000000"/>
      <name val="Arial"/>
      <family val="2"/>
      <scheme val="minor"/>
    </font>
    <font>
      <sz val="6"/>
      <name val="Arial"/>
      <family val="3"/>
      <charset val="128"/>
      <scheme val="minor"/>
    </font>
    <font>
      <sz val="12"/>
      <color rgb="FF000000"/>
      <name val="UD デジタル 教科書体 N"/>
      <family val="1"/>
      <charset val="128"/>
    </font>
    <font>
      <sz val="10"/>
      <color rgb="FF000000"/>
      <name val="Arial"/>
      <family val="2"/>
      <scheme val="minor"/>
    </font>
    <font>
      <sz val="12"/>
      <color rgb="FF000000"/>
      <name val="UD デジタル 教科書体 N-R"/>
      <family val="1"/>
      <charset val="128"/>
    </font>
    <font>
      <sz val="10"/>
      <color theme="1"/>
      <name val="UD デジタル 教科書体 N-R"/>
      <family val="1"/>
      <charset val="128"/>
    </font>
    <font>
      <sz val="10"/>
      <color rgb="FF000000"/>
      <name val="UD デジタル 教科書体 N-R"/>
      <family val="1"/>
      <charset val="128"/>
    </font>
    <font>
      <sz val="9"/>
      <color theme="1"/>
      <name val="UD デジタル 教科書体 N-R"/>
      <family val="1"/>
      <charset val="128"/>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3FFFF"/>
        <bgColor indexed="64"/>
      </patternFill>
    </fill>
  </fills>
  <borders count="51">
    <border>
      <left/>
      <right/>
      <top/>
      <bottom/>
      <diagonal/>
    </border>
    <border>
      <left style="hair">
        <color rgb="FF442F65"/>
      </left>
      <right style="hair">
        <color rgb="FF442F65"/>
      </right>
      <top style="hair">
        <color rgb="FF442F65"/>
      </top>
      <bottom style="hair">
        <color rgb="FF442F65"/>
      </bottom>
      <diagonal/>
    </border>
    <border>
      <left style="thin">
        <color rgb="FF442F65"/>
      </left>
      <right style="thin">
        <color rgb="FF5B3F86"/>
      </right>
      <top style="thin">
        <color rgb="FF442F65"/>
      </top>
      <bottom/>
      <diagonal/>
    </border>
    <border>
      <left style="thin">
        <color rgb="FF5B3F86"/>
      </left>
      <right style="thin">
        <color rgb="FF5B3F86"/>
      </right>
      <top style="thin">
        <color rgb="FF442F65"/>
      </top>
      <bottom/>
      <diagonal/>
    </border>
    <border>
      <left style="thin">
        <color rgb="FF5B3F86"/>
      </left>
      <right style="thin">
        <color rgb="FF442F65"/>
      </right>
      <top style="thin">
        <color rgb="FF442F65"/>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hair">
        <color auto="1"/>
      </right>
      <top style="thin">
        <color indexed="64"/>
      </top>
      <bottom/>
      <diagonal/>
    </border>
    <border>
      <left style="hair">
        <color auto="1"/>
      </left>
      <right/>
      <top style="thin">
        <color indexed="64"/>
      </top>
      <bottom/>
      <diagonal/>
    </border>
    <border>
      <left style="hair">
        <color auto="1"/>
      </left>
      <right style="thin">
        <color indexed="64"/>
      </right>
      <top style="thin">
        <color indexed="64"/>
      </top>
      <bottom/>
      <diagonal/>
    </border>
    <border>
      <left style="thin">
        <color indexed="64"/>
      </left>
      <right style="hair">
        <color auto="1"/>
      </right>
      <top/>
      <bottom style="thin">
        <color indexed="64"/>
      </bottom>
      <diagonal/>
    </border>
    <border>
      <left style="hair">
        <color auto="1"/>
      </left>
      <right/>
      <top/>
      <bottom style="thin">
        <color indexed="64"/>
      </bottom>
      <diagonal/>
    </border>
    <border>
      <left style="hair">
        <color auto="1"/>
      </left>
      <right style="thin">
        <color indexed="64"/>
      </right>
      <top style="thin">
        <color indexed="64"/>
      </top>
      <bottom style="thin">
        <color indexed="64"/>
      </bottom>
      <diagonal/>
    </border>
    <border>
      <left style="thin">
        <color indexed="64"/>
      </left>
      <right style="hair">
        <color auto="1"/>
      </right>
      <top style="thin">
        <color indexed="64"/>
      </top>
      <bottom style="hair">
        <color auto="1"/>
      </bottom>
      <diagonal/>
    </border>
    <border>
      <left style="hair">
        <color auto="1"/>
      </left>
      <right/>
      <top style="thin">
        <color indexed="64"/>
      </top>
      <bottom style="hair">
        <color auto="1"/>
      </bottom>
      <diagonal/>
    </border>
    <border>
      <left style="hair">
        <color auto="1"/>
      </left>
      <right style="thin">
        <color indexed="64"/>
      </right>
      <top style="thin">
        <color indexed="64"/>
      </top>
      <bottom style="hair">
        <color auto="1"/>
      </bottom>
      <diagonal/>
    </border>
    <border>
      <left style="thin">
        <color indexed="64"/>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thin">
        <color indexed="64"/>
      </bottom>
      <diagonal/>
    </border>
    <border>
      <left style="hair">
        <color auto="1"/>
      </left>
      <right/>
      <top style="hair">
        <color auto="1"/>
      </top>
      <bottom style="thin">
        <color indexed="64"/>
      </bottom>
      <diagonal/>
    </border>
    <border>
      <left style="hair">
        <color auto="1"/>
      </left>
      <right style="thin">
        <color indexed="64"/>
      </right>
      <top style="hair">
        <color auto="1"/>
      </top>
      <bottom style="thin">
        <color indexed="64"/>
      </bottom>
      <diagonal/>
    </border>
    <border>
      <left style="thin">
        <color indexed="64"/>
      </left>
      <right style="hair">
        <color auto="1"/>
      </right>
      <top style="thin">
        <color indexed="64"/>
      </top>
      <bottom style="thin">
        <color indexed="64"/>
      </bottom>
      <diagonal/>
    </border>
    <border>
      <left style="hair">
        <color auto="1"/>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hair">
        <color auto="1"/>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style="thin">
        <color indexed="64"/>
      </left>
      <right/>
      <top style="hair">
        <color indexed="64"/>
      </top>
      <bottom style="thin">
        <color indexed="64"/>
      </bottom>
      <diagonal/>
    </border>
    <border>
      <left style="thin">
        <color indexed="64"/>
      </left>
      <right style="hair">
        <color auto="1"/>
      </right>
      <top style="hair">
        <color auto="1"/>
      </top>
      <bottom/>
      <diagonal/>
    </border>
    <border>
      <left style="hair">
        <color auto="1"/>
      </left>
      <right style="thin">
        <color indexed="64"/>
      </right>
      <top style="hair">
        <color auto="1"/>
      </top>
      <bottom/>
      <diagonal/>
    </border>
  </borders>
  <cellStyleXfs count="3">
    <xf numFmtId="0" fontId="0" fillId="0" borderId="0"/>
    <xf numFmtId="9" fontId="1" fillId="0" borderId="0" applyFont="0" applyFill="0" applyBorder="0" applyAlignment="0" applyProtection="0">
      <alignment vertical="center"/>
    </xf>
    <xf numFmtId="38" fontId="4" fillId="0" borderId="0" applyFont="0" applyFill="0" applyBorder="0" applyAlignment="0" applyProtection="0">
      <alignment vertical="center"/>
    </xf>
  </cellStyleXfs>
  <cellXfs count="151">
    <xf numFmtId="0" fontId="0" fillId="0" borderId="0" xfId="0"/>
    <xf numFmtId="0" fontId="3" fillId="0" borderId="0" xfId="0" applyFont="1"/>
    <xf numFmtId="0" fontId="3" fillId="0" borderId="5" xfId="0" applyFont="1" applyBorder="1"/>
    <xf numFmtId="9" fontId="3" fillId="0" borderId="5" xfId="1" applyFont="1" applyBorder="1" applyAlignment="1"/>
    <xf numFmtId="0" fontId="3" fillId="0" borderId="5" xfId="0" applyFont="1" applyBorder="1" applyAlignment="1">
      <alignment wrapText="1"/>
    </xf>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9" fontId="3" fillId="0" borderId="7" xfId="1" applyFont="1" applyBorder="1" applyAlignment="1"/>
    <xf numFmtId="9" fontId="3" fillId="0" borderId="8" xfId="1" applyFont="1" applyBorder="1" applyAlignment="1"/>
    <xf numFmtId="9" fontId="3" fillId="0" borderId="9" xfId="1" applyFont="1" applyBorder="1" applyAlignment="1"/>
    <xf numFmtId="0" fontId="3" fillId="0" borderId="10" xfId="0" applyFont="1" applyBorder="1"/>
    <xf numFmtId="0" fontId="3" fillId="0" borderId="11" xfId="0" applyFont="1" applyBorder="1"/>
    <xf numFmtId="0" fontId="5" fillId="2" borderId="0" xfId="0" applyFont="1" applyFill="1" applyAlignment="1">
      <alignment vertical="center"/>
    </xf>
    <xf numFmtId="0" fontId="5" fillId="0" borderId="0" xfId="0" applyFont="1" applyAlignment="1">
      <alignment vertical="center"/>
    </xf>
    <xf numFmtId="0" fontId="5" fillId="3" borderId="12" xfId="0" applyFont="1" applyFill="1" applyBorder="1" applyAlignment="1">
      <alignment vertical="center"/>
    </xf>
    <xf numFmtId="0" fontId="5" fillId="3" borderId="13" xfId="0" applyFont="1" applyFill="1" applyBorder="1" applyAlignment="1">
      <alignment vertical="center"/>
    </xf>
    <xf numFmtId="0" fontId="5" fillId="3" borderId="14" xfId="0" applyFont="1" applyFill="1" applyBorder="1" applyAlignment="1">
      <alignment vertical="center"/>
    </xf>
    <xf numFmtId="0" fontId="5" fillId="3" borderId="15" xfId="0" applyFont="1" applyFill="1" applyBorder="1" applyAlignment="1">
      <alignment vertical="center"/>
    </xf>
    <xf numFmtId="0" fontId="5" fillId="3" borderId="0" xfId="0" applyFont="1" applyFill="1" applyBorder="1" applyAlignment="1">
      <alignment vertical="center"/>
    </xf>
    <xf numFmtId="0" fontId="5" fillId="3" borderId="16" xfId="0" applyFont="1" applyFill="1" applyBorder="1" applyAlignment="1">
      <alignment vertical="center"/>
    </xf>
    <xf numFmtId="177" fontId="5" fillId="5" borderId="26" xfId="0" applyNumberFormat="1" applyFont="1" applyFill="1" applyBorder="1" applyAlignment="1">
      <alignment vertical="center"/>
    </xf>
    <xf numFmtId="0" fontId="5" fillId="5" borderId="27" xfId="0" applyFont="1" applyFill="1" applyBorder="1" applyAlignment="1">
      <alignment vertical="center" shrinkToFit="1"/>
    </xf>
    <xf numFmtId="38" fontId="5" fillId="5" borderId="28" xfId="2" applyFont="1" applyFill="1" applyBorder="1" applyAlignment="1">
      <alignment vertical="center"/>
    </xf>
    <xf numFmtId="178" fontId="5" fillId="5" borderId="28" xfId="1" applyNumberFormat="1" applyFont="1" applyFill="1" applyBorder="1" applyAlignment="1">
      <alignment vertical="center"/>
    </xf>
    <xf numFmtId="177" fontId="5" fillId="3" borderId="26" xfId="0" applyNumberFormat="1" applyFont="1" applyFill="1" applyBorder="1" applyAlignment="1">
      <alignment vertical="center"/>
    </xf>
    <xf numFmtId="0" fontId="5" fillId="3" borderId="27" xfId="0" applyFont="1" applyFill="1" applyBorder="1" applyAlignment="1">
      <alignment vertical="center" shrinkToFit="1"/>
    </xf>
    <xf numFmtId="38" fontId="5" fillId="3" borderId="28" xfId="2" applyFont="1" applyFill="1" applyBorder="1" applyAlignment="1">
      <alignment vertical="center"/>
    </xf>
    <xf numFmtId="178" fontId="5" fillId="3" borderId="28" xfId="1" applyNumberFormat="1" applyFont="1" applyFill="1" applyBorder="1" applyAlignment="1">
      <alignment vertical="center"/>
    </xf>
    <xf numFmtId="38" fontId="5" fillId="3" borderId="22" xfId="2" applyFont="1" applyFill="1" applyBorder="1" applyAlignment="1">
      <alignment vertical="center"/>
    </xf>
    <xf numFmtId="0" fontId="5" fillId="3" borderId="34" xfId="0" applyFont="1" applyFill="1" applyBorder="1" applyAlignment="1">
      <alignment vertical="center"/>
    </xf>
    <xf numFmtId="0" fontId="5" fillId="3" borderId="35" xfId="0" applyFont="1" applyFill="1" applyBorder="1" applyAlignment="1">
      <alignment vertical="center"/>
    </xf>
    <xf numFmtId="0" fontId="5" fillId="3" borderId="36" xfId="0" applyFont="1" applyFill="1" applyBorder="1" applyAlignment="1">
      <alignment vertical="center"/>
    </xf>
    <xf numFmtId="38" fontId="5" fillId="5" borderId="26" xfId="2" applyFont="1" applyFill="1" applyBorder="1" applyAlignment="1">
      <alignment vertical="center"/>
    </xf>
    <xf numFmtId="38" fontId="5" fillId="3" borderId="26" xfId="2" applyFont="1" applyFill="1" applyBorder="1" applyAlignment="1">
      <alignment vertical="center"/>
    </xf>
    <xf numFmtId="38" fontId="5" fillId="3" borderId="32" xfId="2" applyFont="1" applyFill="1" applyBorder="1" applyAlignment="1">
      <alignment vertical="center"/>
    </xf>
    <xf numFmtId="178" fontId="5" fillId="5" borderId="26" xfId="1" applyNumberFormat="1" applyFont="1" applyFill="1" applyBorder="1" applyAlignment="1">
      <alignment vertical="center"/>
    </xf>
    <xf numFmtId="178" fontId="5" fillId="3" borderId="26" xfId="1" applyNumberFormat="1" applyFont="1" applyFill="1" applyBorder="1" applyAlignment="1">
      <alignment vertical="center"/>
    </xf>
    <xf numFmtId="177" fontId="5" fillId="3" borderId="32" xfId="0" applyNumberFormat="1" applyFont="1" applyFill="1" applyBorder="1" applyAlignment="1">
      <alignment vertical="center"/>
    </xf>
    <xf numFmtId="0" fontId="5" fillId="3" borderId="33" xfId="0" applyFont="1" applyFill="1" applyBorder="1" applyAlignment="1">
      <alignment vertical="center" shrinkToFit="1"/>
    </xf>
    <xf numFmtId="178" fontId="5" fillId="3" borderId="32" xfId="1" applyNumberFormat="1" applyFont="1" applyFill="1" applyBorder="1" applyAlignment="1">
      <alignment vertical="center"/>
    </xf>
    <xf numFmtId="178" fontId="5" fillId="3" borderId="22" xfId="1" applyNumberFormat="1" applyFont="1" applyFill="1" applyBorder="1" applyAlignment="1">
      <alignment vertical="center"/>
    </xf>
    <xf numFmtId="177" fontId="5" fillId="5" borderId="23" xfId="0" applyNumberFormat="1" applyFont="1" applyFill="1" applyBorder="1" applyAlignment="1">
      <alignment vertical="center"/>
    </xf>
    <xf numFmtId="0" fontId="5" fillId="5" borderId="24" xfId="0" applyFont="1" applyFill="1" applyBorder="1" applyAlignment="1">
      <alignment vertical="center" shrinkToFit="1"/>
    </xf>
    <xf numFmtId="38" fontId="5" fillId="5" borderId="23" xfId="2" applyFont="1" applyFill="1" applyBorder="1" applyAlignment="1">
      <alignment vertical="center"/>
    </xf>
    <xf numFmtId="38" fontId="5" fillId="5" borderId="25" xfId="2" applyFont="1" applyFill="1" applyBorder="1" applyAlignment="1">
      <alignment vertical="center"/>
    </xf>
    <xf numFmtId="178" fontId="5" fillId="5" borderId="23" xfId="1" applyNumberFormat="1" applyFont="1" applyFill="1" applyBorder="1" applyAlignment="1">
      <alignment vertical="center"/>
    </xf>
    <xf numFmtId="178" fontId="5" fillId="5" borderId="25" xfId="1" applyNumberFormat="1" applyFont="1" applyFill="1" applyBorder="1" applyAlignment="1">
      <alignment vertical="center"/>
    </xf>
    <xf numFmtId="177" fontId="5" fillId="3" borderId="29" xfId="0" applyNumberFormat="1" applyFont="1" applyFill="1" applyBorder="1" applyAlignment="1">
      <alignment vertical="center"/>
    </xf>
    <xf numFmtId="0" fontId="5" fillId="3" borderId="30" xfId="0" applyFont="1" applyFill="1" applyBorder="1" applyAlignment="1">
      <alignment vertical="center" shrinkToFit="1"/>
    </xf>
    <xf numFmtId="38" fontId="5" fillId="3" borderId="29" xfId="2" applyFont="1" applyFill="1" applyBorder="1" applyAlignment="1">
      <alignment vertical="center"/>
    </xf>
    <xf numFmtId="38" fontId="5" fillId="3" borderId="31" xfId="2" applyFont="1" applyFill="1" applyBorder="1" applyAlignment="1">
      <alignment vertical="center"/>
    </xf>
    <xf numFmtId="178" fontId="5" fillId="3" borderId="29" xfId="1" applyNumberFormat="1" applyFont="1" applyFill="1" applyBorder="1" applyAlignment="1">
      <alignment vertical="center"/>
    </xf>
    <xf numFmtId="178" fontId="5" fillId="3" borderId="31" xfId="1" applyNumberFormat="1" applyFont="1" applyFill="1" applyBorder="1" applyAlignment="1">
      <alignment vertical="center"/>
    </xf>
    <xf numFmtId="0" fontId="5" fillId="4" borderId="32" xfId="2" applyNumberFormat="1" applyFont="1" applyFill="1" applyBorder="1" applyAlignment="1">
      <alignment horizontal="center" vertical="center" wrapText="1"/>
    </xf>
    <xf numFmtId="0" fontId="5" fillId="4" borderId="22" xfId="2" applyNumberFormat="1" applyFont="1" applyFill="1" applyBorder="1" applyAlignment="1">
      <alignment horizontal="center" vertical="center" wrapText="1"/>
    </xf>
    <xf numFmtId="0" fontId="5" fillId="4" borderId="17" xfId="0" applyFont="1" applyFill="1" applyBorder="1" applyAlignment="1">
      <alignment horizontal="center" vertical="center"/>
    </xf>
    <xf numFmtId="0" fontId="5" fillId="3" borderId="0" xfId="0" applyFont="1" applyFill="1" applyAlignment="1">
      <alignment vertical="center"/>
    </xf>
    <xf numFmtId="0" fontId="5" fillId="4" borderId="5" xfId="0" applyFont="1" applyFill="1" applyBorder="1" applyAlignment="1">
      <alignment vertical="center"/>
    </xf>
    <xf numFmtId="0" fontId="5" fillId="4" borderId="32" xfId="0" applyFont="1" applyFill="1" applyBorder="1" applyAlignment="1">
      <alignment vertical="center" wrapText="1"/>
    </xf>
    <xf numFmtId="0" fontId="5" fillId="4" borderId="39" xfId="0" applyFont="1" applyFill="1" applyBorder="1" applyAlignment="1">
      <alignment vertical="center" wrapText="1"/>
    </xf>
    <xf numFmtId="0" fontId="5" fillId="4" borderId="22" xfId="0" applyFont="1" applyFill="1" applyBorder="1" applyAlignment="1">
      <alignment vertical="center" wrapText="1"/>
    </xf>
    <xf numFmtId="0" fontId="5" fillId="0" borderId="9" xfId="0" applyFont="1" applyBorder="1" applyAlignment="1">
      <alignment vertical="center"/>
    </xf>
    <xf numFmtId="0" fontId="5" fillId="0" borderId="29" xfId="0" applyFont="1" applyBorder="1" applyAlignment="1">
      <alignment vertical="center"/>
    </xf>
    <xf numFmtId="0" fontId="5" fillId="0" borderId="40" xfId="0" applyFont="1" applyBorder="1" applyAlignment="1">
      <alignment vertical="center"/>
    </xf>
    <xf numFmtId="0" fontId="5" fillId="0" borderId="31" xfId="0" applyFont="1" applyBorder="1" applyAlignment="1">
      <alignment vertical="center"/>
    </xf>
    <xf numFmtId="0" fontId="5" fillId="0" borderId="8" xfId="0" applyFont="1" applyBorder="1" applyAlignment="1">
      <alignment vertical="center"/>
    </xf>
    <xf numFmtId="0" fontId="5" fillId="0" borderId="26" xfId="0" applyFont="1" applyBorder="1" applyAlignment="1">
      <alignment vertical="center"/>
    </xf>
    <xf numFmtId="0" fontId="5" fillId="0" borderId="42" xfId="0" applyFont="1" applyBorder="1" applyAlignment="1">
      <alignment vertical="center"/>
    </xf>
    <xf numFmtId="0" fontId="5" fillId="0" borderId="28" xfId="0" applyFont="1" applyBorder="1" applyAlignment="1">
      <alignment vertical="center"/>
    </xf>
    <xf numFmtId="0" fontId="5" fillId="0" borderId="0" xfId="0" applyFont="1" applyBorder="1" applyAlignment="1">
      <alignment vertical="center"/>
    </xf>
    <xf numFmtId="0" fontId="5" fillId="2" borderId="0" xfId="0" applyFont="1" applyFill="1" applyBorder="1" applyAlignment="1">
      <alignment vertical="center"/>
    </xf>
    <xf numFmtId="177" fontId="5" fillId="3" borderId="0" xfId="0" applyNumberFormat="1" applyFont="1" applyFill="1" applyBorder="1" applyAlignment="1">
      <alignment vertical="center"/>
    </xf>
    <xf numFmtId="0" fontId="5" fillId="0" borderId="37" xfId="0" applyFont="1" applyBorder="1" applyAlignment="1">
      <alignment vertical="center"/>
    </xf>
    <xf numFmtId="178" fontId="5" fillId="0" borderId="29" xfId="1" applyNumberFormat="1" applyFont="1" applyBorder="1" applyAlignment="1">
      <alignment vertical="center"/>
    </xf>
    <xf numFmtId="178" fontId="5" fillId="0" borderId="40" xfId="1" applyNumberFormat="1" applyFont="1" applyBorder="1" applyAlignment="1">
      <alignment vertical="center"/>
    </xf>
    <xf numFmtId="178" fontId="5" fillId="0" borderId="31" xfId="1" applyNumberFormat="1" applyFont="1" applyBorder="1" applyAlignment="1">
      <alignment vertical="center"/>
    </xf>
    <xf numFmtId="178" fontId="5" fillId="0" borderId="26" xfId="1" applyNumberFormat="1" applyFont="1" applyBorder="1" applyAlignment="1">
      <alignment vertical="center"/>
    </xf>
    <xf numFmtId="178" fontId="5" fillId="0" borderId="42" xfId="1" applyNumberFormat="1" applyFont="1" applyBorder="1" applyAlignment="1">
      <alignment vertical="center"/>
    </xf>
    <xf numFmtId="178" fontId="5" fillId="0" borderId="28" xfId="1" applyNumberFormat="1" applyFont="1" applyBorder="1" applyAlignment="1">
      <alignment vertical="center"/>
    </xf>
    <xf numFmtId="0" fontId="5" fillId="4" borderId="5" xfId="0" applyFont="1" applyFill="1" applyBorder="1" applyAlignment="1">
      <alignment horizontal="center" vertical="center"/>
    </xf>
    <xf numFmtId="0" fontId="5" fillId="5" borderId="7" xfId="0" applyFont="1" applyFill="1" applyBorder="1" applyAlignment="1">
      <alignment vertical="center"/>
    </xf>
    <xf numFmtId="0" fontId="5" fillId="5" borderId="23" xfId="0" applyFont="1" applyFill="1" applyBorder="1" applyAlignment="1">
      <alignment vertical="center"/>
    </xf>
    <xf numFmtId="0" fontId="5" fillId="5" borderId="41" xfId="0" applyFont="1" applyFill="1" applyBorder="1" applyAlignment="1">
      <alignment vertical="center"/>
    </xf>
    <xf numFmtId="0" fontId="5" fillId="5" borderId="25" xfId="0" applyFont="1" applyFill="1" applyBorder="1" applyAlignment="1">
      <alignment vertical="center"/>
    </xf>
    <xf numFmtId="0" fontId="5" fillId="5" borderId="8" xfId="0" applyFont="1" applyFill="1" applyBorder="1" applyAlignment="1">
      <alignment vertical="center"/>
    </xf>
    <xf numFmtId="0" fontId="5" fillId="5" borderId="26" xfId="0" applyFont="1" applyFill="1" applyBorder="1" applyAlignment="1">
      <alignment vertical="center"/>
    </xf>
    <xf numFmtId="0" fontId="5" fillId="5" borderId="42" xfId="0" applyFont="1" applyFill="1" applyBorder="1" applyAlignment="1">
      <alignment vertical="center"/>
    </xf>
    <xf numFmtId="0" fontId="5" fillId="5" borderId="28" xfId="0" applyFont="1" applyFill="1" applyBorder="1" applyAlignment="1">
      <alignment vertical="center"/>
    </xf>
    <xf numFmtId="178" fontId="5" fillId="5" borderId="41" xfId="1" applyNumberFormat="1" applyFont="1" applyFill="1" applyBorder="1" applyAlignment="1">
      <alignment vertical="center"/>
    </xf>
    <xf numFmtId="178" fontId="5" fillId="5" borderId="42" xfId="1" applyNumberFormat="1" applyFont="1" applyFill="1" applyBorder="1" applyAlignment="1">
      <alignment vertical="center"/>
    </xf>
    <xf numFmtId="178" fontId="5" fillId="0" borderId="32" xfId="1" applyNumberFormat="1" applyFont="1" applyBorder="1" applyAlignment="1">
      <alignment vertical="center"/>
    </xf>
    <xf numFmtId="178" fontId="5" fillId="0" borderId="39" xfId="1" applyNumberFormat="1" applyFont="1" applyBorder="1" applyAlignment="1">
      <alignment vertical="center"/>
    </xf>
    <xf numFmtId="178" fontId="5" fillId="0" borderId="22" xfId="1" applyNumberFormat="1" applyFont="1" applyBorder="1" applyAlignment="1">
      <alignment vertical="center"/>
    </xf>
    <xf numFmtId="0" fontId="5" fillId="0" borderId="9" xfId="0" applyFont="1" applyBorder="1" applyAlignment="1">
      <alignment vertical="center" shrinkToFit="1"/>
    </xf>
    <xf numFmtId="0" fontId="5" fillId="4" borderId="17" xfId="0" applyFont="1" applyFill="1" applyBorder="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0" xfId="0" applyFont="1" applyAlignment="1">
      <alignment wrapText="1"/>
    </xf>
    <xf numFmtId="0" fontId="7" fillId="0" borderId="0" xfId="0" applyFont="1"/>
    <xf numFmtId="176" fontId="6" fillId="0" borderId="1" xfId="0" applyNumberFormat="1" applyFont="1" applyBorder="1" applyAlignment="1">
      <alignment vertical="center"/>
    </xf>
    <xf numFmtId="0" fontId="6" fillId="0" borderId="1" xfId="0" applyFont="1" applyBorder="1" applyAlignment="1">
      <alignment vertical="center"/>
    </xf>
    <xf numFmtId="0" fontId="6" fillId="0" borderId="1" xfId="0" applyFont="1" applyBorder="1" applyAlignment="1">
      <alignment vertical="center" wrapText="1"/>
    </xf>
    <xf numFmtId="0" fontId="7" fillId="0" borderId="1" xfId="0" applyFont="1" applyBorder="1"/>
    <xf numFmtId="176" fontId="6" fillId="0" borderId="1" xfId="0" applyNumberFormat="1" applyFont="1" applyBorder="1" applyAlignment="1">
      <alignment vertical="center" wrapText="1"/>
    </xf>
    <xf numFmtId="0" fontId="8" fillId="0" borderId="3" xfId="0" applyFont="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0" xfId="0" applyFont="1"/>
    <xf numFmtId="0" fontId="5" fillId="0" borderId="5" xfId="0" applyFont="1" applyBorder="1"/>
    <xf numFmtId="0" fontId="5" fillId="0" borderId="7" xfId="0" applyFont="1" applyBorder="1"/>
    <xf numFmtId="0" fontId="5" fillId="0" borderId="8" xfId="0" applyFont="1" applyBorder="1"/>
    <xf numFmtId="0" fontId="7" fillId="0" borderId="5" xfId="0" applyFont="1" applyBorder="1" applyAlignment="1">
      <alignment wrapText="1"/>
    </xf>
    <xf numFmtId="0" fontId="5" fillId="0" borderId="45" xfId="0" applyFont="1" applyBorder="1"/>
    <xf numFmtId="0" fontId="3" fillId="0" borderId="46" xfId="0" applyFont="1" applyBorder="1"/>
    <xf numFmtId="9" fontId="3" fillId="0" borderId="47" xfId="1" applyFont="1" applyBorder="1" applyAlignment="1"/>
    <xf numFmtId="0" fontId="3" fillId="0" borderId="48" xfId="0" applyFont="1" applyBorder="1"/>
    <xf numFmtId="177" fontId="5" fillId="5" borderId="32" xfId="0" applyNumberFormat="1" applyFont="1" applyFill="1" applyBorder="1" applyAlignment="1">
      <alignment vertical="center"/>
    </xf>
    <xf numFmtId="0" fontId="5" fillId="5" borderId="5" xfId="0" applyFont="1" applyFill="1" applyBorder="1" applyAlignment="1">
      <alignment vertical="center"/>
    </xf>
    <xf numFmtId="178" fontId="5" fillId="5" borderId="22" xfId="1" applyNumberFormat="1" applyFont="1" applyFill="1" applyBorder="1" applyAlignment="1">
      <alignment vertical="center"/>
    </xf>
    <xf numFmtId="0" fontId="5" fillId="5" borderId="32" xfId="1" applyNumberFormat="1" applyFont="1" applyFill="1" applyBorder="1" applyAlignment="1">
      <alignment vertical="center"/>
    </xf>
    <xf numFmtId="177" fontId="5" fillId="3" borderId="23" xfId="0" applyNumberFormat="1" applyFont="1" applyFill="1" applyBorder="1" applyAlignment="1">
      <alignment vertical="center"/>
    </xf>
    <xf numFmtId="0" fontId="5" fillId="0" borderId="7" xfId="0" applyFont="1" applyBorder="1" applyAlignment="1">
      <alignment vertical="center"/>
    </xf>
    <xf numFmtId="0" fontId="5" fillId="0" borderId="23" xfId="0" applyNumberFormat="1" applyFont="1" applyBorder="1" applyAlignment="1">
      <alignment vertical="center"/>
    </xf>
    <xf numFmtId="0" fontId="5" fillId="5" borderId="26" xfId="1" applyNumberFormat="1" applyFont="1" applyFill="1" applyBorder="1" applyAlignment="1">
      <alignment vertical="center"/>
    </xf>
    <xf numFmtId="0" fontId="5" fillId="0" borderId="26" xfId="0" applyNumberFormat="1" applyFont="1" applyBorder="1" applyAlignment="1">
      <alignment vertical="center"/>
    </xf>
    <xf numFmtId="177" fontId="5" fillId="5" borderId="29" xfId="0" applyNumberFormat="1" applyFont="1" applyFill="1" applyBorder="1" applyAlignment="1">
      <alignment vertical="center"/>
    </xf>
    <xf numFmtId="0" fontId="5" fillId="5" borderId="9" xfId="0" applyFont="1" applyFill="1" applyBorder="1" applyAlignment="1">
      <alignment vertical="center"/>
    </xf>
    <xf numFmtId="0" fontId="5" fillId="5" borderId="29" xfId="1" applyNumberFormat="1" applyFont="1" applyFill="1" applyBorder="1" applyAlignment="1">
      <alignment vertical="center"/>
    </xf>
    <xf numFmtId="178" fontId="5" fillId="0" borderId="25" xfId="1" applyNumberFormat="1" applyFont="1" applyBorder="1" applyAlignment="1">
      <alignment vertical="center"/>
    </xf>
    <xf numFmtId="178" fontId="5" fillId="5" borderId="31" xfId="1" applyNumberFormat="1" applyFont="1" applyFill="1" applyBorder="1" applyAlignment="1">
      <alignment vertical="center"/>
    </xf>
    <xf numFmtId="0" fontId="5" fillId="4" borderId="32"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5" fillId="4" borderId="5" xfId="0" applyFont="1" applyFill="1" applyBorder="1" applyAlignment="1">
      <alignment vertical="center" wrapText="1"/>
    </xf>
    <xf numFmtId="177" fontId="5" fillId="3" borderId="49" xfId="0" applyNumberFormat="1" applyFont="1" applyFill="1" applyBorder="1" applyAlignment="1">
      <alignment vertical="center"/>
    </xf>
    <xf numFmtId="0" fontId="5" fillId="0" borderId="45" xfId="0" applyFont="1" applyBorder="1" applyAlignment="1">
      <alignment vertical="center"/>
    </xf>
    <xf numFmtId="0" fontId="5" fillId="0" borderId="49" xfId="0" applyNumberFormat="1" applyFont="1" applyBorder="1" applyAlignment="1">
      <alignment vertical="center"/>
    </xf>
    <xf numFmtId="178" fontId="5" fillId="0" borderId="50" xfId="1" applyNumberFormat="1" applyFont="1" applyBorder="1" applyAlignment="1">
      <alignment vertical="center"/>
    </xf>
    <xf numFmtId="0" fontId="5" fillId="3" borderId="0" xfId="0" applyFont="1" applyFill="1" applyBorder="1" applyAlignment="1">
      <alignment horizontal="left" vertical="center"/>
    </xf>
    <xf numFmtId="0" fontId="5" fillId="4" borderId="17" xfId="0" applyFont="1" applyFill="1" applyBorder="1" applyAlignment="1">
      <alignment horizontal="center" vertical="center"/>
    </xf>
    <xf numFmtId="0" fontId="5" fillId="4" borderId="20" xfId="0" applyFont="1" applyFill="1" applyBorder="1" applyAlignment="1">
      <alignment horizontal="center" vertical="center"/>
    </xf>
    <xf numFmtId="0" fontId="5" fillId="4" borderId="18" xfId="0" applyFont="1" applyFill="1" applyBorder="1" applyAlignment="1">
      <alignment vertical="center"/>
    </xf>
    <xf numFmtId="0" fontId="5" fillId="4" borderId="21" xfId="0" applyFont="1" applyFill="1" applyBorder="1" applyAlignment="1">
      <alignment vertical="center"/>
    </xf>
    <xf numFmtId="0" fontId="5" fillId="4" borderId="13" xfId="0" applyFont="1" applyFill="1" applyBorder="1" applyAlignment="1">
      <alignment horizontal="center" vertical="center"/>
    </xf>
    <xf numFmtId="0" fontId="5" fillId="4" borderId="19" xfId="0" applyFont="1" applyFill="1" applyBorder="1" applyAlignment="1">
      <alignment horizontal="center" vertical="center"/>
    </xf>
    <xf numFmtId="177" fontId="5" fillId="3" borderId="38" xfId="0" applyNumberFormat="1" applyFont="1" applyFill="1" applyBorder="1" applyAlignment="1">
      <alignment horizontal="center" vertical="center"/>
    </xf>
    <xf numFmtId="177" fontId="5" fillId="3" borderId="43" xfId="0" applyNumberFormat="1" applyFont="1" applyFill="1" applyBorder="1" applyAlignment="1">
      <alignment horizontal="center" vertical="center"/>
    </xf>
    <xf numFmtId="177" fontId="5" fillId="3" borderId="44" xfId="0" applyNumberFormat="1" applyFont="1" applyFill="1" applyBorder="1" applyAlignment="1">
      <alignment horizontal="center" vertical="center"/>
    </xf>
  </cellXfs>
  <cellStyles count="3">
    <cellStyle name="パーセント" xfId="1" builtinId="5"/>
    <cellStyle name="桁区切り" xfId="2" builtinId="6"/>
    <cellStyle name="標準" xfId="0" builtinId="0"/>
  </cellStyles>
  <dxfs count="28">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rgb="FF000000"/>
        <name val="UD デジタル 教科書体 N-R"/>
        <scheme val="none"/>
      </font>
      <numFmt numFmtId="0" formatCode="General"/>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rgb="FF000000"/>
        <name val="UD デジタル 教科書体 N-R"/>
        <scheme val="none"/>
      </font>
      <numFmt numFmtId="0" formatCode="General"/>
      <alignment horizontal="center" vertical="center" textRotation="0" indent="0" justifyLastLine="0" shrinkToFit="0" readingOrder="0"/>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rgb="FF000000"/>
        <name val="UD デジタル 教科書体 N-R"/>
        <scheme val="none"/>
      </font>
      <numFmt numFmtId="0" formatCode="General"/>
      <alignment horizontal="center" vertical="center" textRotation="0" indent="0" justifyLastLine="0" shrinkToFit="0" readingOrder="0"/>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rgb="FF000000"/>
        <name val="UD デジタル 教科書体 N-R"/>
        <scheme val="none"/>
      </font>
      <numFmt numFmtId="0" formatCode="General"/>
      <alignment horizontal="center" vertical="center" textRotation="0" indent="0" justifyLastLine="0" shrinkToFit="0" readingOrder="0"/>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rgb="FF000000"/>
        <name val="UD デジタル 教科書体 N-R"/>
        <scheme val="none"/>
      </font>
      <numFmt numFmtId="0" formatCode="General"/>
      <alignment horizontal="center" vertical="center" textRotation="0" indent="0" justifyLastLine="0" shrinkToFit="0" readingOrder="0"/>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rgb="FF000000"/>
        <name val="UD デジタル 教科書体 N-R"/>
        <scheme val="none"/>
      </font>
      <numFmt numFmtId="0" formatCode="General"/>
      <alignment horizontal="center" vertical="center" textRotation="0" indent="0" justifyLastLine="0" shrinkToFit="0" readingOrder="0"/>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theme="1"/>
        <name val="UD デジタル 教科書体 N-R"/>
        <scheme val="none"/>
      </font>
      <alignment horizontal="general" vertical="center" textRotation="0" wrapText="0" indent="0" justifyLastLine="0" shrinkToFit="0" readingOrder="0"/>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theme="1"/>
        <name val="UD デジタル 教科書体 N-R"/>
        <scheme val="none"/>
      </font>
      <alignment horizontal="general" vertical="center" textRotation="0" wrapText="0" indent="0" justifyLastLine="0" shrinkToFit="0" readingOrder="0"/>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theme="1"/>
        <name val="UD デジタル 教科書体 N-R"/>
        <scheme val="none"/>
      </font>
      <alignment horizontal="general" vertical="center" textRotation="0" wrapText="0" indent="0" justifyLastLine="0" shrinkToFit="0" readingOrder="0"/>
      <border diagonalUp="0" diagonalDown="0" outline="0">
        <left style="hair">
          <color rgb="FF442F65"/>
        </left>
        <right style="hair">
          <color rgb="FF442F65"/>
        </right>
        <top style="hair">
          <color rgb="FF442F65"/>
        </top>
        <bottom style="hair">
          <color rgb="FF442F65"/>
        </bottom>
      </border>
    </dxf>
    <dxf>
      <font>
        <b val="0"/>
        <i val="0"/>
        <strike val="0"/>
        <condense val="0"/>
        <extend val="0"/>
        <outline val="0"/>
        <shadow val="0"/>
        <u val="none"/>
        <vertAlign val="baseline"/>
        <sz val="10"/>
        <color theme="1"/>
        <name val="UD デジタル 教科書体 N-R"/>
        <scheme val="none"/>
      </font>
      <alignment horizontal="general" vertical="center" textRotation="0" wrapText="0" indent="0" justifyLastLine="0" shrinkToFit="0" readingOrder="0"/>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border diagonalUp="0" diagonalDown="0" outline="0">
        <left style="hair">
          <color rgb="FF442F65"/>
        </left>
        <right style="hair">
          <color rgb="FF442F65"/>
        </right>
        <top style="hair">
          <color rgb="FF442F65"/>
        </top>
        <bottom style="hair">
          <color rgb="FF442F65"/>
        </bottom>
      </border>
    </dxf>
    <dxf>
      <font>
        <strike val="0"/>
        <outline val="0"/>
        <shadow val="0"/>
        <u val="none"/>
        <vertAlign val="baseline"/>
        <sz val="10"/>
        <name val="UD デジタル 教科書体 N-R"/>
        <scheme val="none"/>
      </font>
    </dxf>
    <dxf>
      <font>
        <strike val="0"/>
        <outline val="0"/>
        <shadow val="0"/>
        <u val="none"/>
        <vertAlign val="baseline"/>
        <sz val="10"/>
        <name val="UD デジタル 教科書体 N-R"/>
        <scheme val="none"/>
      </font>
    </dxf>
    <dxf>
      <font>
        <strike val="0"/>
        <outline val="0"/>
        <shadow val="0"/>
        <u val="none"/>
        <vertAlign val="baseline"/>
        <sz val="10"/>
        <name val="UD デジタル 教科書体 N-R"/>
        <scheme val="none"/>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フォームの回答 1-style" pivot="0" count="3">
      <tableStyleElement type="headerRow" dxfId="27"/>
      <tableStyleElement type="firstRowStripe" dxfId="26"/>
      <tableStyleElement type="secondRowStripe" dxfId="25"/>
    </tableStyle>
  </tableStyles>
  <colors>
    <mruColors>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76200</xdr:colOff>
      <xdr:row>60</xdr:row>
      <xdr:rowOff>866</xdr:rowOff>
    </xdr:from>
    <xdr:to>
      <xdr:col>7</xdr:col>
      <xdr:colOff>771525</xdr:colOff>
      <xdr:row>89</xdr:row>
      <xdr:rowOff>10391</xdr:rowOff>
    </xdr:to>
    <xdr:sp macro="" textlink="">
      <xdr:nvSpPr>
        <xdr:cNvPr id="2" name="テキスト ボックス 1">
          <a:extLst>
            <a:ext uri="{FF2B5EF4-FFF2-40B4-BE49-F238E27FC236}">
              <a16:creationId xmlns:a16="http://schemas.microsoft.com/office/drawing/2014/main" id="{07120D26-13E9-C1BA-1FD5-C56479F3A291}"/>
            </a:ext>
          </a:extLst>
        </xdr:cNvPr>
        <xdr:cNvSpPr txBox="1"/>
      </xdr:nvSpPr>
      <xdr:spPr>
        <a:xfrm>
          <a:off x="76200" y="12314093"/>
          <a:ext cx="8107507" cy="50317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latin typeface="UD デジタル 教科書体 N" panose="02020400000000000000" pitchFamily="17" charset="-128"/>
              <a:ea typeface="UD デジタル 教科書体 N" panose="02020400000000000000" pitchFamily="17" charset="-128"/>
            </a:rPr>
            <a:t>データ分析①全体</a:t>
          </a:r>
          <a:endParaRPr kumimoji="1" lang="en-US" altLang="ja-JP" sz="1100" kern="1200">
            <a:latin typeface="UD デジタル 教科書体 N" panose="02020400000000000000" pitchFamily="17" charset="-128"/>
            <a:ea typeface="UD デジタル 教科書体 N" panose="02020400000000000000" pitchFamily="17" charset="-128"/>
          </a:endParaRPr>
        </a:p>
        <a:p>
          <a:endParaRPr kumimoji="1" lang="ja-JP" altLang="en-US" sz="1100" kern="1200">
            <a:latin typeface="UD デジタル 教科書体 N" panose="02020400000000000000" pitchFamily="17" charset="-128"/>
            <a:ea typeface="UD デジタル 教科書体 N" panose="02020400000000000000" pitchFamily="17" charset="-128"/>
          </a:endParaRP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制度設計に関する課題</a:t>
          </a:r>
          <a:r>
            <a:rPr kumimoji="1" lang="en-US" altLang="ja-JP" sz="1100" kern="1200">
              <a:latin typeface="UD デジタル 教科書体 N" panose="02020400000000000000" pitchFamily="17" charset="-128"/>
              <a:ea typeface="UD デジタル 教科書体 N" panose="02020400000000000000" pitchFamily="17" charset="-128"/>
            </a:rPr>
            <a:t>】</a:t>
          </a:r>
          <a:endParaRPr kumimoji="1" lang="ja-JP" altLang="en-US" sz="1100" kern="1200">
            <a:latin typeface="UD デジタル 教科書体 N" panose="02020400000000000000" pitchFamily="17" charset="-128"/>
            <a:ea typeface="UD デジタル 教科書体 N" panose="02020400000000000000" pitchFamily="17" charset="-128"/>
          </a:endParaRPr>
        </a:p>
        <a:p>
          <a:r>
            <a:rPr kumimoji="1" lang="ja-JP" altLang="en-US" sz="1100" kern="1200">
              <a:latin typeface="UD デジタル 教科書体 N" panose="02020400000000000000" pitchFamily="17" charset="-128"/>
              <a:ea typeface="UD デジタル 教科書体 N" panose="02020400000000000000" pitchFamily="17" charset="-128"/>
            </a:rPr>
            <a:t>・親が休暇を取れない現状で、子どもだけの休みには意味がない</a:t>
          </a:r>
        </a:p>
        <a:p>
          <a:r>
            <a:rPr kumimoji="1" lang="ja-JP" altLang="en-US" sz="1100" kern="1200">
              <a:latin typeface="UD デジタル 教科書体 N" panose="02020400000000000000" pitchFamily="17" charset="-128"/>
              <a:ea typeface="UD デジタル 教科書体 N" panose="02020400000000000000" pitchFamily="17" charset="-128"/>
            </a:rPr>
            <a:t>・市内一斉実施では特定の職場で人手不足が深刻化する</a:t>
          </a:r>
        </a:p>
        <a:p>
          <a:r>
            <a:rPr kumimoji="1" lang="ja-JP" altLang="en-US" sz="1100" kern="1200">
              <a:latin typeface="UD デジタル 教科書体 N" panose="02020400000000000000" pitchFamily="17" charset="-128"/>
              <a:ea typeface="UD デジタル 教科書体 N" panose="02020400000000000000" pitchFamily="17" charset="-128"/>
            </a:rPr>
            <a:t>・企業への周知と休暇取得推進が不十分</a:t>
          </a:r>
        </a:p>
        <a:p>
          <a:r>
            <a:rPr kumimoji="1" lang="ja-JP" altLang="en-US" sz="1100" kern="1200">
              <a:latin typeface="UD デジタル 教科書体 N" panose="02020400000000000000" pitchFamily="17" charset="-128"/>
              <a:ea typeface="UD デジタル 教科書体 N" panose="02020400000000000000" pitchFamily="17" charset="-128"/>
            </a:rPr>
            <a:t>・休暇が取れない家庭の子どもが寂しい思いをする</a:t>
          </a:r>
        </a:p>
        <a:p>
          <a:r>
            <a:rPr kumimoji="1" lang="ja-JP" altLang="en-US" sz="1100" kern="1200">
              <a:latin typeface="UD デジタル 教科書体 N" panose="02020400000000000000" pitchFamily="17" charset="-128"/>
              <a:ea typeface="UD デジタル 教科書体 N" panose="02020400000000000000" pitchFamily="17" charset="-128"/>
            </a:rPr>
            <a:t>・職種によって休暇取得のしやすさに大きな差がある</a:t>
          </a:r>
        </a:p>
        <a:p>
          <a:endParaRPr kumimoji="1" lang="ja-JP" altLang="en-US" sz="1100" kern="1200">
            <a:latin typeface="UD デジタル 教科書体 N" panose="02020400000000000000" pitchFamily="17" charset="-128"/>
            <a:ea typeface="UD デジタル 教科書体 N" panose="02020400000000000000" pitchFamily="17" charset="-128"/>
          </a:endParaRP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改善提案</a:t>
          </a:r>
          <a:r>
            <a:rPr kumimoji="1" lang="en-US" altLang="ja-JP" sz="1100" kern="1200">
              <a:latin typeface="UD デジタル 教科書体 N" panose="02020400000000000000" pitchFamily="17" charset="-128"/>
              <a:ea typeface="UD デジタル 教科書体 N" panose="02020400000000000000" pitchFamily="17" charset="-128"/>
            </a:rPr>
            <a:t>】</a:t>
          </a:r>
          <a:endParaRPr kumimoji="1" lang="ja-JP" altLang="en-US" sz="1100" kern="1200">
            <a:latin typeface="UD デジタル 教科書体 N" panose="02020400000000000000" pitchFamily="17" charset="-128"/>
            <a:ea typeface="UD デジタル 教科書体 N" panose="02020400000000000000" pitchFamily="17" charset="-128"/>
          </a:endParaRPr>
        </a:p>
        <a:p>
          <a:r>
            <a:rPr kumimoji="1" lang="ja-JP" altLang="en-US" sz="1100" kern="1200">
              <a:latin typeface="UD デジタル 教科書体 N" panose="02020400000000000000" pitchFamily="17" charset="-128"/>
              <a:ea typeface="UD デジタル 教科書体 N" panose="02020400000000000000" pitchFamily="17" charset="-128"/>
            </a:rPr>
            <a:t>・学校ごとに日程をずらして分散実施</a:t>
          </a:r>
        </a:p>
        <a:p>
          <a:r>
            <a:rPr kumimoji="1" lang="ja-JP" altLang="en-US" sz="1100" kern="1200">
              <a:latin typeface="UD デジタル 教科書体 N" panose="02020400000000000000" pitchFamily="17" charset="-128"/>
              <a:ea typeface="UD デジタル 教科書体 N" panose="02020400000000000000" pitchFamily="17" charset="-128"/>
            </a:rPr>
            <a:t>・家庭の都合で自由に日を選べる制度に変更</a:t>
          </a:r>
        </a:p>
        <a:p>
          <a:r>
            <a:rPr kumimoji="1" lang="ja-JP" altLang="en-US" sz="1100" kern="1200">
              <a:latin typeface="UD デジタル 教科書体 N" panose="02020400000000000000" pitchFamily="17" charset="-128"/>
              <a:ea typeface="UD デジタル 教科書体 N" panose="02020400000000000000" pitchFamily="17" charset="-128"/>
            </a:rPr>
            <a:t>・県全体での実施を検討</a:t>
          </a:r>
        </a:p>
        <a:p>
          <a:r>
            <a:rPr kumimoji="1" lang="ja-JP" altLang="en-US" sz="1100" kern="1200">
              <a:latin typeface="UD デジタル 教科書体 N" panose="02020400000000000000" pitchFamily="17" charset="-128"/>
              <a:ea typeface="UD デジタル 教科書体 N" panose="02020400000000000000" pitchFamily="17" charset="-128"/>
            </a:rPr>
            <a:t>・より早い段階での周知</a:t>
          </a:r>
        </a:p>
        <a:p>
          <a:r>
            <a:rPr kumimoji="1" lang="ja-JP" altLang="en-US" sz="1100" kern="1200">
              <a:latin typeface="UD デジタル 教科書体 N" panose="02020400000000000000" pitchFamily="17" charset="-128"/>
              <a:ea typeface="UD デジタル 教科書体 N" panose="02020400000000000000" pitchFamily="17" charset="-128"/>
            </a:rPr>
            <a:t>・企業への働きかけ強化</a:t>
          </a:r>
        </a:p>
        <a:p>
          <a:r>
            <a:rPr kumimoji="1" lang="ja-JP" altLang="en-US" sz="1100" kern="1200">
              <a:latin typeface="UD デジタル 教科書体 N" panose="02020400000000000000" pitchFamily="17" charset="-128"/>
              <a:ea typeface="UD デジタル 教科書体 N" panose="02020400000000000000" pitchFamily="17" charset="-128"/>
            </a:rPr>
            <a:t>・子ども向けイベントの充実</a:t>
          </a:r>
        </a:p>
        <a:p>
          <a:r>
            <a:rPr kumimoji="1" lang="ja-JP" altLang="en-US" sz="1100" kern="1200">
              <a:latin typeface="UD デジタル 教科書体 N" panose="02020400000000000000" pitchFamily="17" charset="-128"/>
              <a:ea typeface="UD デジタル 教科書体 N" panose="02020400000000000000" pitchFamily="17" charset="-128"/>
            </a:rPr>
            <a:t>・テスト期間や学校行事との重複を避ける</a:t>
          </a:r>
        </a:p>
        <a:p>
          <a:endParaRPr kumimoji="1" lang="ja-JP" altLang="en-US" sz="1100" kern="1200">
            <a:latin typeface="UD デジタル 教科書体 N" panose="02020400000000000000" pitchFamily="17" charset="-128"/>
            <a:ea typeface="UD デジタル 教科書体 N" panose="02020400000000000000" pitchFamily="17" charset="-128"/>
          </a:endParaRP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代替案</a:t>
          </a:r>
          <a:r>
            <a:rPr kumimoji="1" lang="en-US" altLang="ja-JP" sz="1100" kern="1200">
              <a:latin typeface="UD デジタル 教科書体 N" panose="02020400000000000000" pitchFamily="17" charset="-128"/>
              <a:ea typeface="UD デジタル 教科書体 N" panose="02020400000000000000" pitchFamily="17" charset="-128"/>
            </a:rPr>
            <a:t>】</a:t>
          </a:r>
          <a:endParaRPr kumimoji="1" lang="ja-JP" altLang="en-US" sz="1100" kern="1200">
            <a:latin typeface="UD デジタル 教科書体 N" panose="02020400000000000000" pitchFamily="17" charset="-128"/>
            <a:ea typeface="UD デジタル 教科書体 N" panose="02020400000000000000" pitchFamily="17" charset="-128"/>
          </a:endParaRPr>
        </a:p>
        <a:p>
          <a:r>
            <a:rPr kumimoji="1" lang="ja-JP" altLang="en-US" sz="1100" kern="1200">
              <a:latin typeface="UD デジタル 教科書体 N" panose="02020400000000000000" pitchFamily="17" charset="-128"/>
              <a:ea typeface="UD デジタル 教科書体 N" panose="02020400000000000000" pitchFamily="17" charset="-128"/>
            </a:rPr>
            <a:t>・既存の休日の活用</a:t>
          </a:r>
        </a:p>
        <a:p>
          <a:r>
            <a:rPr kumimoji="1" lang="ja-JP" altLang="en-US" sz="1100" kern="1200">
              <a:latin typeface="UD デジタル 教科書体 N" panose="02020400000000000000" pitchFamily="17" charset="-128"/>
              <a:ea typeface="UD デジタル 教科書体 N" panose="02020400000000000000" pitchFamily="17" charset="-128"/>
            </a:rPr>
            <a:t>・県民の日との統合</a:t>
          </a:r>
        </a:p>
        <a:p>
          <a:r>
            <a:rPr kumimoji="1" lang="ja-JP" altLang="en-US" sz="1100" kern="1200">
              <a:latin typeface="UD デジタル 教科書体 N" panose="02020400000000000000" pitchFamily="17" charset="-128"/>
              <a:ea typeface="UD デジタル 教科書体 N" panose="02020400000000000000" pitchFamily="17" charset="-128"/>
            </a:rPr>
            <a:t>・土日のイベント実施</a:t>
          </a:r>
        </a:p>
        <a:p>
          <a:r>
            <a:rPr kumimoji="1" lang="ja-JP" altLang="en-US" sz="1100" kern="1200">
              <a:latin typeface="UD デジタル 教科書体 N" panose="02020400000000000000" pitchFamily="17" charset="-128"/>
              <a:ea typeface="UD デジタル 教科書体 N" panose="02020400000000000000" pitchFamily="17" charset="-128"/>
            </a:rPr>
            <a:t>・子ども版有給休暇制度の導入</a:t>
          </a:r>
        </a:p>
        <a:p>
          <a:endParaRPr kumimoji="1" lang="ja-JP" altLang="en-US" sz="1100" kern="1200">
            <a:latin typeface="UD デジタル 教科書体 N" panose="02020400000000000000" pitchFamily="17" charset="-128"/>
            <a:ea typeface="UD デジタル 教科書体 N" panose="02020400000000000000" pitchFamily="17" charset="-128"/>
          </a:endParaRPr>
        </a:p>
        <a:p>
          <a:r>
            <a:rPr kumimoji="1" lang="ja-JP" altLang="en-US" sz="1100" kern="1200">
              <a:latin typeface="UD デジタル 教科書体 N" panose="02020400000000000000" pitchFamily="17" charset="-128"/>
              <a:ea typeface="UD デジタル 教科書体 N" panose="02020400000000000000" pitchFamily="17" charset="-128"/>
            </a:rPr>
            <a:t>全体として、制度の趣旨は理解できるものの、現状の運用方法では職場や家庭の実情に合っていないという意見が多く見られる。</a:t>
          </a:r>
          <a:endParaRPr kumimoji="1" lang="en-US" altLang="ja-JP" sz="1100" kern="1200">
            <a:latin typeface="UD デジタル 教科書体 N" panose="02020400000000000000" pitchFamily="17" charset="-128"/>
            <a:ea typeface="UD デジタル 教科書体 N" panose="02020400000000000000" pitchFamily="17" charset="-128"/>
          </a:endParaRPr>
        </a:p>
        <a:p>
          <a:r>
            <a:rPr kumimoji="1" lang="ja-JP" altLang="en-US" sz="1100" kern="1200">
              <a:latin typeface="UD デジタル 教科書体 N" panose="02020400000000000000" pitchFamily="17" charset="-128"/>
              <a:ea typeface="UD デジタル 教科書体 N" panose="02020400000000000000" pitchFamily="17" charset="-128"/>
            </a:rPr>
            <a:t>特に、休暇を取得できない保護者の存在を考慮した制度設計を求める声が目立つ。</a:t>
          </a:r>
        </a:p>
      </xdr:txBody>
    </xdr:sp>
    <xdr:clientData/>
  </xdr:twoCellAnchor>
  <xdr:twoCellAnchor>
    <xdr:from>
      <xdr:col>0</xdr:col>
      <xdr:colOff>98612</xdr:colOff>
      <xdr:row>94</xdr:row>
      <xdr:rowOff>178122</xdr:rowOff>
    </xdr:from>
    <xdr:to>
      <xdr:col>7</xdr:col>
      <xdr:colOff>793937</xdr:colOff>
      <xdr:row>126</xdr:row>
      <xdr:rowOff>133349</xdr:rowOff>
    </xdr:to>
    <xdr:sp macro="" textlink="">
      <xdr:nvSpPr>
        <xdr:cNvPr id="3" name="テキスト ボックス 2">
          <a:extLst>
            <a:ext uri="{FF2B5EF4-FFF2-40B4-BE49-F238E27FC236}">
              <a16:creationId xmlns:a16="http://schemas.microsoft.com/office/drawing/2014/main" id="{07120D26-13E9-C1BA-1FD5-C56479F3A291}"/>
            </a:ext>
          </a:extLst>
        </xdr:cNvPr>
        <xdr:cNvSpPr txBox="1"/>
      </xdr:nvSpPr>
      <xdr:spPr>
        <a:xfrm>
          <a:off x="98612" y="19056672"/>
          <a:ext cx="8115300" cy="5746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latin typeface="UD デジタル 教科書体 N" panose="02020400000000000000" pitchFamily="17" charset="-128"/>
              <a:ea typeface="UD デジタル 教科書体 N" panose="02020400000000000000" pitchFamily="17" charset="-128"/>
            </a:rPr>
            <a:t>データ分析②年齢層ごとの傾向</a:t>
          </a:r>
          <a:endParaRPr kumimoji="1" lang="en-US" altLang="ja-JP" sz="1100" kern="1200">
            <a:latin typeface="UD デジタル 教科書体 N" panose="02020400000000000000" pitchFamily="17" charset="-128"/>
            <a:ea typeface="UD デジタル 教科書体 N" panose="02020400000000000000" pitchFamily="17" charset="-128"/>
          </a:endParaRP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未就学児～小学校低学年</a:t>
          </a:r>
          <a:r>
            <a:rPr kumimoji="1" lang="en-US" altLang="ja-JP" sz="1100" kern="1200">
              <a:latin typeface="UD デジタル 教科書体 N" panose="02020400000000000000" pitchFamily="17" charset="-128"/>
              <a:ea typeface="UD デジタル 教科書体 N" panose="02020400000000000000" pitchFamily="17" charset="-128"/>
            </a:rPr>
            <a:t>】</a:t>
          </a:r>
          <a:endParaRPr kumimoji="1" lang="ja-JP" altLang="en-US" sz="1100" kern="1200">
            <a:latin typeface="UD デジタル 教科書体 N" panose="02020400000000000000" pitchFamily="17" charset="-128"/>
            <a:ea typeface="UD デジタル 教科書体 N" panose="02020400000000000000" pitchFamily="17" charset="-128"/>
          </a:endParaRP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子どもと過ごした割合</a:t>
          </a:r>
          <a:r>
            <a:rPr kumimoji="1" lang="en-US" altLang="ja-JP" sz="1100" kern="1200">
              <a:latin typeface="UD デジタル 教科書体 N" panose="02020400000000000000" pitchFamily="17" charset="-128"/>
              <a:ea typeface="UD デジタル 教科書体 N" panose="02020400000000000000" pitchFamily="17" charset="-128"/>
            </a:rPr>
            <a:t>〉</a:t>
          </a:r>
        </a:p>
        <a:p>
          <a:r>
            <a:rPr kumimoji="1" lang="ja-JP" altLang="en-US" sz="1100" kern="1200">
              <a:latin typeface="UD デジタル 教科書体 N" panose="02020400000000000000" pitchFamily="17" charset="-128"/>
              <a:ea typeface="UD デジタル 教科書体 N" panose="02020400000000000000" pitchFamily="17" charset="-128"/>
            </a:rPr>
            <a:t>・約</a:t>
          </a:r>
          <a:r>
            <a:rPr kumimoji="1" lang="en-US" altLang="ja-JP" sz="1100" kern="1200">
              <a:latin typeface="UD デジタル 教科書体 N" panose="02020400000000000000" pitchFamily="17" charset="-128"/>
              <a:ea typeface="UD デジタル 教科書体 N" panose="02020400000000000000" pitchFamily="17" charset="-128"/>
            </a:rPr>
            <a:t>53%</a:t>
          </a:r>
          <a:r>
            <a:rPr kumimoji="1" lang="ja-JP" altLang="en-US" sz="1100" kern="1200">
              <a:latin typeface="UD デジタル 教科書体 N" panose="02020400000000000000" pitchFamily="17" charset="-128"/>
              <a:ea typeface="UD デジタル 教科書体 N" panose="02020400000000000000" pitchFamily="17" charset="-128"/>
            </a:rPr>
            <a:t>の家庭が「子どもと過ごした」と回答しており、割合がが比較的高い傾向にあります。 </a:t>
          </a: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主な過ごし方</a:t>
          </a:r>
          <a:r>
            <a:rPr kumimoji="1" lang="en-US" altLang="ja-JP" sz="1100" kern="1200">
              <a:latin typeface="UD デジタル 教科書体 N" panose="02020400000000000000" pitchFamily="17" charset="-128"/>
              <a:ea typeface="UD デジタル 教科書体 N" panose="02020400000000000000" pitchFamily="17" charset="-128"/>
            </a:rPr>
            <a:t>〉</a:t>
          </a:r>
        </a:p>
        <a:p>
          <a:r>
            <a:rPr kumimoji="1" lang="ja-JP" altLang="en-US" sz="1100" kern="1200">
              <a:latin typeface="UD デジタル 教科書体 N" panose="02020400000000000000" pitchFamily="17" charset="-128"/>
              <a:ea typeface="UD デジタル 教科書体 N" panose="02020400000000000000" pitchFamily="17" charset="-128"/>
            </a:rPr>
            <a:t>・</a:t>
          </a:r>
          <a:r>
            <a:rPr kumimoji="1" lang="en-US" altLang="ja-JP" sz="1100" kern="1200">
              <a:latin typeface="UD デジタル 教科書体 N" panose="02020400000000000000" pitchFamily="17" charset="-128"/>
              <a:ea typeface="UD デジタル 教科書体 N" panose="02020400000000000000" pitchFamily="17" charset="-128"/>
            </a:rPr>
            <a:t> </a:t>
          </a:r>
          <a:r>
            <a:rPr kumimoji="1" lang="ja-JP" altLang="en-US" sz="1100" kern="1200">
              <a:latin typeface="UD デジタル 教科書体 N" panose="02020400000000000000" pitchFamily="17" charset="-128"/>
              <a:ea typeface="UD デジタル 教科書体 N" panose="02020400000000000000" pitchFamily="17" charset="-128"/>
            </a:rPr>
            <a:t>「倉吉市外へ出かけた」が最も多く（約</a:t>
          </a:r>
          <a:r>
            <a:rPr kumimoji="1" lang="en-US" altLang="ja-JP" sz="1100" kern="1200">
              <a:latin typeface="UD デジタル 教科書体 N" panose="02020400000000000000" pitchFamily="17" charset="-128"/>
              <a:ea typeface="UD デジタル 教科書体 N" panose="02020400000000000000" pitchFamily="17" charset="-128"/>
            </a:rPr>
            <a:t>46%</a:t>
          </a:r>
          <a:r>
            <a:rPr kumimoji="1" lang="ja-JP" altLang="en-US" sz="1100" kern="1200">
              <a:latin typeface="UD デジタル 教科書体 N" panose="02020400000000000000" pitchFamily="17" charset="-128"/>
              <a:ea typeface="UD デジタル 教科書体 N" panose="02020400000000000000" pitchFamily="17" charset="-128"/>
            </a:rPr>
            <a:t>）、次いで「家庭で過ごした」（約</a:t>
          </a:r>
          <a:r>
            <a:rPr kumimoji="1" lang="en-US" altLang="ja-JP" sz="1100" kern="1200">
              <a:latin typeface="UD デジタル 教科書体 N" panose="02020400000000000000" pitchFamily="17" charset="-128"/>
              <a:ea typeface="UD デジタル 教科書体 N" panose="02020400000000000000" pitchFamily="17" charset="-128"/>
            </a:rPr>
            <a:t>35%</a:t>
          </a:r>
          <a:r>
            <a:rPr kumimoji="1" lang="ja-JP" altLang="en-US" sz="1100" kern="1200">
              <a:latin typeface="UD デジタル 教科書体 N" panose="02020400000000000000" pitchFamily="17" charset="-128"/>
              <a:ea typeface="UD デジタル 教科書体 N" panose="02020400000000000000" pitchFamily="17" charset="-128"/>
            </a:rPr>
            <a:t>）となってる。イベントや体験活動への参加は比較的少ない。</a:t>
          </a: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休暇取得のしやすさ</a:t>
          </a:r>
          <a:r>
            <a:rPr kumimoji="1" lang="en-US" altLang="ja-JP" sz="1100" kern="1200">
              <a:latin typeface="UD デジタル 教科書体 N" panose="02020400000000000000" pitchFamily="17" charset="-128"/>
              <a:ea typeface="UD デジタル 教科書体 N" panose="02020400000000000000" pitchFamily="17" charset="-128"/>
            </a:rPr>
            <a:t>〉</a:t>
          </a:r>
        </a:p>
        <a:p>
          <a:r>
            <a:rPr kumimoji="1" lang="ja-JP" altLang="en-US" sz="1100" kern="1200">
              <a:latin typeface="UD デジタル 教科書体 N" panose="02020400000000000000" pitchFamily="17" charset="-128"/>
              <a:ea typeface="UD デジタル 教科書体 N" panose="02020400000000000000" pitchFamily="17" charset="-128"/>
            </a:rPr>
            <a:t>・</a:t>
          </a:r>
          <a:r>
            <a:rPr kumimoji="1" lang="en-US" altLang="ja-JP" sz="1100" kern="1200">
              <a:latin typeface="UD デジタル 教科書体 N" panose="02020400000000000000" pitchFamily="17" charset="-128"/>
              <a:ea typeface="UD デジタル 教科書体 N" panose="02020400000000000000" pitchFamily="17" charset="-128"/>
            </a:rPr>
            <a:t> </a:t>
          </a:r>
          <a:r>
            <a:rPr kumimoji="1" lang="ja-JP" altLang="en-US" sz="1100" kern="1200">
              <a:latin typeface="UD デジタル 教科書体 N" panose="02020400000000000000" pitchFamily="17" charset="-128"/>
              <a:ea typeface="UD デジタル 教科書体 N" panose="02020400000000000000" pitchFamily="17" charset="-128"/>
            </a:rPr>
            <a:t>「業務多忙で取得できなかった」とする回答が約</a:t>
          </a:r>
          <a:r>
            <a:rPr kumimoji="1" lang="en-US" altLang="ja-JP" sz="1100" kern="1200">
              <a:latin typeface="UD デジタル 教科書体 N" panose="02020400000000000000" pitchFamily="17" charset="-128"/>
              <a:ea typeface="UD デジタル 教科書体 N" panose="02020400000000000000" pitchFamily="17" charset="-128"/>
            </a:rPr>
            <a:t>22%</a:t>
          </a:r>
          <a:r>
            <a:rPr kumimoji="1" lang="ja-JP" altLang="en-US" sz="1100" kern="1200">
              <a:latin typeface="UD デジタル 教科書体 N" panose="02020400000000000000" pitchFamily="17" charset="-128"/>
              <a:ea typeface="UD デジタル 教科書体 N" panose="02020400000000000000" pitchFamily="17" charset="-128"/>
            </a:rPr>
            <a:t>で、休暇取得が課題となるケースが見られる。 </a:t>
          </a:r>
        </a:p>
        <a:p>
          <a:endParaRPr kumimoji="1" lang="en-US" altLang="ja-JP" sz="1100" kern="1200">
            <a:latin typeface="UD デジタル 教科書体 N" panose="02020400000000000000" pitchFamily="17" charset="-128"/>
            <a:ea typeface="UD デジタル 教科書体 N" panose="02020400000000000000" pitchFamily="17" charset="-128"/>
          </a:endParaRP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小学校高学年～中学生</a:t>
          </a:r>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 </a:t>
          </a: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子どもと過ごした割合</a:t>
          </a:r>
          <a:r>
            <a:rPr kumimoji="1" lang="en-US" altLang="ja-JP" sz="1100" kern="1200">
              <a:latin typeface="UD デジタル 教科書体 N" panose="02020400000000000000" pitchFamily="17" charset="-128"/>
              <a:ea typeface="UD デジタル 教科書体 N" panose="02020400000000000000" pitchFamily="17" charset="-128"/>
            </a:rPr>
            <a:t>〉</a:t>
          </a:r>
        </a:p>
        <a:p>
          <a:r>
            <a:rPr kumimoji="1" lang="ja-JP" altLang="en-US" sz="1100" kern="1200">
              <a:latin typeface="UD デジタル 教科書体 N" panose="02020400000000000000" pitchFamily="17" charset="-128"/>
              <a:ea typeface="UD デジタル 教科書体 N" panose="02020400000000000000" pitchFamily="17" charset="-128"/>
            </a:rPr>
            <a:t>・「子どもと過ごした」と回答した家庭は約</a:t>
          </a:r>
          <a:r>
            <a:rPr kumimoji="1" lang="en-US" altLang="ja-JP" sz="1100" kern="1200">
              <a:latin typeface="UD デジタル 教科書体 N" panose="02020400000000000000" pitchFamily="17" charset="-128"/>
              <a:ea typeface="UD デジタル 教科書体 N" panose="02020400000000000000" pitchFamily="17" charset="-128"/>
            </a:rPr>
            <a:t>40%</a:t>
          </a:r>
          <a:r>
            <a:rPr kumimoji="1" lang="ja-JP" altLang="en-US" sz="1100" kern="1200">
              <a:latin typeface="UD デジタル 教科書体 N" panose="02020400000000000000" pitchFamily="17" charset="-128"/>
              <a:ea typeface="UD デジタル 教科書体 N" panose="02020400000000000000" pitchFamily="17" charset="-128"/>
            </a:rPr>
            <a:t>で、低年齢の家庭よりもやや低い割合となっている。 </a:t>
          </a: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主な過ごし方</a:t>
          </a:r>
          <a:r>
            <a:rPr kumimoji="1" lang="en-US" altLang="ja-JP" sz="1100" kern="1200">
              <a:latin typeface="UD デジタル 教科書体 N" panose="02020400000000000000" pitchFamily="17" charset="-128"/>
              <a:ea typeface="UD デジタル 教科書体 N" panose="02020400000000000000" pitchFamily="17" charset="-128"/>
            </a:rPr>
            <a:t>〉</a:t>
          </a:r>
        </a:p>
        <a:p>
          <a:r>
            <a:rPr kumimoji="1" lang="ja-JP" altLang="en-US" sz="1100" kern="1200">
              <a:latin typeface="UD デジタル 教科書体 N" panose="02020400000000000000" pitchFamily="17" charset="-128"/>
              <a:ea typeface="UD デジタル 教科書体 N" panose="02020400000000000000" pitchFamily="17" charset="-128"/>
            </a:rPr>
            <a:t>・</a:t>
          </a:r>
          <a:r>
            <a:rPr kumimoji="1" lang="en-US" altLang="ja-JP" sz="1100" kern="1200">
              <a:latin typeface="UD デジタル 教科書体 N" panose="02020400000000000000" pitchFamily="17" charset="-128"/>
              <a:ea typeface="UD デジタル 教科書体 N" panose="02020400000000000000" pitchFamily="17" charset="-128"/>
            </a:rPr>
            <a:t> </a:t>
          </a:r>
          <a:r>
            <a:rPr kumimoji="1" lang="ja-JP" altLang="en-US" sz="1100" kern="1200">
              <a:latin typeface="UD デジタル 教科書体 N" panose="02020400000000000000" pitchFamily="17" charset="-128"/>
              <a:ea typeface="UD デジタル 教科書体 N" panose="02020400000000000000" pitchFamily="17" charset="-128"/>
            </a:rPr>
            <a:t>「倉吉市外へ出かけた」（約</a:t>
          </a:r>
          <a:r>
            <a:rPr kumimoji="1" lang="en-US" altLang="ja-JP" sz="1100" kern="1200">
              <a:latin typeface="UD デジタル 教科書体 N" panose="02020400000000000000" pitchFamily="17" charset="-128"/>
              <a:ea typeface="UD デジタル 教科書体 N" panose="02020400000000000000" pitchFamily="17" charset="-128"/>
            </a:rPr>
            <a:t>35%</a:t>
          </a:r>
          <a:r>
            <a:rPr kumimoji="1" lang="ja-JP" altLang="en-US" sz="1100" kern="1200">
              <a:latin typeface="UD デジタル 教科書体 N" panose="02020400000000000000" pitchFamily="17" charset="-128"/>
              <a:ea typeface="UD デジタル 教科書体 N" panose="02020400000000000000" pitchFamily="17" charset="-128"/>
            </a:rPr>
            <a:t>）が最多で、「家庭で過ごした」（約</a:t>
          </a:r>
          <a:r>
            <a:rPr kumimoji="1" lang="en-US" altLang="ja-JP" sz="1100" kern="1200">
              <a:latin typeface="UD デジタル 教科書体 N" panose="02020400000000000000" pitchFamily="17" charset="-128"/>
              <a:ea typeface="UD デジタル 教科書体 N" panose="02020400000000000000" pitchFamily="17" charset="-128"/>
            </a:rPr>
            <a:t>31%</a:t>
          </a:r>
          <a:r>
            <a:rPr kumimoji="1" lang="ja-JP" altLang="en-US" sz="1100" kern="1200">
              <a:latin typeface="UD デジタル 教科書体 N" panose="02020400000000000000" pitchFamily="17" charset="-128"/>
              <a:ea typeface="UD デジタル 教科書体 N" panose="02020400000000000000" pitchFamily="17" charset="-128"/>
            </a:rPr>
            <a:t>）が続いている。低年齢の家庭に比べて活動内容の分布が分散している。</a:t>
          </a: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休暇取得のしやすさ</a:t>
          </a:r>
          <a:r>
            <a:rPr kumimoji="1" lang="en-US" altLang="ja-JP" sz="1100" kern="1200">
              <a:latin typeface="UD デジタル 教科書体 N" panose="02020400000000000000" pitchFamily="17" charset="-128"/>
              <a:ea typeface="UD デジタル 教科書体 N" panose="02020400000000000000" pitchFamily="17" charset="-128"/>
            </a:rPr>
            <a:t>〉</a:t>
          </a:r>
        </a:p>
        <a:p>
          <a:r>
            <a:rPr kumimoji="1" lang="ja-JP" altLang="en-US" sz="1100" kern="1200">
              <a:latin typeface="UD デジタル 教科書体 N" panose="02020400000000000000" pitchFamily="17" charset="-128"/>
              <a:ea typeface="UD デジタル 教科書体 N" panose="02020400000000000000" pitchFamily="17" charset="-128"/>
            </a:rPr>
            <a:t>・</a:t>
          </a:r>
          <a:r>
            <a:rPr kumimoji="1" lang="en-US" altLang="ja-JP" sz="1100" kern="1200">
              <a:latin typeface="UD デジタル 教科書体 N" panose="02020400000000000000" pitchFamily="17" charset="-128"/>
              <a:ea typeface="UD デジタル 教科書体 N" panose="02020400000000000000" pitchFamily="17" charset="-128"/>
            </a:rPr>
            <a:t> </a:t>
          </a:r>
          <a:r>
            <a:rPr kumimoji="1" lang="ja-JP" altLang="en-US" sz="1100" kern="1200">
              <a:latin typeface="UD デジタル 教科書体 N" panose="02020400000000000000" pitchFamily="17" charset="-128"/>
              <a:ea typeface="UD デジタル 教科書体 N" panose="02020400000000000000" pitchFamily="17" charset="-128"/>
            </a:rPr>
            <a:t>「業務多忙で取得できなかった」とする回答が約</a:t>
          </a:r>
          <a:r>
            <a:rPr kumimoji="1" lang="en-US" altLang="ja-JP" sz="1100" kern="1200">
              <a:latin typeface="UD デジタル 教科書体 N" panose="02020400000000000000" pitchFamily="17" charset="-128"/>
              <a:ea typeface="UD デジタル 教科書体 N" panose="02020400000000000000" pitchFamily="17" charset="-128"/>
            </a:rPr>
            <a:t>26%</a:t>
          </a:r>
          <a:r>
            <a:rPr kumimoji="1" lang="ja-JP" altLang="en-US" sz="1100" kern="1200">
              <a:latin typeface="UD デジタル 教科書体 N" panose="02020400000000000000" pitchFamily="17" charset="-128"/>
              <a:ea typeface="UD デジタル 教科書体 N" panose="02020400000000000000" pitchFamily="17" charset="-128"/>
            </a:rPr>
            <a:t>で、低年齢の家庭よりも取得しにくい状況がやや目立つ。 </a:t>
          </a: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混在する家庭（低学年と高学年・中学生が両方いる家庭）</a:t>
          </a:r>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 </a:t>
          </a:r>
        </a:p>
        <a:p>
          <a:r>
            <a:rPr kumimoji="1" lang="ja-JP" altLang="en-US" sz="1100" kern="1200">
              <a:latin typeface="UD デジタル 教科書体 N" panose="02020400000000000000" pitchFamily="17" charset="-128"/>
              <a:ea typeface="UD デジタル 教科書体 N" panose="02020400000000000000" pitchFamily="17" charset="-128"/>
            </a:rPr>
            <a:t>・特定の傾向は見受けられない。</a:t>
          </a:r>
          <a:endParaRPr kumimoji="1" lang="en-US" altLang="ja-JP" sz="1100" kern="1200">
            <a:latin typeface="UD デジタル 教科書体 N" panose="02020400000000000000" pitchFamily="17" charset="-128"/>
            <a:ea typeface="UD デジタル 教科書体 N" panose="02020400000000000000" pitchFamily="17" charset="-128"/>
          </a:endParaRPr>
        </a:p>
        <a:p>
          <a:r>
            <a:rPr kumimoji="1" lang="ja-JP" altLang="en-US" sz="1100" kern="1200">
              <a:latin typeface="UD デジタル 教科書体 N" panose="02020400000000000000" pitchFamily="17" charset="-128"/>
              <a:ea typeface="UD デジタル 教科書体 N" panose="02020400000000000000" pitchFamily="17" charset="-128"/>
            </a:rPr>
            <a:t> </a:t>
          </a:r>
        </a:p>
        <a:p>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考察</a:t>
          </a:r>
          <a:r>
            <a:rPr kumimoji="1" lang="en-US" altLang="ja-JP" sz="1100" kern="1200">
              <a:latin typeface="UD デジタル 教科書体 N" panose="02020400000000000000" pitchFamily="17" charset="-128"/>
              <a:ea typeface="UD デジタル 教科書体 N" panose="02020400000000000000" pitchFamily="17" charset="-128"/>
            </a:rPr>
            <a:t>】</a:t>
          </a:r>
          <a:r>
            <a:rPr kumimoji="1" lang="ja-JP" altLang="en-US" sz="1100" kern="1200">
              <a:latin typeface="UD デジタル 教科書体 N" panose="02020400000000000000" pitchFamily="17" charset="-128"/>
              <a:ea typeface="UD デジタル 教科書体 N" panose="02020400000000000000" pitchFamily="17" charset="-128"/>
            </a:rPr>
            <a:t> </a:t>
          </a:r>
        </a:p>
        <a:p>
          <a:r>
            <a:rPr kumimoji="1" lang="ja-JP" altLang="en-US" sz="1100" kern="1200">
              <a:latin typeface="UD デジタル 教科書体 N" panose="02020400000000000000" pitchFamily="17" charset="-128"/>
              <a:ea typeface="UD デジタル 教科書体 N" panose="02020400000000000000" pitchFamily="17" charset="-128"/>
            </a:rPr>
            <a:t>・低学年児童のいる家庭では、ふれあいホリデーに積極的な傾向が見られる。家族で楽しめるイベントの企画をさらに充実させると良いことが考えられる。</a:t>
          </a:r>
        </a:p>
        <a:p>
          <a:r>
            <a:rPr kumimoji="1" lang="ja-JP" altLang="en-US" sz="1100" kern="1200">
              <a:latin typeface="UD デジタル 教科書体 N" panose="02020400000000000000" pitchFamily="17" charset="-128"/>
              <a:ea typeface="UD デジタル 教科書体 N" panose="02020400000000000000" pitchFamily="17" charset="-128"/>
            </a:rPr>
            <a:t>・高学年から中学生のいる家庭では、子どもと過ごす割合低下する傾向がある。子ども自身が楽しめる体験型のイベントや活動を提供することで参加を促進できる可能性がある。</a:t>
          </a:r>
        </a:p>
        <a:p>
          <a:r>
            <a:rPr kumimoji="1" lang="ja-JP" altLang="en-US" sz="1100" kern="1200">
              <a:latin typeface="UD デジタル 教科書体 N" panose="02020400000000000000" pitchFamily="17" charset="-128"/>
              <a:ea typeface="UD デジタル 教科書体 N" panose="02020400000000000000" pitchFamily="17" charset="-128"/>
            </a:rPr>
            <a:t>・いずれの年齢層においても、「業務多忙で休暇が取得しにくい」という課題が存在しており、企業との協力や地域でのサポート体制の強化が重要であることが考えられる。</a:t>
          </a:r>
        </a:p>
        <a:p>
          <a:endParaRPr kumimoji="1" lang="en-US" altLang="ja-JP" sz="1100" kern="1200">
            <a:latin typeface="UD デジタル 教科書体 N" panose="02020400000000000000" pitchFamily="17" charset="-128"/>
            <a:ea typeface="UD デジタル 教科書体 N" panose="02020400000000000000"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9524</xdr:colOff>
      <xdr:row>95</xdr:row>
      <xdr:rowOff>38099</xdr:rowOff>
    </xdr:from>
    <xdr:to>
      <xdr:col>10</xdr:col>
      <xdr:colOff>800099</xdr:colOff>
      <xdr:row>122</xdr:row>
      <xdr:rowOff>95250</xdr:rowOff>
    </xdr:to>
    <xdr:sp macro="" textlink="">
      <xdr:nvSpPr>
        <xdr:cNvPr id="4" name="テキスト ボックス 3">
          <a:extLst>
            <a:ext uri="{FF2B5EF4-FFF2-40B4-BE49-F238E27FC236}">
              <a16:creationId xmlns:a16="http://schemas.microsoft.com/office/drawing/2014/main" id="{07120D26-13E9-C1BA-1FD5-C56479F3A291}"/>
            </a:ext>
          </a:extLst>
        </xdr:cNvPr>
        <xdr:cNvSpPr txBox="1"/>
      </xdr:nvSpPr>
      <xdr:spPr>
        <a:xfrm>
          <a:off x="542924" y="19840574"/>
          <a:ext cx="8201025" cy="5457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kern="1200">
              <a:latin typeface="UD デジタル 教科書体 N-R" panose="02020400000000000000" pitchFamily="17" charset="-128"/>
              <a:ea typeface="UD デジタル 教科書体 N-R" panose="02020400000000000000" pitchFamily="17" charset="-128"/>
            </a:rPr>
            <a:t>データ分析①全体</a:t>
          </a:r>
          <a:endParaRPr kumimoji="1" lang="en-US" altLang="ja-JP" sz="900" kern="1200">
            <a:latin typeface="UD デジタル 教科書体 N-R" panose="02020400000000000000" pitchFamily="17" charset="-128"/>
            <a:ea typeface="UD デジタル 教科書体 N-R" panose="02020400000000000000" pitchFamily="17" charset="-128"/>
          </a:endParaRPr>
        </a:p>
        <a:p>
          <a:r>
            <a:rPr kumimoji="1" lang="en-US" altLang="ja-JP" sz="900" kern="1200">
              <a:latin typeface="UD デジタル 教科書体 N-R" panose="02020400000000000000" pitchFamily="17" charset="-128"/>
              <a:ea typeface="UD デジタル 教科書体 N-R" panose="02020400000000000000" pitchFamily="17" charset="-128"/>
            </a:rPr>
            <a:t>【</a:t>
          </a:r>
          <a:r>
            <a:rPr kumimoji="1" lang="ja-JP" altLang="en-US" sz="900" kern="1200">
              <a:latin typeface="UD デジタル 教科書体 N-R" panose="02020400000000000000" pitchFamily="17" charset="-128"/>
              <a:ea typeface="UD デジタル 教科書体 N-R" panose="02020400000000000000" pitchFamily="17" charset="-128"/>
            </a:rPr>
            <a:t>肯定的意見</a:t>
          </a:r>
          <a:r>
            <a:rPr kumimoji="1" lang="en-US" altLang="ja-JP" sz="900" kern="1200">
              <a:latin typeface="UD デジタル 教科書体 N-R" panose="02020400000000000000" pitchFamily="17" charset="-128"/>
              <a:ea typeface="UD デジタル 教科書体 N-R" panose="02020400000000000000" pitchFamily="17" charset="-128"/>
            </a:rPr>
            <a:t>】</a:t>
          </a:r>
        </a:p>
        <a:p>
          <a:r>
            <a:rPr kumimoji="1" lang="ja-JP" altLang="en-US" sz="900" kern="1200">
              <a:latin typeface="UD デジタル 教科書体 N-R" panose="02020400000000000000" pitchFamily="17" charset="-128"/>
              <a:ea typeface="UD デジタル 教科書体 N-R" panose="02020400000000000000" pitchFamily="17" charset="-128"/>
            </a:rPr>
            <a:t>・我が子と過ごす時間を大切にできる取組であり、このような時間が少しずつ増えていけばよいと感じた。</a:t>
          </a:r>
          <a:endParaRPr kumimoji="1" lang="en-US" altLang="ja-JP"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・早めに日程が分かり、休暇が取りやすかった。とても有り難い休みであった。</a:t>
          </a:r>
          <a:endParaRPr kumimoji="1" lang="en-US" altLang="ja-JP"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・子どもが司書志望であり、図書館で司書体験に参加することができて良かった。</a:t>
          </a:r>
          <a:endParaRPr kumimoji="1" lang="en-US" altLang="ja-JP"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・謎解きイベントに参加し、じっくり楽しむことができた。</a:t>
          </a:r>
          <a:endParaRPr kumimoji="1" lang="en-US" altLang="ja-JP"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・親子でイベントに参加して、普段できない体験が一緒にできて良かった。</a:t>
          </a:r>
          <a:endParaRPr kumimoji="1" lang="en-US" altLang="ja-JP" sz="900" kern="1200">
            <a:latin typeface="UD デジタル 教科書体 N-R" panose="02020400000000000000" pitchFamily="17" charset="-128"/>
            <a:ea typeface="UD デジタル 教科書体 N-R" panose="02020400000000000000" pitchFamily="17" charset="-128"/>
          </a:endParaRPr>
        </a:p>
        <a:p>
          <a:endParaRPr kumimoji="1" lang="ja-JP" altLang="en-US" sz="900" kern="1200">
            <a:latin typeface="UD デジタル 教科書体 N-R" panose="02020400000000000000" pitchFamily="17" charset="-128"/>
            <a:ea typeface="UD デジタル 教科書体 N-R" panose="02020400000000000000" pitchFamily="17" charset="-128"/>
          </a:endParaRPr>
        </a:p>
        <a:p>
          <a:r>
            <a:rPr kumimoji="1" lang="en-US" altLang="ja-JP" sz="900" kern="1200">
              <a:latin typeface="UD デジタル 教科書体 N-R" panose="02020400000000000000" pitchFamily="17" charset="-128"/>
              <a:ea typeface="UD デジタル 教科書体 N-R" panose="02020400000000000000" pitchFamily="17" charset="-128"/>
            </a:rPr>
            <a:t>【</a:t>
          </a:r>
          <a:r>
            <a:rPr kumimoji="1" lang="ja-JP" altLang="en-US" sz="900" kern="1200">
              <a:latin typeface="UD デジタル 教科書体 N-R" panose="02020400000000000000" pitchFamily="17" charset="-128"/>
              <a:ea typeface="UD デジタル 教科書体 N-R" panose="02020400000000000000" pitchFamily="17" charset="-128"/>
            </a:rPr>
            <a:t>制度設計に関する課題</a:t>
          </a:r>
          <a:r>
            <a:rPr kumimoji="1" lang="en-US" altLang="ja-JP" sz="900" kern="1200">
              <a:latin typeface="UD デジタル 教科書体 N-R" panose="02020400000000000000" pitchFamily="17" charset="-128"/>
              <a:ea typeface="UD デジタル 教科書体 N-R" panose="02020400000000000000" pitchFamily="17" charset="-128"/>
            </a:rPr>
            <a:t>】</a:t>
          </a:r>
          <a:endParaRPr kumimoji="1" lang="ja-JP" altLang="en-US"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・親が休暇を取れない現状で、子どもだけを休みにしても意味がない。</a:t>
          </a:r>
        </a:p>
        <a:p>
          <a:r>
            <a:rPr kumimoji="1" lang="ja-JP" altLang="en-US" sz="900" kern="1200">
              <a:latin typeface="UD デジタル 教科書体 N-R" panose="02020400000000000000" pitchFamily="17" charset="-128"/>
              <a:ea typeface="UD デジタル 教科書体 N-R" panose="02020400000000000000" pitchFamily="17" charset="-128"/>
            </a:rPr>
            <a:t>・市内一斉実施では特定の職場で人手不足が深刻化するのでは。</a:t>
          </a:r>
        </a:p>
        <a:p>
          <a:r>
            <a:rPr kumimoji="1" lang="ja-JP" altLang="en-US" sz="900" kern="1200">
              <a:latin typeface="UD デジタル 教科書体 N-R" panose="02020400000000000000" pitchFamily="17" charset="-128"/>
              <a:ea typeface="UD デジタル 教科書体 N-R" panose="02020400000000000000" pitchFamily="17" charset="-128"/>
            </a:rPr>
            <a:t>・企業への周知と休暇取得推進が不十分である。</a:t>
          </a:r>
        </a:p>
        <a:p>
          <a:r>
            <a:rPr kumimoji="1" lang="ja-JP" altLang="en-US" sz="900" kern="1200">
              <a:latin typeface="UD デジタル 教科書体 N-R" panose="02020400000000000000" pitchFamily="17" charset="-128"/>
              <a:ea typeface="UD デジタル 教科書体 N-R" panose="02020400000000000000" pitchFamily="17" charset="-128"/>
            </a:rPr>
            <a:t>・休暇が取れない家庭の子どもが寂しい思いや辛い思いをする。</a:t>
          </a:r>
        </a:p>
        <a:p>
          <a:r>
            <a:rPr kumimoji="1" lang="ja-JP" altLang="en-US" sz="900" kern="1200">
              <a:latin typeface="UD デジタル 教科書体 N-R" panose="02020400000000000000" pitchFamily="17" charset="-128"/>
              <a:ea typeface="UD デジタル 教科書体 N-R" panose="02020400000000000000" pitchFamily="17" charset="-128"/>
            </a:rPr>
            <a:t>・職種によって休暇取得のしやすさに大きな差がある。</a:t>
          </a:r>
        </a:p>
        <a:p>
          <a:endParaRPr kumimoji="1" lang="ja-JP" altLang="en-US" sz="900" kern="1200">
            <a:latin typeface="UD デジタル 教科書体 N-R" panose="02020400000000000000" pitchFamily="17" charset="-128"/>
            <a:ea typeface="UD デジタル 教科書体 N-R" panose="02020400000000000000" pitchFamily="17" charset="-128"/>
          </a:endParaRPr>
        </a:p>
        <a:p>
          <a:r>
            <a:rPr kumimoji="1" lang="en-US" altLang="ja-JP" sz="900" kern="1200">
              <a:latin typeface="UD デジタル 教科書体 N-R" panose="02020400000000000000" pitchFamily="17" charset="-128"/>
              <a:ea typeface="UD デジタル 教科書体 N-R" panose="02020400000000000000" pitchFamily="17" charset="-128"/>
            </a:rPr>
            <a:t>【</a:t>
          </a:r>
          <a:r>
            <a:rPr kumimoji="1" lang="ja-JP" altLang="en-US" sz="900" kern="1200">
              <a:latin typeface="UD デジタル 教科書体 N-R" panose="02020400000000000000" pitchFamily="17" charset="-128"/>
              <a:ea typeface="UD デジタル 教科書体 N-R" panose="02020400000000000000" pitchFamily="17" charset="-128"/>
            </a:rPr>
            <a:t>改善提案</a:t>
          </a:r>
          <a:r>
            <a:rPr kumimoji="1" lang="en-US" altLang="ja-JP" sz="900" kern="1200">
              <a:latin typeface="UD デジタル 教科書体 N-R" panose="02020400000000000000" pitchFamily="17" charset="-128"/>
              <a:ea typeface="UD デジタル 教科書体 N-R" panose="02020400000000000000" pitchFamily="17" charset="-128"/>
            </a:rPr>
            <a:t>】</a:t>
          </a:r>
          <a:endParaRPr kumimoji="1" lang="ja-JP" altLang="en-US"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・学校ごとに日程をずらして分散実施。</a:t>
          </a:r>
        </a:p>
        <a:p>
          <a:r>
            <a:rPr kumimoji="1" lang="ja-JP" altLang="en-US" sz="900" kern="1200">
              <a:latin typeface="UD デジタル 教科書体 N-R" panose="02020400000000000000" pitchFamily="17" charset="-128"/>
              <a:ea typeface="UD デジタル 教科書体 N-R" panose="02020400000000000000" pitchFamily="17" charset="-128"/>
            </a:rPr>
            <a:t>・家庭の都合で自由に日を選べる制度に変更。</a:t>
          </a:r>
        </a:p>
        <a:p>
          <a:r>
            <a:rPr kumimoji="1" lang="ja-JP" altLang="en-US" sz="900" kern="1200">
              <a:latin typeface="UD デジタル 教科書体 N-R" panose="02020400000000000000" pitchFamily="17" charset="-128"/>
              <a:ea typeface="UD デジタル 教科書体 N-R" panose="02020400000000000000" pitchFamily="17" charset="-128"/>
            </a:rPr>
            <a:t>・県全体での実施を検討（県民の日との統合など）</a:t>
          </a:r>
          <a:endParaRPr kumimoji="1" lang="en-US" altLang="ja-JP"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・中部圏域での統一。</a:t>
          </a:r>
          <a:endParaRPr kumimoji="1" lang="en-US" altLang="ja-JP"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・子ども版有給休暇制度の導入。</a:t>
          </a:r>
        </a:p>
        <a:p>
          <a:r>
            <a:rPr kumimoji="1" lang="ja-JP" altLang="en-US" sz="900" kern="1200">
              <a:latin typeface="UD デジタル 教科書体 N-R" panose="02020400000000000000" pitchFamily="17" charset="-128"/>
              <a:ea typeface="UD デジタル 教科書体 N-R" panose="02020400000000000000" pitchFamily="17" charset="-128"/>
            </a:rPr>
            <a:t>・より早い段階での周知。</a:t>
          </a:r>
        </a:p>
        <a:p>
          <a:r>
            <a:rPr kumimoji="1" lang="ja-JP" altLang="en-US" sz="900" kern="1200">
              <a:latin typeface="UD デジタル 教科書体 N-R" panose="02020400000000000000" pitchFamily="17" charset="-128"/>
              <a:ea typeface="UD デジタル 教科書体 N-R" panose="02020400000000000000" pitchFamily="17" charset="-128"/>
            </a:rPr>
            <a:t>・企業への働きかけ強化。</a:t>
          </a:r>
          <a:endParaRPr kumimoji="1" lang="en-US" altLang="ja-JP"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・地域の理解。</a:t>
          </a:r>
        </a:p>
        <a:p>
          <a:r>
            <a:rPr kumimoji="1" lang="ja-JP" altLang="en-US" sz="900" kern="1200">
              <a:latin typeface="UD デジタル 教科書体 N-R" panose="02020400000000000000" pitchFamily="17" charset="-128"/>
              <a:ea typeface="UD デジタル 教科書体 N-R" panose="02020400000000000000" pitchFamily="17" charset="-128"/>
            </a:rPr>
            <a:t>・子ども向けイベントの充実</a:t>
          </a:r>
        </a:p>
        <a:p>
          <a:r>
            <a:rPr kumimoji="1" lang="ja-JP" altLang="en-US" sz="900" kern="1200">
              <a:latin typeface="UD デジタル 教科書体 N-R" panose="02020400000000000000" pitchFamily="17" charset="-128"/>
              <a:ea typeface="UD デジタル 教科書体 N-R" panose="02020400000000000000" pitchFamily="17" charset="-128"/>
            </a:rPr>
            <a:t>・テスト期間や学校行事との重複を避ける</a:t>
          </a:r>
        </a:p>
        <a:p>
          <a:endParaRPr kumimoji="1" lang="ja-JP" altLang="en-US" sz="900" kern="1200">
            <a:latin typeface="UD デジタル 教科書体 N-R" panose="02020400000000000000" pitchFamily="17" charset="-128"/>
            <a:ea typeface="UD デジタル 教科書体 N-R" panose="02020400000000000000" pitchFamily="17" charset="-128"/>
          </a:endParaRPr>
        </a:p>
        <a:p>
          <a:r>
            <a:rPr kumimoji="1" lang="ja-JP" altLang="en-US" sz="900" kern="1200">
              <a:latin typeface="UD デジタル 教科書体 N-R" panose="02020400000000000000" pitchFamily="17" charset="-128"/>
              <a:ea typeface="UD デジタル 教科書体 N-R" panose="02020400000000000000" pitchFamily="17" charset="-128"/>
            </a:rPr>
            <a:t>全体として、「子どもや家族と関わる有意義な時間になった」など、制度の趣旨は理解できるものの、「自営業、サービス業など、休みにくかったり収入に関わる場合もある」など、現状の実施方法では職場や家庭の実情に合っていないという意見も多く見られる。「業務多忙で休暇が取得しにくい」という課題も存在しており、企業との協力や地域でのサポート体制の強化も含め、今後の対応が課題である。</a:t>
          </a:r>
          <a:endParaRPr kumimoji="1" lang="en-US" altLang="ja-JP" sz="900" kern="1200">
            <a:latin typeface="UD デジタル 教科書体 N-R" panose="02020400000000000000" pitchFamily="17" charset="-128"/>
            <a:ea typeface="UD デジタル 教科書体 N-R" panose="02020400000000000000" pitchFamily="17" charset="-128"/>
          </a:endParaRPr>
        </a:p>
        <a:p>
          <a:endParaRPr kumimoji="1" lang="en-US" altLang="ja-JP" sz="900" kern="1200">
            <a:latin typeface="UD デジタル 教科書体 N-R" panose="02020400000000000000" pitchFamily="17" charset="-128"/>
            <a:ea typeface="UD デジタル 教科書体 N-R" panose="02020400000000000000" pitchFamily="17" charset="-128"/>
          </a:endParaRPr>
        </a:p>
        <a:p>
          <a:endParaRPr kumimoji="1" lang="en-US" altLang="ja-JP" sz="900" kern="1200">
            <a:latin typeface="UD デジタル 教科書体 N-R" panose="02020400000000000000" pitchFamily="17" charset="-128"/>
            <a:ea typeface="UD デジタル 教科書体 N-R" panose="02020400000000000000" pitchFamily="17" charset="-128"/>
          </a:endParaRPr>
        </a:p>
        <a:p>
          <a:endParaRPr kumimoji="1" lang="en-US" altLang="ja-JP" sz="900" kern="1200">
            <a:latin typeface="UD デジタル 教科書体 N-R" panose="02020400000000000000" pitchFamily="17" charset="-128"/>
            <a:ea typeface="UD デジタル 教科書体 N-R" panose="02020400000000000000" pitchFamily="17" charset="-128"/>
          </a:endParaRPr>
        </a:p>
        <a:p>
          <a:endParaRPr kumimoji="1" lang="ja-JP" altLang="en-US" sz="900" kern="1200">
            <a:latin typeface="UD デジタル 教科書体 N-R" panose="02020400000000000000" pitchFamily="17" charset="-128"/>
            <a:ea typeface="UD デジタル 教科書体 N-R" panose="02020400000000000000" pitchFamily="17" charset="-128"/>
          </a:endParaRPr>
        </a:p>
      </xdr:txBody>
    </xdr:sp>
    <xdr:clientData/>
  </xdr:twoCellAnchor>
  <xdr:twoCellAnchor>
    <xdr:from>
      <xdr:col>2</xdr:col>
      <xdr:colOff>76199</xdr:colOff>
      <xdr:row>126</xdr:row>
      <xdr:rowOff>47625</xdr:rowOff>
    </xdr:from>
    <xdr:to>
      <xdr:col>10</xdr:col>
      <xdr:colOff>866774</xdr:colOff>
      <xdr:row>153</xdr:row>
      <xdr:rowOff>142875</xdr:rowOff>
    </xdr:to>
    <xdr:sp macro="" textlink="">
      <xdr:nvSpPr>
        <xdr:cNvPr id="5" name="テキスト ボックス 4">
          <a:extLst>
            <a:ext uri="{FF2B5EF4-FFF2-40B4-BE49-F238E27FC236}">
              <a16:creationId xmlns:a16="http://schemas.microsoft.com/office/drawing/2014/main" id="{07120D26-13E9-C1BA-1FD5-C56479F3A291}"/>
            </a:ext>
          </a:extLst>
        </xdr:cNvPr>
        <xdr:cNvSpPr txBox="1"/>
      </xdr:nvSpPr>
      <xdr:spPr>
        <a:xfrm>
          <a:off x="533399" y="26050875"/>
          <a:ext cx="8277225" cy="549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データ分析②年齢層ごとの傾向</a:t>
          </a:r>
          <a:endPar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endParaRP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未就学児～小学校低学年</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endPar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endParaRP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子どもと過ごした割合</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・約</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53%</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の家庭が「子どもと過ごした」と回答しており、割合が比較的高い傾向にある。</a:t>
          </a: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主な過ごし方</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・「倉吉市外へ出かけた」が最も多く（約</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46%</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）、次いで「家庭で過ごした」（約</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35%</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）となっている。イベントや体験活動への参加は</a:t>
          </a:r>
          <a:endPar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endParaRP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　　比較的少ない。</a:t>
          </a: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休暇取得のしやすさ</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・「業務多忙で取得できなかった」とする回答が約</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22%</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で、休暇取得が課題となるケースが見られる。 </a:t>
          </a:r>
        </a:p>
        <a:p>
          <a:endPar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endParaRP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小学校高学年～中学生</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 </a:t>
          </a: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子どもと過ごした割合</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・「子どもと過ごした」と回答した家庭は約</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40%</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で、低年齢層の家庭よりもやや低い割合となっている。 </a:t>
          </a: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主な過ごし方</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・「倉吉市外へ出かけた」（約</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35%</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）が最多で、「家庭で過ごした」（約</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31%</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）が続いている。低年齢の家庭に比べて活動内容の分布</a:t>
          </a:r>
          <a:endPar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endParaRP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　が分散している。</a:t>
          </a: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休暇取得のしやすさ</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・「業務多忙で取得できなかった」とする回答が約</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26%</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で、低年齢の家庭よりも取得しにくい状況がやや目立つ。 </a:t>
          </a: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混在する家庭（低学年と高学年・中学生が両方いる家庭）</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 </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・特定の傾向は見受けられない。</a:t>
          </a:r>
          <a:endPar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endParaRP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 </a:t>
          </a:r>
        </a:p>
        <a:p>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考察</a:t>
          </a:r>
          <a:r>
            <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rPr>
            <a:t>】</a:t>
          </a:r>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 </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・低学年児童のいる家庭では、ふれあいホリデーに積極的な傾向が見られる。</a:t>
          </a:r>
        </a:p>
        <a:p>
          <a:r>
            <a:rPr kumimoji="1" lang="ja-JP" altLang="en-US" sz="1050" kern="1200">
              <a:solidFill>
                <a:schemeClr val="dk1"/>
              </a:solidFill>
              <a:latin typeface="UD デジタル 教科書体 N-R" panose="02020400000000000000" pitchFamily="17" charset="-128"/>
              <a:ea typeface="UD デジタル 教科書体 N-R" panose="02020400000000000000" pitchFamily="17" charset="-128"/>
              <a:cs typeface="+mn-cs"/>
            </a:rPr>
            <a:t>・高学年から中学生のいる家庭では、子どもと過ごす割合が低下する傾向がある。</a:t>
          </a:r>
          <a:endParaRPr kumimoji="1" lang="en-US" altLang="ja-JP" sz="1050" kern="1200">
            <a:solidFill>
              <a:schemeClr val="dk1"/>
            </a:solidFill>
            <a:latin typeface="UD デジタル 教科書体 N-R" panose="02020400000000000000" pitchFamily="17" charset="-128"/>
            <a:ea typeface="UD デジタル 教科書体 N-R" panose="02020400000000000000" pitchFamily="17" charset="-128"/>
            <a:cs typeface="+mn-cs"/>
          </a:endParaRPr>
        </a:p>
      </xdr:txBody>
    </xdr:sp>
    <xdr:clientData/>
  </xdr:twoCellAnchor>
</xdr:wsDr>
</file>

<file path=xl/tables/table1.xml><?xml version="1.0" encoding="utf-8"?>
<table xmlns="http://schemas.openxmlformats.org/spreadsheetml/2006/main" id="1" name="Form_Responses1" displayName="Form_Responses1" ref="A1:V1088" headerRowDxfId="24" dataDxfId="23" totalsRowDxfId="22">
  <autoFilter ref="A1:V1088"/>
  <sortState ref="A2:V1088">
    <sortCondition ref="U132"/>
  </sortState>
  <tableColumns count="22">
    <tableColumn id="1" name="タイムスタンプ" dataDxfId="21"/>
    <tableColumn id="2" name="問１　お子様は何年生ですか。" dataDxfId="20"/>
    <tableColumn id="17" name="未就学" dataDxfId="19">
      <calculatedColumnFormula>IF(ISERROR(FIND(C$1,$B2)),"×","○")</calculatedColumnFormula>
    </tableColumn>
    <tableColumn id="18" name="小学校" dataDxfId="18">
      <calculatedColumnFormula>IF(ISERROR(FIND(D$1,$B2)),"×","○")</calculatedColumnFormula>
    </tableColumn>
    <tableColumn id="19" name="中学校" dataDxfId="17">
      <calculatedColumnFormula>IF(ISERROR(FIND(E$1,$B2)),"×","○")</calculatedColumnFormula>
    </tableColumn>
    <tableColumn id="20" name="卒業" dataDxfId="16">
      <calculatedColumnFormula>IF(ISERROR(FIND(F$1,$B2)),"×","○")</calculatedColumnFormula>
    </tableColumn>
    <tableColumn id="3" name="問２　11月22日（ふれあいホリデー）はお子様と一緒に過ごされましたか。" dataDxfId="15"/>
    <tableColumn id="4" name="問３−Ａ１　主にどのように過ごされましたか。" dataDxfId="14"/>
    <tableColumn id="5" name="問３－Ａ２　前の問い（ 問３－Ａ１）で回答された内容について具体的に記入してください。" dataDxfId="13"/>
    <tableColumn id="6" name="問３−Ｂ１　お子様はどのように過ごされましたか。" dataDxfId="12"/>
    <tableColumn id="7" name="問４　あなたは休暇を取得されましたか" dataDxfId="11"/>
    <tableColumn id="8" name="問４－１　「取得していない」と回答いただいた方は、次のどれにあたりますか。" dataDxfId="10"/>
    <tableColumn id="21" name="職場で推奨されたが取得しなかった" dataDxfId="9">
      <calculatedColumnFormula>IF(ISERROR(SEARCH(M$1,$L2)),"","○")</calculatedColumnFormula>
    </tableColumn>
    <tableColumn id="13" name="業務多忙で取得できなかった" dataDxfId="8">
      <calculatedColumnFormula>IF(ISERROR(SEARCH(N$1,$L2)),"","○")</calculatedColumnFormula>
    </tableColumn>
    <tableColumn id="14" name="自営業だから" dataDxfId="7">
      <calculatedColumnFormula>IF(ISERROR(SEARCH(O$1,$L2)),"","○")</calculatedColumnFormula>
    </tableColumn>
    <tableColumn id="16" name="取得するつもりはなかった" dataDxfId="6">
      <calculatedColumnFormula>IF(ISERROR(SEARCH(P$1,$L2)),"","○")</calculatedColumnFormula>
    </tableColumn>
    <tableColumn id="15" name="取得しにくかった" dataDxfId="5">
      <calculatedColumnFormula>IF(ISERROR(SEARCH(Q$1,$L2)),"","○")</calculatedColumnFormula>
    </tableColumn>
    <tableColumn id="22" name="勤務日ではなかった" dataDxfId="4">
      <calculatedColumnFormula>IF(ISERROR(SEARCH(R$1,$L2)),"","○")</calculatedColumnFormula>
    </tableColumn>
    <tableColumn id="9" name="問４－２　前の問（問４－１）で「取得するつもりはなかった」または「取得しにくかった」と回答いただいた方は、理由等をお答えください。" dataDxfId="3"/>
    <tableColumn id="10" name="問５　来年度実施する場合、過ごし方について考えを教えてください。" dataDxfId="2"/>
    <tableColumn id="11" name="問６　来年度実施する場合、適切な時期について考えを教えてください。" dataDxfId="1"/>
    <tableColumn id="12" name="問７　今後に向けてお気づきの点などを教えてください。" dataDxfId="0"/>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ummaryRight="0"/>
    <pageSetUpPr fitToPage="1"/>
  </sheetPr>
  <dimension ref="A1:AB1188"/>
  <sheetViews>
    <sheetView topLeftCell="Q1" workbookViewId="0">
      <pane ySplit="1" topLeftCell="A717" activePane="bottomLeft" state="frozen"/>
      <selection pane="bottomLeft" activeCell="U760" sqref="U760:U777"/>
    </sheetView>
  </sheetViews>
  <sheetFormatPr defaultColWidth="12.5703125" defaultRowHeight="15.75" customHeight="1"/>
  <cols>
    <col min="1" max="1" width="18.85546875" style="101" customWidth="1"/>
    <col min="2" max="2" width="51" style="101" customWidth="1"/>
    <col min="3" max="6" width="10" style="101" customWidth="1"/>
    <col min="7" max="7" width="14.85546875" style="101" customWidth="1"/>
    <col min="8" max="8" width="13.42578125" style="101" customWidth="1"/>
    <col min="9" max="9" width="17.85546875" style="101" customWidth="1"/>
    <col min="10" max="10" width="14.7109375" style="101" customWidth="1"/>
    <col min="11" max="11" width="13.7109375" style="101" customWidth="1"/>
    <col min="12" max="12" width="84.85546875" style="101" customWidth="1"/>
    <col min="13" max="18" width="6.42578125" style="101" customWidth="1"/>
    <col min="21" max="21" width="39" style="101" customWidth="1"/>
    <col min="22" max="25" width="18.85546875" style="101" customWidth="1"/>
    <col min="26" max="16384" width="12.5703125" style="101"/>
  </cols>
  <sheetData>
    <row r="1" spans="1:28" ht="88.5" customHeight="1">
      <c r="A1" s="97" t="s">
        <v>0</v>
      </c>
      <c r="B1" s="98" t="s">
        <v>1</v>
      </c>
      <c r="C1" s="98" t="s">
        <v>2014</v>
      </c>
      <c r="D1" s="98" t="s">
        <v>2013</v>
      </c>
      <c r="E1" s="98" t="s">
        <v>2015</v>
      </c>
      <c r="F1" s="98" t="s">
        <v>2016</v>
      </c>
      <c r="G1" s="98" t="s">
        <v>2</v>
      </c>
      <c r="H1" s="98" t="s">
        <v>3</v>
      </c>
      <c r="I1" s="98" t="s">
        <v>4</v>
      </c>
      <c r="J1" s="98" t="s">
        <v>5</v>
      </c>
      <c r="K1" s="98" t="s">
        <v>6</v>
      </c>
      <c r="L1" s="98" t="s">
        <v>7</v>
      </c>
      <c r="M1" s="107" t="s">
        <v>2057</v>
      </c>
      <c r="N1" s="107" t="s">
        <v>2058</v>
      </c>
      <c r="O1" s="107" t="s">
        <v>2059</v>
      </c>
      <c r="P1" s="107" t="s">
        <v>2061</v>
      </c>
      <c r="Q1" s="107" t="s">
        <v>2060</v>
      </c>
      <c r="R1" s="107" t="s">
        <v>2062</v>
      </c>
      <c r="S1" s="98" t="s">
        <v>8</v>
      </c>
      <c r="T1" s="98" t="s">
        <v>9</v>
      </c>
      <c r="U1" s="98" t="s">
        <v>10</v>
      </c>
      <c r="V1" s="99" t="s">
        <v>11</v>
      </c>
      <c r="W1" s="100"/>
      <c r="X1" s="100"/>
      <c r="Y1" s="100"/>
      <c r="Z1" s="100"/>
      <c r="AA1" s="100"/>
      <c r="AB1" s="100"/>
    </row>
    <row r="2" spans="1:28" ht="13.5">
      <c r="A2" s="102">
        <v>45628.841070972223</v>
      </c>
      <c r="B2" s="103" t="s">
        <v>649</v>
      </c>
      <c r="C2" s="104" t="str">
        <f t="shared" ref="C2:F21" si="0">IF(ISERROR(FIND(C$1,$B2)),"×","○")</f>
        <v>×</v>
      </c>
      <c r="D2" s="104" t="str">
        <f t="shared" si="0"/>
        <v>○</v>
      </c>
      <c r="E2" s="104" t="str">
        <f t="shared" si="0"/>
        <v>○</v>
      </c>
      <c r="F2" s="104" t="str">
        <f t="shared" si="0"/>
        <v>×</v>
      </c>
      <c r="G2" s="103" t="s">
        <v>13</v>
      </c>
      <c r="H2" s="103" t="s">
        <v>77</v>
      </c>
      <c r="I2" s="103" t="s">
        <v>1138</v>
      </c>
      <c r="J2" s="105"/>
      <c r="K2" s="103" t="s">
        <v>34</v>
      </c>
      <c r="L2" s="105"/>
      <c r="M2" s="110" t="str">
        <f t="shared" ref="M2:R11" si="1">IF(ISERROR(SEARCH(M$1,$L2)),"","○")</f>
        <v/>
      </c>
      <c r="N2" s="110" t="str">
        <f t="shared" si="1"/>
        <v/>
      </c>
      <c r="O2" s="110" t="str">
        <f t="shared" si="1"/>
        <v/>
      </c>
      <c r="P2" s="110" t="str">
        <f t="shared" si="1"/>
        <v/>
      </c>
      <c r="Q2" s="110" t="str">
        <f t="shared" si="1"/>
        <v/>
      </c>
      <c r="R2" s="105" t="str">
        <f t="shared" si="1"/>
        <v/>
      </c>
      <c r="S2" s="105"/>
      <c r="T2" s="103" t="s">
        <v>30</v>
      </c>
      <c r="U2" s="103" t="s">
        <v>1139</v>
      </c>
      <c r="V2" s="103" t="s">
        <v>1140</v>
      </c>
      <c r="W2" s="100"/>
      <c r="X2" s="100"/>
      <c r="Y2" s="100"/>
      <c r="Z2" s="100"/>
      <c r="AA2" s="100"/>
      <c r="AB2" s="100"/>
    </row>
    <row r="3" spans="1:28" ht="13.5">
      <c r="A3" s="102">
        <v>45625.671394571764</v>
      </c>
      <c r="B3" s="103" t="s">
        <v>90</v>
      </c>
      <c r="C3" s="104" t="str">
        <f t="shared" si="0"/>
        <v>×</v>
      </c>
      <c r="D3" s="104" t="str">
        <f t="shared" si="0"/>
        <v>×</v>
      </c>
      <c r="E3" s="104" t="str">
        <f t="shared" si="0"/>
        <v>○</v>
      </c>
      <c r="F3" s="104" t="str">
        <f t="shared" si="0"/>
        <v>×</v>
      </c>
      <c r="G3" s="103" t="s">
        <v>20</v>
      </c>
      <c r="H3" s="105"/>
      <c r="I3" s="105"/>
      <c r="J3" s="103" t="s">
        <v>58</v>
      </c>
      <c r="K3" s="103" t="s">
        <v>16</v>
      </c>
      <c r="L3" s="103" t="s">
        <v>39</v>
      </c>
      <c r="M3" s="108" t="str">
        <f t="shared" si="1"/>
        <v/>
      </c>
      <c r="N3" s="108" t="str">
        <f t="shared" si="1"/>
        <v>○</v>
      </c>
      <c r="O3" s="108" t="str">
        <f t="shared" si="1"/>
        <v/>
      </c>
      <c r="P3" s="108" t="str">
        <f t="shared" si="1"/>
        <v/>
      </c>
      <c r="Q3" s="108" t="str">
        <f t="shared" si="1"/>
        <v/>
      </c>
      <c r="R3" s="103" t="str">
        <f t="shared" si="1"/>
        <v/>
      </c>
      <c r="S3" s="105"/>
      <c r="T3" s="103" t="s">
        <v>30</v>
      </c>
      <c r="U3" s="103" t="s">
        <v>194</v>
      </c>
      <c r="V3" s="105"/>
      <c r="W3" s="100"/>
      <c r="X3" s="100"/>
      <c r="Y3" s="100"/>
      <c r="Z3" s="100"/>
      <c r="AA3" s="100"/>
      <c r="AB3" s="100"/>
    </row>
    <row r="4" spans="1:28" ht="13.5">
      <c r="A4" s="102">
        <v>45625.698695115745</v>
      </c>
      <c r="B4" s="103" t="s">
        <v>49</v>
      </c>
      <c r="C4" s="104" t="str">
        <f t="shared" si="0"/>
        <v>×</v>
      </c>
      <c r="D4" s="104" t="str">
        <f t="shared" si="0"/>
        <v>○</v>
      </c>
      <c r="E4" s="104" t="str">
        <f t="shared" si="0"/>
        <v>×</v>
      </c>
      <c r="F4" s="104" t="str">
        <f t="shared" si="0"/>
        <v>×</v>
      </c>
      <c r="G4" s="103" t="s">
        <v>20</v>
      </c>
      <c r="H4" s="105"/>
      <c r="I4" s="105"/>
      <c r="J4" s="103" t="s">
        <v>38</v>
      </c>
      <c r="K4" s="103" t="s">
        <v>16</v>
      </c>
      <c r="L4" s="103" t="s">
        <v>189</v>
      </c>
      <c r="M4" s="108" t="str">
        <f t="shared" si="1"/>
        <v/>
      </c>
      <c r="N4" s="108" t="str">
        <f t="shared" si="1"/>
        <v/>
      </c>
      <c r="O4" s="108" t="str">
        <f t="shared" si="1"/>
        <v/>
      </c>
      <c r="P4" s="108" t="str">
        <f t="shared" si="1"/>
        <v>○</v>
      </c>
      <c r="Q4" s="108" t="str">
        <f t="shared" si="1"/>
        <v>○</v>
      </c>
      <c r="R4" s="103" t="str">
        <f t="shared" si="1"/>
        <v/>
      </c>
      <c r="S4" s="103" t="s">
        <v>202</v>
      </c>
      <c r="T4" s="103" t="s">
        <v>30</v>
      </c>
      <c r="U4" s="103" t="s">
        <v>194</v>
      </c>
      <c r="V4" s="103" t="s">
        <v>203</v>
      </c>
      <c r="W4" s="100"/>
      <c r="X4" s="100"/>
      <c r="Y4" s="100"/>
      <c r="Z4" s="100"/>
      <c r="AA4" s="100"/>
      <c r="AB4" s="100"/>
    </row>
    <row r="5" spans="1:28" ht="13.5">
      <c r="A5" s="102">
        <v>45625.700933506945</v>
      </c>
      <c r="B5" s="103" t="s">
        <v>93</v>
      </c>
      <c r="C5" s="104" t="str">
        <f t="shared" si="0"/>
        <v>×</v>
      </c>
      <c r="D5" s="104" t="str">
        <f t="shared" si="0"/>
        <v>×</v>
      </c>
      <c r="E5" s="104" t="str">
        <f t="shared" si="0"/>
        <v>○</v>
      </c>
      <c r="F5" s="104" t="str">
        <f t="shared" si="0"/>
        <v>×</v>
      </c>
      <c r="G5" s="103" t="s">
        <v>20</v>
      </c>
      <c r="H5" s="105"/>
      <c r="I5" s="105"/>
      <c r="J5" s="103" t="s">
        <v>58</v>
      </c>
      <c r="K5" s="103" t="s">
        <v>16</v>
      </c>
      <c r="L5" s="103" t="s">
        <v>59</v>
      </c>
      <c r="M5" s="108" t="str">
        <f t="shared" si="1"/>
        <v/>
      </c>
      <c r="N5" s="108" t="str">
        <f t="shared" si="1"/>
        <v/>
      </c>
      <c r="O5" s="108" t="str">
        <f t="shared" si="1"/>
        <v/>
      </c>
      <c r="P5" s="108" t="str">
        <f t="shared" si="1"/>
        <v>○</v>
      </c>
      <c r="Q5" s="108" t="str">
        <f t="shared" si="1"/>
        <v/>
      </c>
      <c r="R5" s="103" t="str">
        <f t="shared" si="1"/>
        <v/>
      </c>
      <c r="S5" s="103" t="s">
        <v>204</v>
      </c>
      <c r="T5" s="103" t="s">
        <v>30</v>
      </c>
      <c r="U5" s="103" t="s">
        <v>194</v>
      </c>
      <c r="V5" s="103" t="s">
        <v>205</v>
      </c>
      <c r="W5" s="100"/>
      <c r="X5" s="100"/>
      <c r="Y5" s="100"/>
      <c r="Z5" s="100"/>
      <c r="AA5" s="100"/>
      <c r="AB5" s="100"/>
    </row>
    <row r="6" spans="1:28" ht="13.5">
      <c r="A6" s="102">
        <v>45627.865384594908</v>
      </c>
      <c r="B6" s="103" t="s">
        <v>41</v>
      </c>
      <c r="C6" s="104" t="str">
        <f t="shared" si="0"/>
        <v>×</v>
      </c>
      <c r="D6" s="104" t="str">
        <f t="shared" si="0"/>
        <v>○</v>
      </c>
      <c r="E6" s="104" t="str">
        <f t="shared" si="0"/>
        <v>×</v>
      </c>
      <c r="F6" s="104" t="str">
        <f t="shared" si="0"/>
        <v>×</v>
      </c>
      <c r="G6" s="103" t="s">
        <v>13</v>
      </c>
      <c r="H6" s="103" t="s">
        <v>27</v>
      </c>
      <c r="I6" s="103" t="s">
        <v>783</v>
      </c>
      <c r="J6" s="105"/>
      <c r="K6" s="103" t="s">
        <v>16</v>
      </c>
      <c r="L6" s="103" t="s">
        <v>784</v>
      </c>
      <c r="M6" s="108" t="str">
        <f t="shared" si="1"/>
        <v/>
      </c>
      <c r="N6" s="108" t="str">
        <f t="shared" si="1"/>
        <v/>
      </c>
      <c r="O6" s="108" t="str">
        <f t="shared" si="1"/>
        <v/>
      </c>
      <c r="P6" s="108" t="str">
        <f t="shared" si="1"/>
        <v/>
      </c>
      <c r="Q6" s="108" t="str">
        <f t="shared" si="1"/>
        <v/>
      </c>
      <c r="R6" s="103" t="str">
        <f t="shared" si="1"/>
        <v/>
      </c>
      <c r="S6" s="105"/>
      <c r="T6" s="103" t="s">
        <v>61</v>
      </c>
      <c r="U6" s="103" t="s">
        <v>194</v>
      </c>
      <c r="V6" s="103" t="s">
        <v>785</v>
      </c>
      <c r="W6" s="100"/>
      <c r="X6" s="100"/>
      <c r="Y6" s="100"/>
      <c r="Z6" s="100"/>
      <c r="AA6" s="100"/>
      <c r="AB6" s="100"/>
    </row>
    <row r="7" spans="1:28" ht="13.5">
      <c r="A7" s="102">
        <v>45628.703165567131</v>
      </c>
      <c r="B7" s="103" t="s">
        <v>41</v>
      </c>
      <c r="C7" s="104" t="str">
        <f t="shared" si="0"/>
        <v>×</v>
      </c>
      <c r="D7" s="104" t="str">
        <f t="shared" si="0"/>
        <v>○</v>
      </c>
      <c r="E7" s="104" t="str">
        <f t="shared" si="0"/>
        <v>×</v>
      </c>
      <c r="F7" s="104" t="str">
        <f t="shared" si="0"/>
        <v>×</v>
      </c>
      <c r="G7" s="103" t="s">
        <v>20</v>
      </c>
      <c r="H7" s="105"/>
      <c r="I7" s="105"/>
      <c r="J7" s="103" t="s">
        <v>38</v>
      </c>
      <c r="K7" s="103" t="s">
        <v>16</v>
      </c>
      <c r="L7" s="103" t="s">
        <v>255</v>
      </c>
      <c r="M7" s="108" t="str">
        <f t="shared" si="1"/>
        <v/>
      </c>
      <c r="N7" s="108" t="str">
        <f t="shared" si="1"/>
        <v>○</v>
      </c>
      <c r="O7" s="108" t="str">
        <f t="shared" si="1"/>
        <v/>
      </c>
      <c r="P7" s="108" t="str">
        <f t="shared" si="1"/>
        <v>○</v>
      </c>
      <c r="Q7" s="108" t="str">
        <f t="shared" si="1"/>
        <v/>
      </c>
      <c r="R7" s="103" t="str">
        <f t="shared" si="1"/>
        <v/>
      </c>
      <c r="S7" s="103" t="s">
        <v>971</v>
      </c>
      <c r="T7" s="103" t="s">
        <v>24</v>
      </c>
      <c r="U7" s="103" t="s">
        <v>194</v>
      </c>
      <c r="V7" s="105"/>
      <c r="W7" s="100"/>
      <c r="X7" s="100"/>
      <c r="Y7" s="100"/>
      <c r="Z7" s="100"/>
      <c r="AA7" s="100"/>
      <c r="AB7" s="100"/>
    </row>
    <row r="8" spans="1:28" ht="13.5">
      <c r="A8" s="102">
        <v>45632.566351562498</v>
      </c>
      <c r="B8" s="103" t="s">
        <v>164</v>
      </c>
      <c r="C8" s="104" t="str">
        <f t="shared" si="0"/>
        <v>×</v>
      </c>
      <c r="D8" s="104" t="str">
        <f t="shared" si="0"/>
        <v>○</v>
      </c>
      <c r="E8" s="104" t="str">
        <f t="shared" si="0"/>
        <v>×</v>
      </c>
      <c r="F8" s="104" t="str">
        <f t="shared" si="0"/>
        <v>×</v>
      </c>
      <c r="G8" s="103" t="s">
        <v>13</v>
      </c>
      <c r="H8" s="103" t="s">
        <v>27</v>
      </c>
      <c r="I8" s="103" t="s">
        <v>1829</v>
      </c>
      <c r="J8" s="105"/>
      <c r="K8" s="103" t="s">
        <v>34</v>
      </c>
      <c r="L8" s="105"/>
      <c r="M8" s="110" t="str">
        <f t="shared" si="1"/>
        <v/>
      </c>
      <c r="N8" s="110" t="str">
        <f t="shared" si="1"/>
        <v/>
      </c>
      <c r="O8" s="110" t="str">
        <f t="shared" si="1"/>
        <v/>
      </c>
      <c r="P8" s="110" t="str">
        <f t="shared" si="1"/>
        <v/>
      </c>
      <c r="Q8" s="110" t="str">
        <f t="shared" si="1"/>
        <v/>
      </c>
      <c r="R8" s="105" t="str">
        <f t="shared" si="1"/>
        <v/>
      </c>
      <c r="S8" s="105"/>
      <c r="T8" s="103" t="s">
        <v>30</v>
      </c>
      <c r="U8" s="103" t="s">
        <v>1830</v>
      </c>
      <c r="V8" s="103" t="s">
        <v>1831</v>
      </c>
      <c r="W8" s="100"/>
      <c r="X8" s="100"/>
      <c r="Y8" s="100"/>
      <c r="Z8" s="100"/>
      <c r="AA8" s="100"/>
      <c r="AB8" s="100"/>
    </row>
    <row r="9" spans="1:28" ht="13.5">
      <c r="A9" s="102">
        <v>45630.802357395834</v>
      </c>
      <c r="B9" s="103" t="s">
        <v>1661</v>
      </c>
      <c r="C9" s="104" t="str">
        <f t="shared" si="0"/>
        <v>×</v>
      </c>
      <c r="D9" s="104" t="str">
        <f t="shared" si="0"/>
        <v>○</v>
      </c>
      <c r="E9" s="104" t="str">
        <f t="shared" si="0"/>
        <v>○</v>
      </c>
      <c r="F9" s="104" t="str">
        <f t="shared" si="0"/>
        <v>○</v>
      </c>
      <c r="G9" s="103" t="s">
        <v>13</v>
      </c>
      <c r="H9" s="103" t="s">
        <v>32</v>
      </c>
      <c r="I9" s="103" t="s">
        <v>1662</v>
      </c>
      <c r="J9" s="105"/>
      <c r="K9" s="103" t="s">
        <v>16</v>
      </c>
      <c r="L9" s="103" t="s">
        <v>1663</v>
      </c>
      <c r="M9" s="108" t="str">
        <f t="shared" si="1"/>
        <v/>
      </c>
      <c r="N9" s="108" t="str">
        <f t="shared" si="1"/>
        <v/>
      </c>
      <c r="O9" s="108" t="str">
        <f t="shared" si="1"/>
        <v/>
      </c>
      <c r="P9" s="108" t="str">
        <f t="shared" si="1"/>
        <v/>
      </c>
      <c r="Q9" s="108" t="str">
        <f t="shared" si="1"/>
        <v/>
      </c>
      <c r="R9" s="103" t="str">
        <f t="shared" si="1"/>
        <v/>
      </c>
      <c r="S9" s="105"/>
      <c r="T9" s="103" t="s">
        <v>35</v>
      </c>
      <c r="U9" s="103" t="s">
        <v>1664</v>
      </c>
      <c r="V9" s="103" t="s">
        <v>1665</v>
      </c>
      <c r="W9" s="100"/>
      <c r="X9" s="100"/>
      <c r="Y9" s="100"/>
      <c r="Z9" s="100"/>
      <c r="AA9" s="100"/>
      <c r="AB9" s="100"/>
    </row>
    <row r="10" spans="1:28" ht="13.5">
      <c r="A10" s="102">
        <v>45629.847130706017</v>
      </c>
      <c r="B10" s="103" t="s">
        <v>181</v>
      </c>
      <c r="C10" s="104" t="str">
        <f t="shared" si="0"/>
        <v>×</v>
      </c>
      <c r="D10" s="104" t="str">
        <f t="shared" si="0"/>
        <v>○</v>
      </c>
      <c r="E10" s="104" t="str">
        <f t="shared" si="0"/>
        <v>×</v>
      </c>
      <c r="F10" s="104" t="str">
        <f t="shared" si="0"/>
        <v>×</v>
      </c>
      <c r="G10" s="103" t="s">
        <v>13</v>
      </c>
      <c r="H10" s="103" t="s">
        <v>77</v>
      </c>
      <c r="I10" s="103" t="s">
        <v>1488</v>
      </c>
      <c r="J10" s="105"/>
      <c r="K10" s="103" t="s">
        <v>34</v>
      </c>
      <c r="L10" s="105"/>
      <c r="M10" s="110" t="str">
        <f t="shared" si="1"/>
        <v/>
      </c>
      <c r="N10" s="110" t="str">
        <f t="shared" si="1"/>
        <v/>
      </c>
      <c r="O10" s="110" t="str">
        <f t="shared" si="1"/>
        <v/>
      </c>
      <c r="P10" s="110" t="str">
        <f t="shared" si="1"/>
        <v/>
      </c>
      <c r="Q10" s="110" t="str">
        <f t="shared" si="1"/>
        <v/>
      </c>
      <c r="R10" s="105" t="str">
        <f t="shared" si="1"/>
        <v/>
      </c>
      <c r="S10" s="105"/>
      <c r="T10" s="103" t="s">
        <v>30</v>
      </c>
      <c r="U10" s="103" t="s">
        <v>1489</v>
      </c>
      <c r="V10" s="103" t="s">
        <v>1490</v>
      </c>
      <c r="W10" s="100"/>
      <c r="X10" s="100"/>
      <c r="Y10" s="100"/>
      <c r="Z10" s="100"/>
      <c r="AA10" s="100"/>
      <c r="AB10" s="100"/>
    </row>
    <row r="11" spans="1:28" ht="13.5">
      <c r="A11" s="102">
        <v>45630.380065081015</v>
      </c>
      <c r="B11" s="103" t="s">
        <v>19</v>
      </c>
      <c r="C11" s="104" t="str">
        <f t="shared" si="0"/>
        <v>×</v>
      </c>
      <c r="D11" s="104" t="str">
        <f t="shared" si="0"/>
        <v>○</v>
      </c>
      <c r="E11" s="104" t="str">
        <f t="shared" si="0"/>
        <v>×</v>
      </c>
      <c r="F11" s="104" t="str">
        <f t="shared" si="0"/>
        <v>×</v>
      </c>
      <c r="G11" s="103" t="s">
        <v>20</v>
      </c>
      <c r="H11" s="105"/>
      <c r="I11" s="105"/>
      <c r="J11" s="103" t="s">
        <v>58</v>
      </c>
      <c r="K11" s="103" t="s">
        <v>16</v>
      </c>
      <c r="L11" s="103" t="s">
        <v>1610</v>
      </c>
      <c r="M11" s="108" t="str">
        <f t="shared" si="1"/>
        <v/>
      </c>
      <c r="N11" s="108" t="str">
        <f t="shared" si="1"/>
        <v/>
      </c>
      <c r="O11" s="108" t="str">
        <f t="shared" si="1"/>
        <v/>
      </c>
      <c r="P11" s="108" t="str">
        <f t="shared" si="1"/>
        <v/>
      </c>
      <c r="Q11" s="108" t="str">
        <f t="shared" si="1"/>
        <v/>
      </c>
      <c r="R11" s="103" t="str">
        <f t="shared" si="1"/>
        <v/>
      </c>
      <c r="S11" s="105"/>
      <c r="T11" s="103" t="s">
        <v>1611</v>
      </c>
      <c r="U11" s="103" t="s">
        <v>1612</v>
      </c>
      <c r="V11" s="103" t="s">
        <v>1613</v>
      </c>
      <c r="W11" s="100"/>
      <c r="X11" s="100"/>
      <c r="Y11" s="100"/>
      <c r="Z11" s="100"/>
      <c r="AA11" s="100"/>
      <c r="AB11" s="100"/>
    </row>
    <row r="12" spans="1:28" ht="13.5">
      <c r="A12" s="102">
        <v>45631.262106203707</v>
      </c>
      <c r="B12" s="103" t="s">
        <v>227</v>
      </c>
      <c r="C12" s="104" t="str">
        <f t="shared" si="0"/>
        <v>×</v>
      </c>
      <c r="D12" s="104" t="str">
        <f t="shared" si="0"/>
        <v>○</v>
      </c>
      <c r="E12" s="104" t="str">
        <f t="shared" si="0"/>
        <v>×</v>
      </c>
      <c r="F12" s="104" t="str">
        <f t="shared" si="0"/>
        <v>×</v>
      </c>
      <c r="G12" s="103" t="s">
        <v>13</v>
      </c>
      <c r="H12" s="103" t="s">
        <v>27</v>
      </c>
      <c r="I12" s="103" t="s">
        <v>1736</v>
      </c>
      <c r="J12" s="105"/>
      <c r="K12" s="103" t="s">
        <v>34</v>
      </c>
      <c r="L12" s="105"/>
      <c r="M12" s="110" t="str">
        <f t="shared" ref="M12:R21" si="2">IF(ISERROR(SEARCH(M$1,$L12)),"","○")</f>
        <v/>
      </c>
      <c r="N12" s="110" t="str">
        <f t="shared" si="2"/>
        <v/>
      </c>
      <c r="O12" s="110" t="str">
        <f t="shared" si="2"/>
        <v/>
      </c>
      <c r="P12" s="110" t="str">
        <f t="shared" si="2"/>
        <v/>
      </c>
      <c r="Q12" s="110" t="str">
        <f t="shared" si="2"/>
        <v/>
      </c>
      <c r="R12" s="105" t="str">
        <f t="shared" si="2"/>
        <v/>
      </c>
      <c r="S12" s="105"/>
      <c r="T12" s="103" t="s">
        <v>35</v>
      </c>
      <c r="U12" s="103" t="s">
        <v>1737</v>
      </c>
      <c r="V12" s="103" t="s">
        <v>1738</v>
      </c>
      <c r="W12" s="100"/>
      <c r="X12" s="100"/>
      <c r="Y12" s="100"/>
      <c r="Z12" s="100"/>
      <c r="AA12" s="100"/>
      <c r="AB12" s="100"/>
    </row>
    <row r="13" spans="1:28" ht="13.5">
      <c r="A13" s="102">
        <v>45632.963447465278</v>
      </c>
      <c r="B13" s="103" t="s">
        <v>264</v>
      </c>
      <c r="C13" s="104" t="str">
        <f t="shared" si="0"/>
        <v>○</v>
      </c>
      <c r="D13" s="104" t="str">
        <f t="shared" si="0"/>
        <v>○</v>
      </c>
      <c r="E13" s="104" t="str">
        <f t="shared" si="0"/>
        <v>×</v>
      </c>
      <c r="F13" s="104" t="str">
        <f t="shared" si="0"/>
        <v>×</v>
      </c>
      <c r="G13" s="103" t="s">
        <v>20</v>
      </c>
      <c r="H13" s="105"/>
      <c r="I13" s="105"/>
      <c r="J13" s="103" t="s">
        <v>21</v>
      </c>
      <c r="K13" s="103" t="s">
        <v>16</v>
      </c>
      <c r="L13" s="103" t="s">
        <v>68</v>
      </c>
      <c r="M13" s="108" t="str">
        <f t="shared" si="2"/>
        <v/>
      </c>
      <c r="N13" s="108" t="str">
        <f t="shared" si="2"/>
        <v/>
      </c>
      <c r="O13" s="108" t="str">
        <f t="shared" si="2"/>
        <v/>
      </c>
      <c r="P13" s="108" t="str">
        <f t="shared" si="2"/>
        <v/>
      </c>
      <c r="Q13" s="108" t="str">
        <f t="shared" si="2"/>
        <v>○</v>
      </c>
      <c r="R13" s="103" t="str">
        <f t="shared" si="2"/>
        <v/>
      </c>
      <c r="S13" s="103" t="s">
        <v>1856</v>
      </c>
      <c r="T13" s="103" t="s">
        <v>30</v>
      </c>
      <c r="U13" s="103" t="s">
        <v>1857</v>
      </c>
      <c r="V13" s="103" t="s">
        <v>1858</v>
      </c>
      <c r="W13" s="100"/>
      <c r="X13" s="100"/>
      <c r="Y13" s="100"/>
      <c r="Z13" s="100"/>
      <c r="AA13" s="100"/>
      <c r="AB13" s="100"/>
    </row>
    <row r="14" spans="1:28" ht="13.5">
      <c r="A14" s="102">
        <v>45626.892189212958</v>
      </c>
      <c r="B14" s="103" t="s">
        <v>19</v>
      </c>
      <c r="C14" s="104" t="str">
        <f t="shared" si="0"/>
        <v>×</v>
      </c>
      <c r="D14" s="104" t="str">
        <f t="shared" si="0"/>
        <v>○</v>
      </c>
      <c r="E14" s="104" t="str">
        <f t="shared" si="0"/>
        <v>×</v>
      </c>
      <c r="F14" s="104" t="str">
        <f t="shared" si="0"/>
        <v>×</v>
      </c>
      <c r="G14" s="103" t="s">
        <v>13</v>
      </c>
      <c r="H14" s="103" t="s">
        <v>27</v>
      </c>
      <c r="I14" s="103" t="s">
        <v>625</v>
      </c>
      <c r="J14" s="105"/>
      <c r="K14" s="103" t="s">
        <v>34</v>
      </c>
      <c r="L14" s="105"/>
      <c r="M14" s="110" t="str">
        <f t="shared" si="2"/>
        <v/>
      </c>
      <c r="N14" s="110" t="str">
        <f t="shared" si="2"/>
        <v/>
      </c>
      <c r="O14" s="110" t="str">
        <f t="shared" si="2"/>
        <v/>
      </c>
      <c r="P14" s="110" t="str">
        <f t="shared" si="2"/>
        <v/>
      </c>
      <c r="Q14" s="110" t="str">
        <f t="shared" si="2"/>
        <v/>
      </c>
      <c r="R14" s="105" t="str">
        <f t="shared" si="2"/>
        <v/>
      </c>
      <c r="S14" s="105"/>
      <c r="T14" s="103" t="s">
        <v>626</v>
      </c>
      <c r="U14" s="103" t="s">
        <v>627</v>
      </c>
      <c r="V14" s="103" t="s">
        <v>628</v>
      </c>
      <c r="W14" s="100"/>
      <c r="X14" s="100"/>
      <c r="Y14" s="100"/>
      <c r="Z14" s="100"/>
      <c r="AA14" s="100"/>
      <c r="AB14" s="100"/>
    </row>
    <row r="15" spans="1:28" ht="27">
      <c r="A15" s="106">
        <v>45621.451073645832</v>
      </c>
      <c r="B15" s="104" t="s">
        <v>12</v>
      </c>
      <c r="C15" s="104" t="str">
        <f t="shared" si="0"/>
        <v>○</v>
      </c>
      <c r="D15" s="104" t="str">
        <f t="shared" si="0"/>
        <v>○</v>
      </c>
      <c r="E15" s="104" t="str">
        <f t="shared" si="0"/>
        <v>×</v>
      </c>
      <c r="F15" s="104" t="str">
        <f t="shared" si="0"/>
        <v>×</v>
      </c>
      <c r="G15" s="104" t="s">
        <v>13</v>
      </c>
      <c r="H15" s="104" t="s">
        <v>14</v>
      </c>
      <c r="I15" s="104" t="s">
        <v>15</v>
      </c>
      <c r="J15" s="104"/>
      <c r="K15" s="104" t="s">
        <v>16</v>
      </c>
      <c r="L15" s="104" t="s">
        <v>17</v>
      </c>
      <c r="M15" s="108" t="str">
        <f t="shared" si="2"/>
        <v/>
      </c>
      <c r="N15" s="109" t="str">
        <f t="shared" si="2"/>
        <v/>
      </c>
      <c r="O15" s="109" t="str">
        <f t="shared" si="2"/>
        <v/>
      </c>
      <c r="P15" s="109" t="str">
        <f t="shared" si="2"/>
        <v/>
      </c>
      <c r="Q15" s="109" t="str">
        <f t="shared" si="2"/>
        <v/>
      </c>
      <c r="R15" s="104" t="str">
        <f t="shared" si="2"/>
        <v/>
      </c>
      <c r="S15" s="104"/>
      <c r="T15" s="104"/>
      <c r="U15" s="104" t="s">
        <v>18</v>
      </c>
      <c r="V15" s="104"/>
      <c r="W15" s="100"/>
      <c r="X15" s="100"/>
      <c r="Y15" s="100"/>
      <c r="Z15" s="100"/>
      <c r="AA15" s="100"/>
      <c r="AB15" s="100"/>
    </row>
    <row r="16" spans="1:28" ht="67.5">
      <c r="A16" s="106">
        <v>45621.456174687497</v>
      </c>
      <c r="B16" s="104" t="s">
        <v>26</v>
      </c>
      <c r="C16" s="104" t="str">
        <f t="shared" si="0"/>
        <v>×</v>
      </c>
      <c r="D16" s="104" t="str">
        <f t="shared" si="0"/>
        <v>×</v>
      </c>
      <c r="E16" s="104" t="str">
        <f t="shared" si="0"/>
        <v>○</v>
      </c>
      <c r="F16" s="104" t="str">
        <f t="shared" si="0"/>
        <v>×</v>
      </c>
      <c r="G16" s="104" t="s">
        <v>13</v>
      </c>
      <c r="H16" s="104" t="s">
        <v>27</v>
      </c>
      <c r="I16" s="104" t="s">
        <v>28</v>
      </c>
      <c r="J16" s="104"/>
      <c r="K16" s="104" t="s">
        <v>16</v>
      </c>
      <c r="L16" s="104" t="s">
        <v>29</v>
      </c>
      <c r="M16" s="109" t="str">
        <f t="shared" si="2"/>
        <v/>
      </c>
      <c r="N16" s="109" t="str">
        <f t="shared" si="2"/>
        <v/>
      </c>
      <c r="O16" s="109" t="str">
        <f t="shared" si="2"/>
        <v/>
      </c>
      <c r="P16" s="109" t="str">
        <f t="shared" si="2"/>
        <v/>
      </c>
      <c r="Q16" s="109" t="str">
        <f t="shared" si="2"/>
        <v/>
      </c>
      <c r="R16" s="104" t="str">
        <f t="shared" si="2"/>
        <v>○</v>
      </c>
      <c r="S16" s="104"/>
      <c r="T16" s="104" t="s">
        <v>30</v>
      </c>
      <c r="U16" s="104" t="s">
        <v>18</v>
      </c>
      <c r="V16" s="104"/>
      <c r="W16" s="100"/>
      <c r="X16" s="100"/>
      <c r="Y16" s="100"/>
      <c r="Z16" s="100"/>
      <c r="AA16" s="100"/>
      <c r="AB16" s="100"/>
    </row>
    <row r="17" spans="1:22" ht="67.5">
      <c r="A17" s="106">
        <v>45621.461917025459</v>
      </c>
      <c r="B17" s="104" t="s">
        <v>46</v>
      </c>
      <c r="C17" s="104" t="str">
        <f t="shared" si="0"/>
        <v>×</v>
      </c>
      <c r="D17" s="104" t="str">
        <f t="shared" si="0"/>
        <v>×</v>
      </c>
      <c r="E17" s="104" t="str">
        <f t="shared" si="0"/>
        <v>○</v>
      </c>
      <c r="F17" s="104" t="str">
        <f t="shared" si="0"/>
        <v>○</v>
      </c>
      <c r="G17" s="104" t="s">
        <v>13</v>
      </c>
      <c r="H17" s="104" t="s">
        <v>47</v>
      </c>
      <c r="I17" s="104" t="s">
        <v>48</v>
      </c>
      <c r="J17" s="104"/>
      <c r="K17" s="104" t="s">
        <v>34</v>
      </c>
      <c r="L17" s="104"/>
      <c r="M17" s="109" t="str">
        <f t="shared" si="2"/>
        <v/>
      </c>
      <c r="N17" s="109" t="str">
        <f t="shared" si="2"/>
        <v/>
      </c>
      <c r="O17" s="109" t="str">
        <f t="shared" si="2"/>
        <v/>
      </c>
      <c r="P17" s="109" t="str">
        <f t="shared" si="2"/>
        <v/>
      </c>
      <c r="Q17" s="109" t="str">
        <f t="shared" si="2"/>
        <v/>
      </c>
      <c r="R17" s="104" t="str">
        <f t="shared" si="2"/>
        <v/>
      </c>
      <c r="S17" s="104"/>
      <c r="T17" s="104" t="s">
        <v>30</v>
      </c>
      <c r="U17" s="104" t="s">
        <v>18</v>
      </c>
      <c r="V17" s="104"/>
    </row>
    <row r="18" spans="1:22" ht="40.5">
      <c r="A18" s="106">
        <v>45621.4730771412</v>
      </c>
      <c r="B18" s="104" t="s">
        <v>64</v>
      </c>
      <c r="C18" s="104" t="str">
        <f t="shared" si="0"/>
        <v>○</v>
      </c>
      <c r="D18" s="104" t="str">
        <f t="shared" si="0"/>
        <v>○</v>
      </c>
      <c r="E18" s="104" t="str">
        <f t="shared" si="0"/>
        <v>×</v>
      </c>
      <c r="F18" s="104" t="str">
        <f t="shared" si="0"/>
        <v>×</v>
      </c>
      <c r="G18" s="104" t="s">
        <v>20</v>
      </c>
      <c r="H18" s="104"/>
      <c r="I18" s="104"/>
      <c r="J18" s="104" t="s">
        <v>65</v>
      </c>
      <c r="K18" s="104" t="s">
        <v>16</v>
      </c>
      <c r="L18" s="104" t="s">
        <v>59</v>
      </c>
      <c r="M18" s="109" t="str">
        <f t="shared" si="2"/>
        <v/>
      </c>
      <c r="N18" s="109" t="str">
        <f t="shared" si="2"/>
        <v/>
      </c>
      <c r="O18" s="109" t="str">
        <f t="shared" si="2"/>
        <v/>
      </c>
      <c r="P18" s="109" t="str">
        <f t="shared" si="2"/>
        <v>○</v>
      </c>
      <c r="Q18" s="109" t="str">
        <f t="shared" si="2"/>
        <v/>
      </c>
      <c r="R18" s="104" t="str">
        <f t="shared" si="2"/>
        <v/>
      </c>
      <c r="S18" s="104" t="s">
        <v>66</v>
      </c>
      <c r="T18" s="104" t="s">
        <v>24</v>
      </c>
      <c r="U18" s="104" t="s">
        <v>18</v>
      </c>
      <c r="V18" s="104"/>
    </row>
    <row r="19" spans="1:22" ht="13.5">
      <c r="A19" s="102">
        <v>45622.743119942126</v>
      </c>
      <c r="B19" s="103" t="s">
        <v>81</v>
      </c>
      <c r="C19" s="104" t="str">
        <f t="shared" si="0"/>
        <v>○</v>
      </c>
      <c r="D19" s="104" t="str">
        <f t="shared" si="0"/>
        <v>○</v>
      </c>
      <c r="E19" s="104" t="str">
        <f t="shared" si="0"/>
        <v>○</v>
      </c>
      <c r="F19" s="104" t="str">
        <f t="shared" si="0"/>
        <v>×</v>
      </c>
      <c r="G19" s="103" t="s">
        <v>13</v>
      </c>
      <c r="H19" s="103" t="s">
        <v>14</v>
      </c>
      <c r="I19" s="103" t="s">
        <v>82</v>
      </c>
      <c r="J19" s="105"/>
      <c r="K19" s="103" t="s">
        <v>34</v>
      </c>
      <c r="L19" s="105"/>
      <c r="M19" s="110" t="str">
        <f t="shared" si="2"/>
        <v/>
      </c>
      <c r="N19" s="110" t="str">
        <f t="shared" si="2"/>
        <v/>
      </c>
      <c r="O19" s="110" t="str">
        <f t="shared" si="2"/>
        <v/>
      </c>
      <c r="P19" s="110" t="str">
        <f t="shared" si="2"/>
        <v/>
      </c>
      <c r="Q19" s="110" t="str">
        <f t="shared" si="2"/>
        <v/>
      </c>
      <c r="R19" s="105" t="str">
        <f t="shared" si="2"/>
        <v/>
      </c>
      <c r="S19" s="105"/>
      <c r="T19" s="103" t="s">
        <v>35</v>
      </c>
      <c r="U19" s="103" t="s">
        <v>18</v>
      </c>
      <c r="V19" s="103" t="s">
        <v>83</v>
      </c>
    </row>
    <row r="20" spans="1:22" ht="13.5">
      <c r="A20" s="102">
        <v>45624.723734687504</v>
      </c>
      <c r="B20" s="103" t="s">
        <v>84</v>
      </c>
      <c r="C20" s="104" t="str">
        <f t="shared" si="0"/>
        <v>×</v>
      </c>
      <c r="D20" s="104" t="str">
        <f t="shared" si="0"/>
        <v>×</v>
      </c>
      <c r="E20" s="104" t="str">
        <f t="shared" si="0"/>
        <v>○</v>
      </c>
      <c r="F20" s="104" t="str">
        <f t="shared" si="0"/>
        <v>×</v>
      </c>
      <c r="G20" s="103" t="s">
        <v>13</v>
      </c>
      <c r="H20" s="103" t="s">
        <v>27</v>
      </c>
      <c r="I20" s="103" t="s">
        <v>85</v>
      </c>
      <c r="J20" s="105"/>
      <c r="K20" s="103" t="s">
        <v>16</v>
      </c>
      <c r="L20" s="103" t="s">
        <v>86</v>
      </c>
      <c r="M20" s="108" t="str">
        <f t="shared" si="2"/>
        <v/>
      </c>
      <c r="N20" s="108" t="str">
        <f t="shared" si="2"/>
        <v/>
      </c>
      <c r="O20" s="108" t="str">
        <f t="shared" si="2"/>
        <v/>
      </c>
      <c r="P20" s="108" t="str">
        <f t="shared" si="2"/>
        <v/>
      </c>
      <c r="Q20" s="108" t="str">
        <f t="shared" si="2"/>
        <v/>
      </c>
      <c r="R20" s="103" t="str">
        <f t="shared" si="2"/>
        <v/>
      </c>
      <c r="S20" s="105"/>
      <c r="T20" s="103" t="s">
        <v>35</v>
      </c>
      <c r="U20" s="103" t="s">
        <v>18</v>
      </c>
      <c r="V20" s="105"/>
    </row>
    <row r="21" spans="1:22" ht="13.5">
      <c r="A21" s="102">
        <v>45624.765950624998</v>
      </c>
      <c r="B21" s="103" t="s">
        <v>90</v>
      </c>
      <c r="C21" s="104" t="str">
        <f t="shared" si="0"/>
        <v>×</v>
      </c>
      <c r="D21" s="104" t="str">
        <f t="shared" si="0"/>
        <v>×</v>
      </c>
      <c r="E21" s="104" t="str">
        <f t="shared" si="0"/>
        <v>○</v>
      </c>
      <c r="F21" s="104" t="str">
        <f t="shared" si="0"/>
        <v>×</v>
      </c>
      <c r="G21" s="103" t="s">
        <v>13</v>
      </c>
      <c r="H21" s="103" t="s">
        <v>32</v>
      </c>
      <c r="I21" s="103" t="s">
        <v>91</v>
      </c>
      <c r="J21" s="105"/>
      <c r="K21" s="103" t="s">
        <v>16</v>
      </c>
      <c r="L21" s="103" t="s">
        <v>68</v>
      </c>
      <c r="M21" s="108" t="str">
        <f t="shared" si="2"/>
        <v/>
      </c>
      <c r="N21" s="108" t="str">
        <f t="shared" si="2"/>
        <v/>
      </c>
      <c r="O21" s="108" t="str">
        <f t="shared" si="2"/>
        <v/>
      </c>
      <c r="P21" s="108" t="str">
        <f t="shared" si="2"/>
        <v/>
      </c>
      <c r="Q21" s="108" t="str">
        <f t="shared" si="2"/>
        <v>○</v>
      </c>
      <c r="R21" s="103" t="str">
        <f t="shared" si="2"/>
        <v/>
      </c>
      <c r="S21" s="103" t="s">
        <v>92</v>
      </c>
      <c r="T21" s="103" t="s">
        <v>35</v>
      </c>
      <c r="U21" s="103" t="s">
        <v>18</v>
      </c>
      <c r="V21" s="105"/>
    </row>
    <row r="22" spans="1:22" ht="13.5">
      <c r="A22" s="102">
        <v>45624.774817476849</v>
      </c>
      <c r="B22" s="103" t="s">
        <v>97</v>
      </c>
      <c r="C22" s="104" t="str">
        <f t="shared" ref="C22:F41" si="3">IF(ISERROR(FIND(C$1,$B22)),"×","○")</f>
        <v>○</v>
      </c>
      <c r="D22" s="104" t="str">
        <f t="shared" si="3"/>
        <v>○</v>
      </c>
      <c r="E22" s="104" t="str">
        <f t="shared" si="3"/>
        <v>○</v>
      </c>
      <c r="F22" s="104" t="str">
        <f t="shared" si="3"/>
        <v>×</v>
      </c>
      <c r="G22" s="103" t="s">
        <v>13</v>
      </c>
      <c r="H22" s="103" t="s">
        <v>32</v>
      </c>
      <c r="I22" s="103" t="s">
        <v>98</v>
      </c>
      <c r="J22" s="105"/>
      <c r="K22" s="103" t="s">
        <v>34</v>
      </c>
      <c r="L22" s="105"/>
      <c r="M22" s="110" t="str">
        <f t="shared" ref="M22:R31" si="4">IF(ISERROR(SEARCH(M$1,$L22)),"","○")</f>
        <v/>
      </c>
      <c r="N22" s="110" t="str">
        <f t="shared" si="4"/>
        <v/>
      </c>
      <c r="O22" s="110" t="str">
        <f t="shared" si="4"/>
        <v/>
      </c>
      <c r="P22" s="110" t="str">
        <f t="shared" si="4"/>
        <v/>
      </c>
      <c r="Q22" s="110" t="str">
        <f t="shared" si="4"/>
        <v/>
      </c>
      <c r="R22" s="105" t="str">
        <f t="shared" si="4"/>
        <v/>
      </c>
      <c r="S22" s="105"/>
      <c r="T22" s="103" t="s">
        <v>24</v>
      </c>
      <c r="U22" s="103" t="s">
        <v>18</v>
      </c>
      <c r="V22" s="105"/>
    </row>
    <row r="23" spans="1:22" ht="13.5">
      <c r="A23" s="102">
        <v>45624.828605960647</v>
      </c>
      <c r="B23" s="103" t="s">
        <v>105</v>
      </c>
      <c r="C23" s="104" t="str">
        <f t="shared" si="3"/>
        <v>×</v>
      </c>
      <c r="D23" s="104" t="str">
        <f t="shared" si="3"/>
        <v>×</v>
      </c>
      <c r="E23" s="104" t="str">
        <f t="shared" si="3"/>
        <v>○</v>
      </c>
      <c r="F23" s="104" t="str">
        <f t="shared" si="3"/>
        <v>×</v>
      </c>
      <c r="G23" s="103" t="s">
        <v>20</v>
      </c>
      <c r="H23" s="105"/>
      <c r="I23" s="105"/>
      <c r="J23" s="103" t="s">
        <v>58</v>
      </c>
      <c r="K23" s="103" t="s">
        <v>16</v>
      </c>
      <c r="L23" s="103" t="s">
        <v>39</v>
      </c>
      <c r="M23" s="108" t="str">
        <f t="shared" si="4"/>
        <v/>
      </c>
      <c r="N23" s="108" t="str">
        <f t="shared" si="4"/>
        <v>○</v>
      </c>
      <c r="O23" s="108" t="str">
        <f t="shared" si="4"/>
        <v/>
      </c>
      <c r="P23" s="108" t="str">
        <f t="shared" si="4"/>
        <v/>
      </c>
      <c r="Q23" s="108" t="str">
        <f t="shared" si="4"/>
        <v/>
      </c>
      <c r="R23" s="103" t="str">
        <f t="shared" si="4"/>
        <v/>
      </c>
      <c r="S23" s="105"/>
      <c r="T23" s="103" t="s">
        <v>30</v>
      </c>
      <c r="U23" s="103" t="s">
        <v>18</v>
      </c>
      <c r="V23" s="105"/>
    </row>
    <row r="24" spans="1:22" ht="13.5">
      <c r="A24" s="102">
        <v>45624.863063333338</v>
      </c>
      <c r="B24" s="103" t="s">
        <v>117</v>
      </c>
      <c r="C24" s="104" t="str">
        <f t="shared" si="3"/>
        <v>×</v>
      </c>
      <c r="D24" s="104" t="str">
        <f t="shared" si="3"/>
        <v>×</v>
      </c>
      <c r="E24" s="104" t="str">
        <f t="shared" si="3"/>
        <v>○</v>
      </c>
      <c r="F24" s="104" t="str">
        <f t="shared" si="3"/>
        <v>○</v>
      </c>
      <c r="G24" s="103" t="s">
        <v>20</v>
      </c>
      <c r="H24" s="105"/>
      <c r="I24" s="105"/>
      <c r="J24" s="103" t="s">
        <v>118</v>
      </c>
      <c r="K24" s="103" t="s">
        <v>16</v>
      </c>
      <c r="L24" s="103" t="s">
        <v>59</v>
      </c>
      <c r="M24" s="108" t="str">
        <f t="shared" si="4"/>
        <v/>
      </c>
      <c r="N24" s="108" t="str">
        <f t="shared" si="4"/>
        <v/>
      </c>
      <c r="O24" s="108" t="str">
        <f t="shared" si="4"/>
        <v/>
      </c>
      <c r="P24" s="108" t="str">
        <f t="shared" si="4"/>
        <v>○</v>
      </c>
      <c r="Q24" s="108" t="str">
        <f t="shared" si="4"/>
        <v/>
      </c>
      <c r="R24" s="103" t="str">
        <f t="shared" si="4"/>
        <v/>
      </c>
      <c r="S24" s="103" t="s">
        <v>119</v>
      </c>
      <c r="T24" s="103" t="s">
        <v>30</v>
      </c>
      <c r="U24" s="103" t="s">
        <v>18</v>
      </c>
      <c r="V24" s="103" t="s">
        <v>120</v>
      </c>
    </row>
    <row r="25" spans="1:22" ht="13.5">
      <c r="A25" s="102">
        <v>45625.004347430557</v>
      </c>
      <c r="B25" s="103" t="s">
        <v>90</v>
      </c>
      <c r="C25" s="104" t="str">
        <f t="shared" si="3"/>
        <v>×</v>
      </c>
      <c r="D25" s="104" t="str">
        <f t="shared" si="3"/>
        <v>×</v>
      </c>
      <c r="E25" s="104" t="str">
        <f t="shared" si="3"/>
        <v>○</v>
      </c>
      <c r="F25" s="104" t="str">
        <f t="shared" si="3"/>
        <v>×</v>
      </c>
      <c r="G25" s="103" t="s">
        <v>20</v>
      </c>
      <c r="H25" s="105"/>
      <c r="I25" s="105"/>
      <c r="J25" s="103" t="s">
        <v>58</v>
      </c>
      <c r="K25" s="103" t="s">
        <v>16</v>
      </c>
      <c r="L25" s="103" t="s">
        <v>107</v>
      </c>
      <c r="M25" s="108" t="str">
        <f t="shared" si="4"/>
        <v/>
      </c>
      <c r="N25" s="108" t="str">
        <f t="shared" si="4"/>
        <v/>
      </c>
      <c r="O25" s="108" t="str">
        <f t="shared" si="4"/>
        <v>○</v>
      </c>
      <c r="P25" s="108" t="str">
        <f t="shared" si="4"/>
        <v/>
      </c>
      <c r="Q25" s="108" t="str">
        <f t="shared" si="4"/>
        <v/>
      </c>
      <c r="R25" s="103" t="str">
        <f t="shared" si="4"/>
        <v/>
      </c>
      <c r="S25" s="105"/>
      <c r="T25" s="103" t="s">
        <v>61</v>
      </c>
      <c r="U25" s="103" t="s">
        <v>18</v>
      </c>
      <c r="V25" s="105"/>
    </row>
    <row r="26" spans="1:22" ht="13.5">
      <c r="A26" s="102">
        <v>45625.017579733802</v>
      </c>
      <c r="B26" s="103" t="s">
        <v>76</v>
      </c>
      <c r="C26" s="104" t="str">
        <f t="shared" si="3"/>
        <v>×</v>
      </c>
      <c r="D26" s="104" t="str">
        <f t="shared" si="3"/>
        <v>○</v>
      </c>
      <c r="E26" s="104" t="str">
        <f t="shared" si="3"/>
        <v>○</v>
      </c>
      <c r="F26" s="104" t="str">
        <f t="shared" si="3"/>
        <v>×</v>
      </c>
      <c r="G26" s="103" t="s">
        <v>13</v>
      </c>
      <c r="H26" s="103" t="s">
        <v>27</v>
      </c>
      <c r="I26" s="103" t="s">
        <v>129</v>
      </c>
      <c r="J26" s="105"/>
      <c r="K26" s="103" t="s">
        <v>34</v>
      </c>
      <c r="L26" s="105"/>
      <c r="M26" s="110" t="str">
        <f t="shared" si="4"/>
        <v/>
      </c>
      <c r="N26" s="110" t="str">
        <f t="shared" si="4"/>
        <v/>
      </c>
      <c r="O26" s="110" t="str">
        <f t="shared" si="4"/>
        <v/>
      </c>
      <c r="P26" s="110" t="str">
        <f t="shared" si="4"/>
        <v/>
      </c>
      <c r="Q26" s="110" t="str">
        <f t="shared" si="4"/>
        <v/>
      </c>
      <c r="R26" s="105" t="str">
        <f t="shared" si="4"/>
        <v/>
      </c>
      <c r="S26" s="105"/>
      <c r="T26" s="103" t="s">
        <v>35</v>
      </c>
      <c r="U26" s="103" t="s">
        <v>18</v>
      </c>
      <c r="V26" s="103" t="s">
        <v>130</v>
      </c>
    </row>
    <row r="27" spans="1:22" ht="13.5">
      <c r="A27" s="102">
        <v>45625.341293437501</v>
      </c>
      <c r="B27" s="103" t="s">
        <v>140</v>
      </c>
      <c r="C27" s="104" t="str">
        <f t="shared" si="3"/>
        <v>×</v>
      </c>
      <c r="D27" s="104" t="str">
        <f t="shared" si="3"/>
        <v>○</v>
      </c>
      <c r="E27" s="104" t="str">
        <f t="shared" si="3"/>
        <v>○</v>
      </c>
      <c r="F27" s="104" t="str">
        <f t="shared" si="3"/>
        <v>×</v>
      </c>
      <c r="G27" s="103" t="s">
        <v>13</v>
      </c>
      <c r="H27" s="103" t="s">
        <v>77</v>
      </c>
      <c r="I27" s="103" t="s">
        <v>141</v>
      </c>
      <c r="J27" s="105"/>
      <c r="K27" s="103" t="s">
        <v>34</v>
      </c>
      <c r="L27" s="105"/>
      <c r="M27" s="110" t="str">
        <f t="shared" si="4"/>
        <v/>
      </c>
      <c r="N27" s="110" t="str">
        <f t="shared" si="4"/>
        <v/>
      </c>
      <c r="O27" s="110" t="str">
        <f t="shared" si="4"/>
        <v/>
      </c>
      <c r="P27" s="110" t="str">
        <f t="shared" si="4"/>
        <v/>
      </c>
      <c r="Q27" s="110" t="str">
        <f t="shared" si="4"/>
        <v/>
      </c>
      <c r="R27" s="105" t="str">
        <f t="shared" si="4"/>
        <v/>
      </c>
      <c r="S27" s="105"/>
      <c r="T27" s="103" t="s">
        <v>30</v>
      </c>
      <c r="U27" s="103" t="s">
        <v>18</v>
      </c>
      <c r="V27" s="103" t="s">
        <v>54</v>
      </c>
    </row>
    <row r="28" spans="1:22" ht="13.5">
      <c r="A28" s="102">
        <v>45625.389599456015</v>
      </c>
      <c r="B28" s="103" t="s">
        <v>93</v>
      </c>
      <c r="C28" s="104" t="str">
        <f t="shared" si="3"/>
        <v>×</v>
      </c>
      <c r="D28" s="104" t="str">
        <f t="shared" si="3"/>
        <v>×</v>
      </c>
      <c r="E28" s="104" t="str">
        <f t="shared" si="3"/>
        <v>○</v>
      </c>
      <c r="F28" s="104" t="str">
        <f t="shared" si="3"/>
        <v>×</v>
      </c>
      <c r="G28" s="103" t="s">
        <v>20</v>
      </c>
      <c r="H28" s="105"/>
      <c r="I28" s="105"/>
      <c r="J28" s="103" t="s">
        <v>152</v>
      </c>
      <c r="K28" s="103" t="s">
        <v>16</v>
      </c>
      <c r="L28" s="103" t="s">
        <v>107</v>
      </c>
      <c r="M28" s="108" t="str">
        <f t="shared" si="4"/>
        <v/>
      </c>
      <c r="N28" s="108" t="str">
        <f t="shared" si="4"/>
        <v/>
      </c>
      <c r="O28" s="108" t="str">
        <f t="shared" si="4"/>
        <v>○</v>
      </c>
      <c r="P28" s="108" t="str">
        <f t="shared" si="4"/>
        <v/>
      </c>
      <c r="Q28" s="108" t="str">
        <f t="shared" si="4"/>
        <v/>
      </c>
      <c r="R28" s="103" t="str">
        <f t="shared" si="4"/>
        <v/>
      </c>
      <c r="S28" s="105"/>
      <c r="T28" s="103" t="s">
        <v>153</v>
      </c>
      <c r="U28" s="103" t="s">
        <v>18</v>
      </c>
      <c r="V28" s="105"/>
    </row>
    <row r="29" spans="1:22" ht="13.5">
      <c r="A29" s="102">
        <v>45625.557153298607</v>
      </c>
      <c r="B29" s="103" t="s">
        <v>105</v>
      </c>
      <c r="C29" s="104" t="str">
        <f t="shared" si="3"/>
        <v>×</v>
      </c>
      <c r="D29" s="104" t="str">
        <f t="shared" si="3"/>
        <v>×</v>
      </c>
      <c r="E29" s="104" t="str">
        <f t="shared" si="3"/>
        <v>○</v>
      </c>
      <c r="F29" s="104" t="str">
        <f t="shared" si="3"/>
        <v>×</v>
      </c>
      <c r="G29" s="103" t="s">
        <v>20</v>
      </c>
      <c r="H29" s="105"/>
      <c r="I29" s="105"/>
      <c r="J29" s="103" t="s">
        <v>58</v>
      </c>
      <c r="K29" s="103" t="s">
        <v>16</v>
      </c>
      <c r="L29" s="103" t="s">
        <v>68</v>
      </c>
      <c r="M29" s="108" t="str">
        <f t="shared" si="4"/>
        <v/>
      </c>
      <c r="N29" s="108" t="str">
        <f t="shared" si="4"/>
        <v/>
      </c>
      <c r="O29" s="108" t="str">
        <f t="shared" si="4"/>
        <v/>
      </c>
      <c r="P29" s="108" t="str">
        <f t="shared" si="4"/>
        <v/>
      </c>
      <c r="Q29" s="108" t="str">
        <f t="shared" si="4"/>
        <v>○</v>
      </c>
      <c r="R29" s="103" t="str">
        <f t="shared" si="4"/>
        <v/>
      </c>
      <c r="S29" s="103" t="s">
        <v>154</v>
      </c>
      <c r="T29" s="103" t="s">
        <v>155</v>
      </c>
      <c r="U29" s="103" t="s">
        <v>18</v>
      </c>
      <c r="V29" s="103" t="s">
        <v>156</v>
      </c>
    </row>
    <row r="30" spans="1:22" ht="13.5">
      <c r="A30" s="102">
        <v>45625.565390497686</v>
      </c>
      <c r="B30" s="103" t="s">
        <v>90</v>
      </c>
      <c r="C30" s="104" t="str">
        <f t="shared" si="3"/>
        <v>×</v>
      </c>
      <c r="D30" s="104" t="str">
        <f t="shared" si="3"/>
        <v>×</v>
      </c>
      <c r="E30" s="104" t="str">
        <f t="shared" si="3"/>
        <v>○</v>
      </c>
      <c r="F30" s="104" t="str">
        <f t="shared" si="3"/>
        <v>×</v>
      </c>
      <c r="G30" s="103" t="s">
        <v>13</v>
      </c>
      <c r="H30" s="103" t="s">
        <v>77</v>
      </c>
      <c r="I30" s="103" t="s">
        <v>157</v>
      </c>
      <c r="J30" s="105"/>
      <c r="K30" s="103" t="s">
        <v>16</v>
      </c>
      <c r="L30" s="103" t="s">
        <v>137</v>
      </c>
      <c r="M30" s="108" t="str">
        <f t="shared" si="4"/>
        <v/>
      </c>
      <c r="N30" s="108" t="str">
        <f t="shared" si="4"/>
        <v/>
      </c>
      <c r="O30" s="108" t="str">
        <f t="shared" si="4"/>
        <v/>
      </c>
      <c r="P30" s="108" t="str">
        <f t="shared" si="4"/>
        <v/>
      </c>
      <c r="Q30" s="108" t="str">
        <f t="shared" si="4"/>
        <v/>
      </c>
      <c r="R30" s="103" t="str">
        <f t="shared" si="4"/>
        <v/>
      </c>
      <c r="S30" s="105"/>
      <c r="T30" s="103" t="s">
        <v>35</v>
      </c>
      <c r="U30" s="103" t="s">
        <v>18</v>
      </c>
      <c r="V30" s="103" t="s">
        <v>158</v>
      </c>
    </row>
    <row r="31" spans="1:22" ht="13.5">
      <c r="A31" s="102">
        <v>45625.629668807873</v>
      </c>
      <c r="B31" s="103" t="s">
        <v>64</v>
      </c>
      <c r="C31" s="104" t="str">
        <f t="shared" si="3"/>
        <v>○</v>
      </c>
      <c r="D31" s="104" t="str">
        <f t="shared" si="3"/>
        <v>○</v>
      </c>
      <c r="E31" s="104" t="str">
        <f t="shared" si="3"/>
        <v>×</v>
      </c>
      <c r="F31" s="104" t="str">
        <f t="shared" si="3"/>
        <v>×</v>
      </c>
      <c r="G31" s="103" t="s">
        <v>13</v>
      </c>
      <c r="H31" s="103" t="s">
        <v>32</v>
      </c>
      <c r="I31" s="103" t="s">
        <v>159</v>
      </c>
      <c r="J31" s="105"/>
      <c r="K31" s="103" t="s">
        <v>16</v>
      </c>
      <c r="L31" s="103" t="s">
        <v>160</v>
      </c>
      <c r="M31" s="108" t="str">
        <f t="shared" si="4"/>
        <v/>
      </c>
      <c r="N31" s="108" t="str">
        <f t="shared" si="4"/>
        <v/>
      </c>
      <c r="O31" s="108" t="str">
        <f t="shared" si="4"/>
        <v/>
      </c>
      <c r="P31" s="108" t="str">
        <f t="shared" si="4"/>
        <v/>
      </c>
      <c r="Q31" s="108" t="str">
        <f t="shared" si="4"/>
        <v/>
      </c>
      <c r="R31" s="103" t="str">
        <f t="shared" si="4"/>
        <v/>
      </c>
      <c r="S31" s="105"/>
      <c r="T31" s="103" t="s">
        <v>61</v>
      </c>
      <c r="U31" s="103" t="s">
        <v>18</v>
      </c>
      <c r="V31" s="103" t="s">
        <v>161</v>
      </c>
    </row>
    <row r="32" spans="1:22" ht="13.5">
      <c r="A32" s="102">
        <v>45625.63656619213</v>
      </c>
      <c r="B32" s="103" t="s">
        <v>49</v>
      </c>
      <c r="C32" s="104" t="str">
        <f t="shared" si="3"/>
        <v>×</v>
      </c>
      <c r="D32" s="104" t="str">
        <f t="shared" si="3"/>
        <v>○</v>
      </c>
      <c r="E32" s="104" t="str">
        <f t="shared" si="3"/>
        <v>×</v>
      </c>
      <c r="F32" s="104" t="str">
        <f t="shared" si="3"/>
        <v>×</v>
      </c>
      <c r="G32" s="103" t="s">
        <v>13</v>
      </c>
      <c r="H32" s="103" t="s">
        <v>27</v>
      </c>
      <c r="I32" s="103" t="s">
        <v>162</v>
      </c>
      <c r="J32" s="105"/>
      <c r="K32" s="103" t="s">
        <v>34</v>
      </c>
      <c r="L32" s="105"/>
      <c r="M32" s="110" t="str">
        <f t="shared" ref="M32:R41" si="5">IF(ISERROR(SEARCH(M$1,$L32)),"","○")</f>
        <v/>
      </c>
      <c r="N32" s="110" t="str">
        <f t="shared" si="5"/>
        <v/>
      </c>
      <c r="O32" s="110" t="str">
        <f t="shared" si="5"/>
        <v/>
      </c>
      <c r="P32" s="110" t="str">
        <f t="shared" si="5"/>
        <v/>
      </c>
      <c r="Q32" s="110" t="str">
        <f t="shared" si="5"/>
        <v/>
      </c>
      <c r="R32" s="105" t="str">
        <f t="shared" si="5"/>
        <v/>
      </c>
      <c r="S32" s="105"/>
      <c r="T32" s="103" t="s">
        <v>35</v>
      </c>
      <c r="U32" s="103" t="s">
        <v>18</v>
      </c>
      <c r="V32" s="103" t="s">
        <v>163</v>
      </c>
    </row>
    <row r="33" spans="1:22" ht="13.5">
      <c r="A33" s="102">
        <v>45625.644167824074</v>
      </c>
      <c r="B33" s="103" t="s">
        <v>164</v>
      </c>
      <c r="C33" s="104" t="str">
        <f t="shared" si="3"/>
        <v>×</v>
      </c>
      <c r="D33" s="104" t="str">
        <f t="shared" si="3"/>
        <v>○</v>
      </c>
      <c r="E33" s="104" t="str">
        <f t="shared" si="3"/>
        <v>×</v>
      </c>
      <c r="F33" s="104" t="str">
        <f t="shared" si="3"/>
        <v>×</v>
      </c>
      <c r="G33" s="103" t="s">
        <v>13</v>
      </c>
      <c r="H33" s="103" t="s">
        <v>14</v>
      </c>
      <c r="I33" s="103" t="s">
        <v>165</v>
      </c>
      <c r="J33" s="105"/>
      <c r="K33" s="103" t="s">
        <v>16</v>
      </c>
      <c r="L33" s="103" t="s">
        <v>29</v>
      </c>
      <c r="M33" s="108" t="str">
        <f t="shared" si="5"/>
        <v/>
      </c>
      <c r="N33" s="108" t="str">
        <f t="shared" si="5"/>
        <v/>
      </c>
      <c r="O33" s="108" t="str">
        <f t="shared" si="5"/>
        <v/>
      </c>
      <c r="P33" s="108" t="str">
        <f t="shared" si="5"/>
        <v/>
      </c>
      <c r="Q33" s="108" t="str">
        <f t="shared" si="5"/>
        <v/>
      </c>
      <c r="R33" s="103" t="str">
        <f t="shared" si="5"/>
        <v>○</v>
      </c>
      <c r="S33" s="105"/>
      <c r="T33" s="103" t="s">
        <v>61</v>
      </c>
      <c r="U33" s="103" t="s">
        <v>18</v>
      </c>
      <c r="V33" s="103" t="s">
        <v>166</v>
      </c>
    </row>
    <row r="34" spans="1:22" ht="13.5">
      <c r="A34" s="102">
        <v>45625.644970162037</v>
      </c>
      <c r="B34" s="103" t="s">
        <v>49</v>
      </c>
      <c r="C34" s="104" t="str">
        <f t="shared" si="3"/>
        <v>×</v>
      </c>
      <c r="D34" s="104" t="str">
        <f t="shared" si="3"/>
        <v>○</v>
      </c>
      <c r="E34" s="104" t="str">
        <f t="shared" si="3"/>
        <v>×</v>
      </c>
      <c r="F34" s="104" t="str">
        <f t="shared" si="3"/>
        <v>×</v>
      </c>
      <c r="G34" s="103" t="s">
        <v>13</v>
      </c>
      <c r="H34" s="103" t="s">
        <v>27</v>
      </c>
      <c r="I34" s="103" t="s">
        <v>167</v>
      </c>
      <c r="J34" s="105"/>
      <c r="K34" s="103" t="s">
        <v>16</v>
      </c>
      <c r="L34" s="103" t="s">
        <v>29</v>
      </c>
      <c r="M34" s="108" t="str">
        <f t="shared" si="5"/>
        <v/>
      </c>
      <c r="N34" s="108" t="str">
        <f t="shared" si="5"/>
        <v/>
      </c>
      <c r="O34" s="108" t="str">
        <f t="shared" si="5"/>
        <v/>
      </c>
      <c r="P34" s="108" t="str">
        <f t="shared" si="5"/>
        <v/>
      </c>
      <c r="Q34" s="108" t="str">
        <f t="shared" si="5"/>
        <v/>
      </c>
      <c r="R34" s="103" t="str">
        <f t="shared" si="5"/>
        <v>○</v>
      </c>
      <c r="S34" s="105"/>
      <c r="T34" s="103" t="s">
        <v>61</v>
      </c>
      <c r="U34" s="103" t="s">
        <v>18</v>
      </c>
      <c r="V34" s="103" t="s">
        <v>168</v>
      </c>
    </row>
    <row r="35" spans="1:22" ht="13.5">
      <c r="A35" s="102">
        <v>45625.649721307869</v>
      </c>
      <c r="B35" s="103" t="s">
        <v>105</v>
      </c>
      <c r="C35" s="104" t="str">
        <f t="shared" si="3"/>
        <v>×</v>
      </c>
      <c r="D35" s="104" t="str">
        <f t="shared" si="3"/>
        <v>×</v>
      </c>
      <c r="E35" s="104" t="str">
        <f t="shared" si="3"/>
        <v>○</v>
      </c>
      <c r="F35" s="104" t="str">
        <f t="shared" si="3"/>
        <v>×</v>
      </c>
      <c r="G35" s="103" t="s">
        <v>20</v>
      </c>
      <c r="H35" s="105"/>
      <c r="I35" s="105"/>
      <c r="J35" s="103" t="s">
        <v>58</v>
      </c>
      <c r="K35" s="103" t="s">
        <v>16</v>
      </c>
      <c r="L35" s="103" t="s">
        <v>59</v>
      </c>
      <c r="M35" s="108" t="str">
        <f t="shared" si="5"/>
        <v/>
      </c>
      <c r="N35" s="108" t="str">
        <f t="shared" si="5"/>
        <v/>
      </c>
      <c r="O35" s="108" t="str">
        <f t="shared" si="5"/>
        <v/>
      </c>
      <c r="P35" s="108" t="str">
        <f t="shared" si="5"/>
        <v>○</v>
      </c>
      <c r="Q35" s="108" t="str">
        <f t="shared" si="5"/>
        <v/>
      </c>
      <c r="R35" s="103" t="str">
        <f t="shared" si="5"/>
        <v/>
      </c>
      <c r="S35" s="103" t="s">
        <v>173</v>
      </c>
      <c r="T35" s="103" t="s">
        <v>174</v>
      </c>
      <c r="U35" s="103" t="s">
        <v>18</v>
      </c>
      <c r="V35" s="105"/>
    </row>
    <row r="36" spans="1:22" ht="13.5">
      <c r="A36" s="102">
        <v>45625.650627094903</v>
      </c>
      <c r="B36" s="103" t="s">
        <v>64</v>
      </c>
      <c r="C36" s="104" t="str">
        <f t="shared" si="3"/>
        <v>○</v>
      </c>
      <c r="D36" s="104" t="str">
        <f t="shared" si="3"/>
        <v>○</v>
      </c>
      <c r="E36" s="104" t="str">
        <f t="shared" si="3"/>
        <v>×</v>
      </c>
      <c r="F36" s="104" t="str">
        <f t="shared" si="3"/>
        <v>×</v>
      </c>
      <c r="G36" s="103" t="s">
        <v>13</v>
      </c>
      <c r="H36" s="103" t="s">
        <v>27</v>
      </c>
      <c r="I36" s="103" t="s">
        <v>175</v>
      </c>
      <c r="J36" s="105"/>
      <c r="K36" s="103" t="s">
        <v>34</v>
      </c>
      <c r="L36" s="105"/>
      <c r="M36" s="110" t="str">
        <f t="shared" si="5"/>
        <v/>
      </c>
      <c r="N36" s="110" t="str">
        <f t="shared" si="5"/>
        <v/>
      </c>
      <c r="O36" s="110" t="str">
        <f t="shared" si="5"/>
        <v/>
      </c>
      <c r="P36" s="110" t="str">
        <f t="shared" si="5"/>
        <v/>
      </c>
      <c r="Q36" s="110" t="str">
        <f t="shared" si="5"/>
        <v/>
      </c>
      <c r="R36" s="105" t="str">
        <f t="shared" si="5"/>
        <v/>
      </c>
      <c r="S36" s="105"/>
      <c r="T36" s="103" t="s">
        <v>176</v>
      </c>
      <c r="U36" s="103" t="s">
        <v>18</v>
      </c>
      <c r="V36" s="105"/>
    </row>
    <row r="37" spans="1:22" ht="13.5">
      <c r="A37" s="102">
        <v>45625.6645483912</v>
      </c>
      <c r="B37" s="103" t="s">
        <v>185</v>
      </c>
      <c r="C37" s="104" t="str">
        <f t="shared" si="3"/>
        <v>×</v>
      </c>
      <c r="D37" s="104" t="str">
        <f t="shared" si="3"/>
        <v>○</v>
      </c>
      <c r="E37" s="104" t="str">
        <f t="shared" si="3"/>
        <v>○</v>
      </c>
      <c r="F37" s="104" t="str">
        <f t="shared" si="3"/>
        <v>×</v>
      </c>
      <c r="G37" s="103" t="s">
        <v>20</v>
      </c>
      <c r="H37" s="105"/>
      <c r="I37" s="105"/>
      <c r="J37" s="103" t="s">
        <v>186</v>
      </c>
      <c r="K37" s="103" t="s">
        <v>16</v>
      </c>
      <c r="L37" s="103" t="s">
        <v>68</v>
      </c>
      <c r="M37" s="108" t="str">
        <f t="shared" si="5"/>
        <v/>
      </c>
      <c r="N37" s="108" t="str">
        <f t="shared" si="5"/>
        <v/>
      </c>
      <c r="O37" s="108" t="str">
        <f t="shared" si="5"/>
        <v/>
      </c>
      <c r="P37" s="108" t="str">
        <f t="shared" si="5"/>
        <v/>
      </c>
      <c r="Q37" s="108" t="str">
        <f t="shared" si="5"/>
        <v>○</v>
      </c>
      <c r="R37" s="103" t="str">
        <f t="shared" si="5"/>
        <v/>
      </c>
      <c r="S37" s="103" t="s">
        <v>187</v>
      </c>
      <c r="T37" s="103" t="s">
        <v>30</v>
      </c>
      <c r="U37" s="103" t="s">
        <v>18</v>
      </c>
      <c r="V37" s="105"/>
    </row>
    <row r="38" spans="1:22" ht="13.5">
      <c r="A38" s="102">
        <v>45625.692938206019</v>
      </c>
      <c r="B38" s="103" t="s">
        <v>199</v>
      </c>
      <c r="C38" s="104" t="str">
        <f t="shared" si="3"/>
        <v>×</v>
      </c>
      <c r="D38" s="104" t="str">
        <f t="shared" si="3"/>
        <v>○</v>
      </c>
      <c r="E38" s="104" t="str">
        <f t="shared" si="3"/>
        <v>×</v>
      </c>
      <c r="F38" s="104" t="str">
        <f t="shared" si="3"/>
        <v>×</v>
      </c>
      <c r="G38" s="103" t="s">
        <v>20</v>
      </c>
      <c r="H38" s="105"/>
      <c r="I38" s="105"/>
      <c r="J38" s="103" t="s">
        <v>21</v>
      </c>
      <c r="K38" s="103" t="s">
        <v>16</v>
      </c>
      <c r="L38" s="103" t="s">
        <v>68</v>
      </c>
      <c r="M38" s="108" t="str">
        <f t="shared" si="5"/>
        <v/>
      </c>
      <c r="N38" s="108" t="str">
        <f t="shared" si="5"/>
        <v/>
      </c>
      <c r="O38" s="108" t="str">
        <f t="shared" si="5"/>
        <v/>
      </c>
      <c r="P38" s="108" t="str">
        <f t="shared" si="5"/>
        <v/>
      </c>
      <c r="Q38" s="108" t="str">
        <f t="shared" si="5"/>
        <v>○</v>
      </c>
      <c r="R38" s="103" t="str">
        <f t="shared" si="5"/>
        <v/>
      </c>
      <c r="S38" s="103" t="s">
        <v>200</v>
      </c>
      <c r="T38" s="103" t="s">
        <v>30</v>
      </c>
      <c r="U38" s="103" t="s">
        <v>18</v>
      </c>
      <c r="V38" s="103" t="s">
        <v>201</v>
      </c>
    </row>
    <row r="39" spans="1:22" ht="13.5">
      <c r="A39" s="102">
        <v>45625.709224745369</v>
      </c>
      <c r="B39" s="103" t="s">
        <v>209</v>
      </c>
      <c r="C39" s="104" t="str">
        <f t="shared" si="3"/>
        <v>○</v>
      </c>
      <c r="D39" s="104" t="str">
        <f t="shared" si="3"/>
        <v>○</v>
      </c>
      <c r="E39" s="104" t="str">
        <f t="shared" si="3"/>
        <v>×</v>
      </c>
      <c r="F39" s="104" t="str">
        <f t="shared" si="3"/>
        <v>×</v>
      </c>
      <c r="G39" s="103" t="s">
        <v>20</v>
      </c>
      <c r="H39" s="105"/>
      <c r="I39" s="105"/>
      <c r="J39" s="103" t="s">
        <v>210</v>
      </c>
      <c r="K39" s="103" t="s">
        <v>16</v>
      </c>
      <c r="L39" s="103" t="s">
        <v>211</v>
      </c>
      <c r="M39" s="108" t="str">
        <f t="shared" si="5"/>
        <v/>
      </c>
      <c r="N39" s="108" t="str">
        <f t="shared" si="5"/>
        <v/>
      </c>
      <c r="O39" s="108" t="str">
        <f t="shared" si="5"/>
        <v/>
      </c>
      <c r="P39" s="108" t="str">
        <f t="shared" si="5"/>
        <v/>
      </c>
      <c r="Q39" s="108" t="str">
        <f t="shared" si="5"/>
        <v/>
      </c>
      <c r="R39" s="103" t="str">
        <f t="shared" si="5"/>
        <v/>
      </c>
      <c r="S39" s="105"/>
      <c r="T39" s="103" t="s">
        <v>212</v>
      </c>
      <c r="U39" s="103" t="s">
        <v>18</v>
      </c>
      <c r="V39" s="105"/>
    </row>
    <row r="40" spans="1:22" ht="13.5">
      <c r="A40" s="102">
        <v>45625.711998645835</v>
      </c>
      <c r="B40" s="103" t="s">
        <v>213</v>
      </c>
      <c r="C40" s="104" t="str">
        <f t="shared" si="3"/>
        <v>×</v>
      </c>
      <c r="D40" s="104" t="str">
        <f t="shared" si="3"/>
        <v>○</v>
      </c>
      <c r="E40" s="104" t="str">
        <f t="shared" si="3"/>
        <v>○</v>
      </c>
      <c r="F40" s="104" t="str">
        <f t="shared" si="3"/>
        <v>×</v>
      </c>
      <c r="G40" s="103" t="s">
        <v>20</v>
      </c>
      <c r="H40" s="105"/>
      <c r="I40" s="105"/>
      <c r="J40" s="103" t="s">
        <v>58</v>
      </c>
      <c r="K40" s="103" t="s">
        <v>16</v>
      </c>
      <c r="L40" s="103" t="s">
        <v>59</v>
      </c>
      <c r="M40" s="108" t="str">
        <f t="shared" si="5"/>
        <v/>
      </c>
      <c r="N40" s="108" t="str">
        <f t="shared" si="5"/>
        <v/>
      </c>
      <c r="O40" s="108" t="str">
        <f t="shared" si="5"/>
        <v/>
      </c>
      <c r="P40" s="108" t="str">
        <f t="shared" si="5"/>
        <v>○</v>
      </c>
      <c r="Q40" s="108" t="str">
        <f t="shared" si="5"/>
        <v/>
      </c>
      <c r="R40" s="103" t="str">
        <f t="shared" si="5"/>
        <v/>
      </c>
      <c r="S40" s="103" t="s">
        <v>214</v>
      </c>
      <c r="T40" s="103" t="s">
        <v>30</v>
      </c>
      <c r="U40" s="103" t="s">
        <v>18</v>
      </c>
      <c r="V40" s="105"/>
    </row>
    <row r="41" spans="1:22" ht="13.5">
      <c r="A41" s="102">
        <v>45625.72795836805</v>
      </c>
      <c r="B41" s="103" t="s">
        <v>227</v>
      </c>
      <c r="C41" s="104" t="str">
        <f t="shared" si="3"/>
        <v>×</v>
      </c>
      <c r="D41" s="104" t="str">
        <f t="shared" si="3"/>
        <v>○</v>
      </c>
      <c r="E41" s="104" t="str">
        <f t="shared" si="3"/>
        <v>×</v>
      </c>
      <c r="F41" s="104" t="str">
        <f t="shared" si="3"/>
        <v>×</v>
      </c>
      <c r="G41" s="103" t="s">
        <v>13</v>
      </c>
      <c r="H41" s="103" t="s">
        <v>27</v>
      </c>
      <c r="I41" s="103" t="s">
        <v>228</v>
      </c>
      <c r="J41" s="105"/>
      <c r="K41" s="103" t="s">
        <v>34</v>
      </c>
      <c r="L41" s="105"/>
      <c r="M41" s="110" t="str">
        <f t="shared" si="5"/>
        <v/>
      </c>
      <c r="N41" s="110" t="str">
        <f t="shared" si="5"/>
        <v/>
      </c>
      <c r="O41" s="110" t="str">
        <f t="shared" si="5"/>
        <v/>
      </c>
      <c r="P41" s="110" t="str">
        <f t="shared" si="5"/>
        <v/>
      </c>
      <c r="Q41" s="110" t="str">
        <f t="shared" si="5"/>
        <v/>
      </c>
      <c r="R41" s="105" t="str">
        <f t="shared" si="5"/>
        <v/>
      </c>
      <c r="S41" s="105"/>
      <c r="T41" s="103" t="s">
        <v>229</v>
      </c>
      <c r="U41" s="103" t="s">
        <v>18</v>
      </c>
      <c r="V41" s="105"/>
    </row>
    <row r="42" spans="1:22" ht="13.5">
      <c r="A42" s="102">
        <v>45625.732414409722</v>
      </c>
      <c r="B42" s="103" t="s">
        <v>57</v>
      </c>
      <c r="C42" s="104" t="str">
        <f t="shared" ref="C42:F61" si="6">IF(ISERROR(FIND(C$1,$B42)),"×","○")</f>
        <v>×</v>
      </c>
      <c r="D42" s="104" t="str">
        <f t="shared" si="6"/>
        <v>○</v>
      </c>
      <c r="E42" s="104" t="str">
        <f t="shared" si="6"/>
        <v>×</v>
      </c>
      <c r="F42" s="104" t="str">
        <f t="shared" si="6"/>
        <v>×</v>
      </c>
      <c r="G42" s="103" t="s">
        <v>13</v>
      </c>
      <c r="H42" s="103" t="s">
        <v>27</v>
      </c>
      <c r="I42" s="103" t="s">
        <v>230</v>
      </c>
      <c r="J42" s="105"/>
      <c r="K42" s="103" t="s">
        <v>34</v>
      </c>
      <c r="L42" s="105"/>
      <c r="M42" s="110" t="str">
        <f t="shared" ref="M42:R51" si="7">IF(ISERROR(SEARCH(M$1,$L42)),"","○")</f>
        <v/>
      </c>
      <c r="N42" s="110" t="str">
        <f t="shared" si="7"/>
        <v/>
      </c>
      <c r="O42" s="110" t="str">
        <f t="shared" si="7"/>
        <v/>
      </c>
      <c r="P42" s="110" t="str">
        <f t="shared" si="7"/>
        <v/>
      </c>
      <c r="Q42" s="110" t="str">
        <f t="shared" si="7"/>
        <v/>
      </c>
      <c r="R42" s="105" t="str">
        <f t="shared" si="7"/>
        <v/>
      </c>
      <c r="S42" s="105"/>
      <c r="T42" s="103" t="s">
        <v>30</v>
      </c>
      <c r="U42" s="103" t="s">
        <v>18</v>
      </c>
      <c r="V42" s="103" t="s">
        <v>231</v>
      </c>
    </row>
    <row r="43" spans="1:22" ht="13.5">
      <c r="A43" s="102">
        <v>45625.738336388888</v>
      </c>
      <c r="B43" s="103" t="s">
        <v>49</v>
      </c>
      <c r="C43" s="104" t="str">
        <f t="shared" si="6"/>
        <v>×</v>
      </c>
      <c r="D43" s="104" t="str">
        <f t="shared" si="6"/>
        <v>○</v>
      </c>
      <c r="E43" s="104" t="str">
        <f t="shared" si="6"/>
        <v>×</v>
      </c>
      <c r="F43" s="104" t="str">
        <f t="shared" si="6"/>
        <v>×</v>
      </c>
      <c r="G43" s="103" t="s">
        <v>13</v>
      </c>
      <c r="H43" s="103" t="s">
        <v>32</v>
      </c>
      <c r="I43" s="103" t="s">
        <v>234</v>
      </c>
      <c r="J43" s="105"/>
      <c r="K43" s="103" t="s">
        <v>34</v>
      </c>
      <c r="L43" s="105"/>
      <c r="M43" s="110" t="str">
        <f t="shared" si="7"/>
        <v/>
      </c>
      <c r="N43" s="110" t="str">
        <f t="shared" si="7"/>
        <v/>
      </c>
      <c r="O43" s="110" t="str">
        <f t="shared" si="7"/>
        <v/>
      </c>
      <c r="P43" s="110" t="str">
        <f t="shared" si="7"/>
        <v/>
      </c>
      <c r="Q43" s="110" t="str">
        <f t="shared" si="7"/>
        <v/>
      </c>
      <c r="R43" s="105" t="str">
        <f t="shared" si="7"/>
        <v/>
      </c>
      <c r="S43" s="105"/>
      <c r="T43" s="103" t="s">
        <v>24</v>
      </c>
      <c r="U43" s="103" t="s">
        <v>18</v>
      </c>
      <c r="V43" s="105"/>
    </row>
    <row r="44" spans="1:22" ht="13.5">
      <c r="A44" s="102">
        <v>45625.741150752314</v>
      </c>
      <c r="B44" s="103" t="s">
        <v>105</v>
      </c>
      <c r="C44" s="104" t="str">
        <f t="shared" si="6"/>
        <v>×</v>
      </c>
      <c r="D44" s="104" t="str">
        <f t="shared" si="6"/>
        <v>×</v>
      </c>
      <c r="E44" s="104" t="str">
        <f t="shared" si="6"/>
        <v>○</v>
      </c>
      <c r="F44" s="104" t="str">
        <f t="shared" si="6"/>
        <v>×</v>
      </c>
      <c r="G44" s="103" t="s">
        <v>13</v>
      </c>
      <c r="H44" s="103" t="s">
        <v>32</v>
      </c>
      <c r="I44" s="103" t="s">
        <v>235</v>
      </c>
      <c r="J44" s="105"/>
      <c r="K44" s="103" t="s">
        <v>16</v>
      </c>
      <c r="L44" s="103" t="s">
        <v>236</v>
      </c>
      <c r="M44" s="108" t="str">
        <f t="shared" si="7"/>
        <v/>
      </c>
      <c r="N44" s="108" t="str">
        <f t="shared" si="7"/>
        <v/>
      </c>
      <c r="O44" s="108" t="str">
        <f t="shared" si="7"/>
        <v/>
      </c>
      <c r="P44" s="108" t="str">
        <f t="shared" si="7"/>
        <v/>
      </c>
      <c r="Q44" s="108" t="str">
        <f t="shared" si="7"/>
        <v/>
      </c>
      <c r="R44" s="103" t="str">
        <f t="shared" si="7"/>
        <v/>
      </c>
      <c r="S44" s="105"/>
      <c r="T44" s="103" t="s">
        <v>24</v>
      </c>
      <c r="U44" s="103" t="s">
        <v>18</v>
      </c>
      <c r="V44" s="105"/>
    </row>
    <row r="45" spans="1:22" ht="13.5">
      <c r="A45" s="102">
        <v>45625.748959675926</v>
      </c>
      <c r="B45" s="103" t="s">
        <v>181</v>
      </c>
      <c r="C45" s="104" t="str">
        <f t="shared" si="6"/>
        <v>×</v>
      </c>
      <c r="D45" s="104" t="str">
        <f t="shared" si="6"/>
        <v>○</v>
      </c>
      <c r="E45" s="104" t="str">
        <f t="shared" si="6"/>
        <v>×</v>
      </c>
      <c r="F45" s="104" t="str">
        <f t="shared" si="6"/>
        <v>×</v>
      </c>
      <c r="G45" s="103" t="s">
        <v>13</v>
      </c>
      <c r="H45" s="103" t="s">
        <v>27</v>
      </c>
      <c r="I45" s="103" t="s">
        <v>237</v>
      </c>
      <c r="J45" s="105"/>
      <c r="K45" s="103" t="s">
        <v>34</v>
      </c>
      <c r="L45" s="105"/>
      <c r="M45" s="110" t="str">
        <f t="shared" si="7"/>
        <v/>
      </c>
      <c r="N45" s="110" t="str">
        <f t="shared" si="7"/>
        <v/>
      </c>
      <c r="O45" s="110" t="str">
        <f t="shared" si="7"/>
        <v/>
      </c>
      <c r="P45" s="110" t="str">
        <f t="shared" si="7"/>
        <v/>
      </c>
      <c r="Q45" s="110" t="str">
        <f t="shared" si="7"/>
        <v/>
      </c>
      <c r="R45" s="105" t="str">
        <f t="shared" si="7"/>
        <v/>
      </c>
      <c r="S45" s="105"/>
      <c r="T45" s="103" t="s">
        <v>238</v>
      </c>
      <c r="U45" s="103" t="s">
        <v>18</v>
      </c>
      <c r="V45" s="103" t="s">
        <v>79</v>
      </c>
    </row>
    <row r="46" spans="1:22" ht="13.5">
      <c r="A46" s="102">
        <v>45625.758782199075</v>
      </c>
      <c r="B46" s="103" t="s">
        <v>244</v>
      </c>
      <c r="C46" s="104" t="str">
        <f t="shared" si="6"/>
        <v>×</v>
      </c>
      <c r="D46" s="104" t="str">
        <f t="shared" si="6"/>
        <v>○</v>
      </c>
      <c r="E46" s="104" t="str">
        <f t="shared" si="6"/>
        <v>○</v>
      </c>
      <c r="F46" s="104" t="str">
        <f t="shared" si="6"/>
        <v>×</v>
      </c>
      <c r="G46" s="103" t="s">
        <v>13</v>
      </c>
      <c r="H46" s="103" t="s">
        <v>27</v>
      </c>
      <c r="I46" s="103" t="s">
        <v>245</v>
      </c>
      <c r="J46" s="105"/>
      <c r="K46" s="103" t="s">
        <v>34</v>
      </c>
      <c r="L46" s="105"/>
      <c r="M46" s="110" t="str">
        <f t="shared" si="7"/>
        <v/>
      </c>
      <c r="N46" s="110" t="str">
        <f t="shared" si="7"/>
        <v/>
      </c>
      <c r="O46" s="110" t="str">
        <f t="shared" si="7"/>
        <v/>
      </c>
      <c r="P46" s="110" t="str">
        <f t="shared" si="7"/>
        <v/>
      </c>
      <c r="Q46" s="110" t="str">
        <f t="shared" si="7"/>
        <v/>
      </c>
      <c r="R46" s="105" t="str">
        <f t="shared" si="7"/>
        <v/>
      </c>
      <c r="S46" s="105"/>
      <c r="T46" s="103" t="s">
        <v>246</v>
      </c>
      <c r="U46" s="103" t="s">
        <v>18</v>
      </c>
      <c r="V46" s="105"/>
    </row>
    <row r="47" spans="1:22" ht="13.5">
      <c r="A47" s="102">
        <v>45625.772380798611</v>
      </c>
      <c r="B47" s="103" t="s">
        <v>164</v>
      </c>
      <c r="C47" s="104" t="str">
        <f t="shared" si="6"/>
        <v>×</v>
      </c>
      <c r="D47" s="104" t="str">
        <f t="shared" si="6"/>
        <v>○</v>
      </c>
      <c r="E47" s="104" t="str">
        <f t="shared" si="6"/>
        <v>×</v>
      </c>
      <c r="F47" s="104" t="str">
        <f t="shared" si="6"/>
        <v>×</v>
      </c>
      <c r="G47" s="103" t="s">
        <v>20</v>
      </c>
      <c r="H47" s="105"/>
      <c r="I47" s="105"/>
      <c r="J47" s="103" t="s">
        <v>38</v>
      </c>
      <c r="K47" s="103" t="s">
        <v>16</v>
      </c>
      <c r="L47" s="103" t="s">
        <v>68</v>
      </c>
      <c r="M47" s="108" t="str">
        <f t="shared" si="7"/>
        <v/>
      </c>
      <c r="N47" s="108" t="str">
        <f t="shared" si="7"/>
        <v/>
      </c>
      <c r="O47" s="108" t="str">
        <f t="shared" si="7"/>
        <v/>
      </c>
      <c r="P47" s="108" t="str">
        <f t="shared" si="7"/>
        <v/>
      </c>
      <c r="Q47" s="108" t="str">
        <f t="shared" si="7"/>
        <v>○</v>
      </c>
      <c r="R47" s="103" t="str">
        <f t="shared" si="7"/>
        <v/>
      </c>
      <c r="S47" s="105"/>
      <c r="T47" s="103" t="s">
        <v>35</v>
      </c>
      <c r="U47" s="103" t="s">
        <v>18</v>
      </c>
      <c r="V47" s="105"/>
    </row>
    <row r="48" spans="1:22" ht="13.5">
      <c r="A48" s="102">
        <v>45625.774157152773</v>
      </c>
      <c r="B48" s="103" t="s">
        <v>164</v>
      </c>
      <c r="C48" s="104" t="str">
        <f t="shared" si="6"/>
        <v>×</v>
      </c>
      <c r="D48" s="104" t="str">
        <f t="shared" si="6"/>
        <v>○</v>
      </c>
      <c r="E48" s="104" t="str">
        <f t="shared" si="6"/>
        <v>×</v>
      </c>
      <c r="F48" s="104" t="str">
        <f t="shared" si="6"/>
        <v>×</v>
      </c>
      <c r="G48" s="103" t="s">
        <v>20</v>
      </c>
      <c r="H48" s="105"/>
      <c r="I48" s="105"/>
      <c r="J48" s="103" t="s">
        <v>21</v>
      </c>
      <c r="K48" s="103" t="s">
        <v>16</v>
      </c>
      <c r="L48" s="103" t="s">
        <v>39</v>
      </c>
      <c r="M48" s="108" t="str">
        <f t="shared" si="7"/>
        <v/>
      </c>
      <c r="N48" s="108" t="str">
        <f t="shared" si="7"/>
        <v>○</v>
      </c>
      <c r="O48" s="108" t="str">
        <f t="shared" si="7"/>
        <v/>
      </c>
      <c r="P48" s="108" t="str">
        <f t="shared" si="7"/>
        <v/>
      </c>
      <c r="Q48" s="108" t="str">
        <f t="shared" si="7"/>
        <v/>
      </c>
      <c r="R48" s="103" t="str">
        <f t="shared" si="7"/>
        <v/>
      </c>
      <c r="S48" s="105"/>
      <c r="T48" s="103" t="s">
        <v>30</v>
      </c>
      <c r="U48" s="103" t="s">
        <v>18</v>
      </c>
      <c r="V48" s="105"/>
    </row>
    <row r="49" spans="1:22" ht="13.5">
      <c r="A49" s="102">
        <v>45625.777838645838</v>
      </c>
      <c r="B49" s="103" t="s">
        <v>261</v>
      </c>
      <c r="C49" s="104" t="str">
        <f t="shared" si="6"/>
        <v>×</v>
      </c>
      <c r="D49" s="104" t="str">
        <f t="shared" si="6"/>
        <v>○</v>
      </c>
      <c r="E49" s="104" t="str">
        <f t="shared" si="6"/>
        <v>×</v>
      </c>
      <c r="F49" s="104" t="str">
        <f t="shared" si="6"/>
        <v>×</v>
      </c>
      <c r="G49" s="103" t="s">
        <v>13</v>
      </c>
      <c r="H49" s="103" t="s">
        <v>27</v>
      </c>
      <c r="I49" s="103" t="s">
        <v>229</v>
      </c>
      <c r="J49" s="105"/>
      <c r="K49" s="103" t="s">
        <v>16</v>
      </c>
      <c r="L49" s="103" t="s">
        <v>29</v>
      </c>
      <c r="M49" s="108" t="str">
        <f t="shared" si="7"/>
        <v/>
      </c>
      <c r="N49" s="108" t="str">
        <f t="shared" si="7"/>
        <v/>
      </c>
      <c r="O49" s="108" t="str">
        <f t="shared" si="7"/>
        <v/>
      </c>
      <c r="P49" s="108" t="str">
        <f t="shared" si="7"/>
        <v/>
      </c>
      <c r="Q49" s="108" t="str">
        <f t="shared" si="7"/>
        <v/>
      </c>
      <c r="R49" s="103" t="str">
        <f t="shared" si="7"/>
        <v>○</v>
      </c>
      <c r="S49" s="105"/>
      <c r="T49" s="103" t="s">
        <v>35</v>
      </c>
      <c r="U49" s="103" t="s">
        <v>18</v>
      </c>
      <c r="V49" s="103" t="s">
        <v>262</v>
      </c>
    </row>
    <row r="50" spans="1:22" ht="13.5">
      <c r="A50" s="102">
        <v>45625.778873854171</v>
      </c>
      <c r="B50" s="103" t="s">
        <v>76</v>
      </c>
      <c r="C50" s="104" t="str">
        <f t="shared" si="6"/>
        <v>×</v>
      </c>
      <c r="D50" s="104" t="str">
        <f t="shared" si="6"/>
        <v>○</v>
      </c>
      <c r="E50" s="104" t="str">
        <f t="shared" si="6"/>
        <v>○</v>
      </c>
      <c r="F50" s="104" t="str">
        <f t="shared" si="6"/>
        <v>×</v>
      </c>
      <c r="G50" s="103" t="s">
        <v>20</v>
      </c>
      <c r="H50" s="105"/>
      <c r="I50" s="105"/>
      <c r="J50" s="103" t="s">
        <v>21</v>
      </c>
      <c r="K50" s="103" t="s">
        <v>16</v>
      </c>
      <c r="L50" s="103" t="s">
        <v>39</v>
      </c>
      <c r="M50" s="108" t="str">
        <f t="shared" si="7"/>
        <v/>
      </c>
      <c r="N50" s="108" t="str">
        <f t="shared" si="7"/>
        <v>○</v>
      </c>
      <c r="O50" s="108" t="str">
        <f t="shared" si="7"/>
        <v/>
      </c>
      <c r="P50" s="108" t="str">
        <f t="shared" si="7"/>
        <v/>
      </c>
      <c r="Q50" s="108" t="str">
        <f t="shared" si="7"/>
        <v/>
      </c>
      <c r="R50" s="103" t="str">
        <f t="shared" si="7"/>
        <v/>
      </c>
      <c r="S50" s="105"/>
      <c r="T50" s="103" t="s">
        <v>30</v>
      </c>
      <c r="U50" s="103" t="s">
        <v>18</v>
      </c>
      <c r="V50" s="105"/>
    </row>
    <row r="51" spans="1:22" ht="13.5">
      <c r="A51" s="102">
        <v>45625.78144825231</v>
      </c>
      <c r="B51" s="103" t="s">
        <v>264</v>
      </c>
      <c r="C51" s="104" t="str">
        <f t="shared" si="6"/>
        <v>○</v>
      </c>
      <c r="D51" s="104" t="str">
        <f t="shared" si="6"/>
        <v>○</v>
      </c>
      <c r="E51" s="104" t="str">
        <f t="shared" si="6"/>
        <v>×</v>
      </c>
      <c r="F51" s="104" t="str">
        <f t="shared" si="6"/>
        <v>×</v>
      </c>
      <c r="G51" s="103" t="s">
        <v>13</v>
      </c>
      <c r="H51" s="103" t="s">
        <v>77</v>
      </c>
      <c r="I51" s="103" t="s">
        <v>265</v>
      </c>
      <c r="J51" s="105"/>
      <c r="K51" s="103" t="s">
        <v>34</v>
      </c>
      <c r="L51" s="105"/>
      <c r="M51" s="110" t="str">
        <f t="shared" si="7"/>
        <v/>
      </c>
      <c r="N51" s="110" t="str">
        <f t="shared" si="7"/>
        <v/>
      </c>
      <c r="O51" s="110" t="str">
        <f t="shared" si="7"/>
        <v/>
      </c>
      <c r="P51" s="110" t="str">
        <f t="shared" si="7"/>
        <v/>
      </c>
      <c r="Q51" s="110" t="str">
        <f t="shared" si="7"/>
        <v/>
      </c>
      <c r="R51" s="105" t="str">
        <f t="shared" si="7"/>
        <v/>
      </c>
      <c r="S51" s="105"/>
      <c r="T51" s="103" t="s">
        <v>61</v>
      </c>
      <c r="U51" s="103" t="s">
        <v>18</v>
      </c>
      <c r="V51" s="105"/>
    </row>
    <row r="52" spans="1:22" ht="13.5">
      <c r="A52" s="102">
        <v>45625.790284618051</v>
      </c>
      <c r="B52" s="103" t="s">
        <v>105</v>
      </c>
      <c r="C52" s="104" t="str">
        <f t="shared" si="6"/>
        <v>×</v>
      </c>
      <c r="D52" s="104" t="str">
        <f t="shared" si="6"/>
        <v>×</v>
      </c>
      <c r="E52" s="104" t="str">
        <f t="shared" si="6"/>
        <v>○</v>
      </c>
      <c r="F52" s="104" t="str">
        <f t="shared" si="6"/>
        <v>×</v>
      </c>
      <c r="G52" s="103" t="s">
        <v>20</v>
      </c>
      <c r="H52" s="105"/>
      <c r="I52" s="105"/>
      <c r="J52" s="103" t="s">
        <v>21</v>
      </c>
      <c r="K52" s="103" t="s">
        <v>16</v>
      </c>
      <c r="L52" s="103" t="s">
        <v>39</v>
      </c>
      <c r="M52" s="108" t="str">
        <f t="shared" ref="M52:R61" si="8">IF(ISERROR(SEARCH(M$1,$L52)),"","○")</f>
        <v/>
      </c>
      <c r="N52" s="108" t="str">
        <f t="shared" si="8"/>
        <v>○</v>
      </c>
      <c r="O52" s="108" t="str">
        <f t="shared" si="8"/>
        <v/>
      </c>
      <c r="P52" s="108" t="str">
        <f t="shared" si="8"/>
        <v/>
      </c>
      <c r="Q52" s="108" t="str">
        <f t="shared" si="8"/>
        <v/>
      </c>
      <c r="R52" s="103" t="str">
        <f t="shared" si="8"/>
        <v/>
      </c>
      <c r="S52" s="105"/>
      <c r="T52" s="103" t="s">
        <v>30</v>
      </c>
      <c r="U52" s="103" t="s">
        <v>18</v>
      </c>
      <c r="V52" s="105"/>
    </row>
    <row r="53" spans="1:22" ht="13.5">
      <c r="A53" s="102">
        <v>45625.791567812499</v>
      </c>
      <c r="B53" s="103" t="s">
        <v>49</v>
      </c>
      <c r="C53" s="104" t="str">
        <f t="shared" si="6"/>
        <v>×</v>
      </c>
      <c r="D53" s="104" t="str">
        <f t="shared" si="6"/>
        <v>○</v>
      </c>
      <c r="E53" s="104" t="str">
        <f t="shared" si="6"/>
        <v>×</v>
      </c>
      <c r="F53" s="104" t="str">
        <f t="shared" si="6"/>
        <v>×</v>
      </c>
      <c r="G53" s="103" t="s">
        <v>13</v>
      </c>
      <c r="H53" s="103" t="s">
        <v>27</v>
      </c>
      <c r="I53" s="103" t="s">
        <v>280</v>
      </c>
      <c r="J53" s="105"/>
      <c r="K53" s="103" t="s">
        <v>34</v>
      </c>
      <c r="L53" s="105"/>
      <c r="M53" s="110" t="str">
        <f t="shared" si="8"/>
        <v/>
      </c>
      <c r="N53" s="110" t="str">
        <f t="shared" si="8"/>
        <v/>
      </c>
      <c r="O53" s="110" t="str">
        <f t="shared" si="8"/>
        <v/>
      </c>
      <c r="P53" s="110" t="str">
        <f t="shared" si="8"/>
        <v/>
      </c>
      <c r="Q53" s="110" t="str">
        <f t="shared" si="8"/>
        <v/>
      </c>
      <c r="R53" s="105" t="str">
        <f t="shared" si="8"/>
        <v/>
      </c>
      <c r="S53" s="105"/>
      <c r="T53" s="103" t="s">
        <v>30</v>
      </c>
      <c r="U53" s="103" t="s">
        <v>18</v>
      </c>
      <c r="V53" s="103" t="s">
        <v>281</v>
      </c>
    </row>
    <row r="54" spans="1:22" ht="13.5">
      <c r="A54" s="102">
        <v>45625.809808217593</v>
      </c>
      <c r="B54" s="103" t="s">
        <v>199</v>
      </c>
      <c r="C54" s="104" t="str">
        <f t="shared" si="6"/>
        <v>×</v>
      </c>
      <c r="D54" s="104" t="str">
        <f t="shared" si="6"/>
        <v>○</v>
      </c>
      <c r="E54" s="104" t="str">
        <f t="shared" si="6"/>
        <v>×</v>
      </c>
      <c r="F54" s="104" t="str">
        <f t="shared" si="6"/>
        <v>×</v>
      </c>
      <c r="G54" s="103" t="s">
        <v>13</v>
      </c>
      <c r="H54" s="103" t="s">
        <v>27</v>
      </c>
      <c r="I54" s="103" t="s">
        <v>293</v>
      </c>
      <c r="J54" s="105"/>
      <c r="K54" s="103" t="s">
        <v>16</v>
      </c>
      <c r="L54" s="103" t="s">
        <v>29</v>
      </c>
      <c r="M54" s="108" t="str">
        <f t="shared" si="8"/>
        <v/>
      </c>
      <c r="N54" s="108" t="str">
        <f t="shared" si="8"/>
        <v/>
      </c>
      <c r="O54" s="108" t="str">
        <f t="shared" si="8"/>
        <v/>
      </c>
      <c r="P54" s="108" t="str">
        <f t="shared" si="8"/>
        <v/>
      </c>
      <c r="Q54" s="108" t="str">
        <f t="shared" si="8"/>
        <v/>
      </c>
      <c r="R54" s="103" t="str">
        <f t="shared" si="8"/>
        <v>○</v>
      </c>
      <c r="S54" s="105"/>
      <c r="T54" s="103" t="s">
        <v>61</v>
      </c>
      <c r="U54" s="103" t="s">
        <v>18</v>
      </c>
      <c r="V54" s="105"/>
    </row>
    <row r="55" spans="1:22" ht="13.5">
      <c r="A55" s="102">
        <v>45625.813865706019</v>
      </c>
      <c r="B55" s="103" t="s">
        <v>49</v>
      </c>
      <c r="C55" s="104" t="str">
        <f t="shared" si="6"/>
        <v>×</v>
      </c>
      <c r="D55" s="104" t="str">
        <f t="shared" si="6"/>
        <v>○</v>
      </c>
      <c r="E55" s="104" t="str">
        <f t="shared" si="6"/>
        <v>×</v>
      </c>
      <c r="F55" s="104" t="str">
        <f t="shared" si="6"/>
        <v>×</v>
      </c>
      <c r="G55" s="103" t="s">
        <v>13</v>
      </c>
      <c r="H55" s="103" t="s">
        <v>27</v>
      </c>
      <c r="I55" s="103" t="s">
        <v>296</v>
      </c>
      <c r="J55" s="105"/>
      <c r="K55" s="103" t="s">
        <v>34</v>
      </c>
      <c r="L55" s="105"/>
      <c r="M55" s="110" t="str">
        <f t="shared" si="8"/>
        <v/>
      </c>
      <c r="N55" s="110" t="str">
        <f t="shared" si="8"/>
        <v/>
      </c>
      <c r="O55" s="110" t="str">
        <f t="shared" si="8"/>
        <v/>
      </c>
      <c r="P55" s="110" t="str">
        <f t="shared" si="8"/>
        <v/>
      </c>
      <c r="Q55" s="110" t="str">
        <f t="shared" si="8"/>
        <v/>
      </c>
      <c r="R55" s="105" t="str">
        <f t="shared" si="8"/>
        <v/>
      </c>
      <c r="S55" s="105"/>
      <c r="T55" s="103" t="s">
        <v>35</v>
      </c>
      <c r="U55" s="103" t="s">
        <v>18</v>
      </c>
      <c r="V55" s="105"/>
    </row>
    <row r="56" spans="1:22" ht="13.5">
      <c r="A56" s="102">
        <v>45625.816699675925</v>
      </c>
      <c r="B56" s="103" t="s">
        <v>93</v>
      </c>
      <c r="C56" s="104" t="str">
        <f t="shared" si="6"/>
        <v>×</v>
      </c>
      <c r="D56" s="104" t="str">
        <f t="shared" si="6"/>
        <v>×</v>
      </c>
      <c r="E56" s="104" t="str">
        <f t="shared" si="6"/>
        <v>○</v>
      </c>
      <c r="F56" s="104" t="str">
        <f t="shared" si="6"/>
        <v>×</v>
      </c>
      <c r="G56" s="103" t="s">
        <v>20</v>
      </c>
      <c r="H56" s="105"/>
      <c r="I56" s="105"/>
      <c r="J56" s="103" t="s">
        <v>58</v>
      </c>
      <c r="K56" s="103" t="s">
        <v>16</v>
      </c>
      <c r="L56" s="103" t="s">
        <v>39</v>
      </c>
      <c r="M56" s="108" t="str">
        <f t="shared" si="8"/>
        <v/>
      </c>
      <c r="N56" s="108" t="str">
        <f t="shared" si="8"/>
        <v>○</v>
      </c>
      <c r="O56" s="108" t="str">
        <f t="shared" si="8"/>
        <v/>
      </c>
      <c r="P56" s="108" t="str">
        <f t="shared" si="8"/>
        <v/>
      </c>
      <c r="Q56" s="108" t="str">
        <f t="shared" si="8"/>
        <v/>
      </c>
      <c r="R56" s="103" t="str">
        <f t="shared" si="8"/>
        <v/>
      </c>
      <c r="S56" s="105"/>
      <c r="T56" s="103" t="s">
        <v>30</v>
      </c>
      <c r="U56" s="103" t="s">
        <v>18</v>
      </c>
      <c r="V56" s="105"/>
    </row>
    <row r="57" spans="1:22" ht="13.5">
      <c r="A57" s="102">
        <v>45625.817009687496</v>
      </c>
      <c r="B57" s="103" t="s">
        <v>57</v>
      </c>
      <c r="C57" s="104" t="str">
        <f t="shared" si="6"/>
        <v>×</v>
      </c>
      <c r="D57" s="104" t="str">
        <f t="shared" si="6"/>
        <v>○</v>
      </c>
      <c r="E57" s="104" t="str">
        <f t="shared" si="6"/>
        <v>×</v>
      </c>
      <c r="F57" s="104" t="str">
        <f t="shared" si="6"/>
        <v>×</v>
      </c>
      <c r="G57" s="103" t="s">
        <v>20</v>
      </c>
      <c r="H57" s="105"/>
      <c r="I57" s="105"/>
      <c r="J57" s="103" t="s">
        <v>38</v>
      </c>
      <c r="K57" s="103" t="s">
        <v>16</v>
      </c>
      <c r="L57" s="103" t="s">
        <v>297</v>
      </c>
      <c r="M57" s="108" t="str">
        <f t="shared" si="8"/>
        <v/>
      </c>
      <c r="N57" s="108" t="str">
        <f t="shared" si="8"/>
        <v>○</v>
      </c>
      <c r="O57" s="108" t="str">
        <f t="shared" si="8"/>
        <v/>
      </c>
      <c r="P57" s="108" t="str">
        <f t="shared" si="8"/>
        <v/>
      </c>
      <c r="Q57" s="108" t="str">
        <f t="shared" si="8"/>
        <v>○</v>
      </c>
      <c r="R57" s="103" t="str">
        <f t="shared" si="8"/>
        <v/>
      </c>
      <c r="S57" s="103" t="s">
        <v>298</v>
      </c>
      <c r="T57" s="103" t="s">
        <v>30</v>
      </c>
      <c r="U57" s="103" t="s">
        <v>18</v>
      </c>
      <c r="V57" s="103" t="s">
        <v>299</v>
      </c>
    </row>
    <row r="58" spans="1:22" ht="13.5">
      <c r="A58" s="102">
        <v>45625.818716701389</v>
      </c>
      <c r="B58" s="103" t="s">
        <v>93</v>
      </c>
      <c r="C58" s="104" t="str">
        <f t="shared" si="6"/>
        <v>×</v>
      </c>
      <c r="D58" s="104" t="str">
        <f t="shared" si="6"/>
        <v>×</v>
      </c>
      <c r="E58" s="104" t="str">
        <f t="shared" si="6"/>
        <v>○</v>
      </c>
      <c r="F58" s="104" t="str">
        <f t="shared" si="6"/>
        <v>×</v>
      </c>
      <c r="G58" s="103" t="s">
        <v>13</v>
      </c>
      <c r="H58" s="103" t="s">
        <v>32</v>
      </c>
      <c r="I58" s="103" t="s">
        <v>303</v>
      </c>
      <c r="J58" s="105"/>
      <c r="K58" s="103" t="s">
        <v>34</v>
      </c>
      <c r="L58" s="105"/>
      <c r="M58" s="110" t="str">
        <f t="shared" si="8"/>
        <v/>
      </c>
      <c r="N58" s="110" t="str">
        <f t="shared" si="8"/>
        <v/>
      </c>
      <c r="O58" s="110" t="str">
        <f t="shared" si="8"/>
        <v/>
      </c>
      <c r="P58" s="110" t="str">
        <f t="shared" si="8"/>
        <v/>
      </c>
      <c r="Q58" s="110" t="str">
        <f t="shared" si="8"/>
        <v/>
      </c>
      <c r="R58" s="105" t="str">
        <f t="shared" si="8"/>
        <v/>
      </c>
      <c r="S58" s="105"/>
      <c r="T58" s="103" t="s">
        <v>24</v>
      </c>
      <c r="U58" s="103" t="s">
        <v>18</v>
      </c>
      <c r="V58" s="105"/>
    </row>
    <row r="59" spans="1:22" ht="13.5">
      <c r="A59" s="102">
        <v>45625.841986898144</v>
      </c>
      <c r="B59" s="103" t="s">
        <v>105</v>
      </c>
      <c r="C59" s="104" t="str">
        <f t="shared" si="6"/>
        <v>×</v>
      </c>
      <c r="D59" s="104" t="str">
        <f t="shared" si="6"/>
        <v>×</v>
      </c>
      <c r="E59" s="104" t="str">
        <f t="shared" si="6"/>
        <v>○</v>
      </c>
      <c r="F59" s="104" t="str">
        <f t="shared" si="6"/>
        <v>×</v>
      </c>
      <c r="G59" s="103" t="s">
        <v>20</v>
      </c>
      <c r="H59" s="105"/>
      <c r="I59" s="105"/>
      <c r="J59" s="103" t="s">
        <v>58</v>
      </c>
      <c r="K59" s="103" t="s">
        <v>16</v>
      </c>
      <c r="L59" s="103" t="s">
        <v>39</v>
      </c>
      <c r="M59" s="108" t="str">
        <f t="shared" si="8"/>
        <v/>
      </c>
      <c r="N59" s="108" t="str">
        <f t="shared" si="8"/>
        <v>○</v>
      </c>
      <c r="O59" s="108" t="str">
        <f t="shared" si="8"/>
        <v/>
      </c>
      <c r="P59" s="108" t="str">
        <f t="shared" si="8"/>
        <v/>
      </c>
      <c r="Q59" s="108" t="str">
        <f t="shared" si="8"/>
        <v/>
      </c>
      <c r="R59" s="103" t="str">
        <f t="shared" si="8"/>
        <v/>
      </c>
      <c r="S59" s="105"/>
      <c r="T59" s="103" t="s">
        <v>24</v>
      </c>
      <c r="U59" s="103" t="s">
        <v>18</v>
      </c>
      <c r="V59" s="105"/>
    </row>
    <row r="60" spans="1:22" ht="13.5">
      <c r="A60" s="102">
        <v>45625.849032708335</v>
      </c>
      <c r="B60" s="103" t="s">
        <v>232</v>
      </c>
      <c r="C60" s="104" t="str">
        <f t="shared" si="6"/>
        <v>×</v>
      </c>
      <c r="D60" s="104" t="str">
        <f t="shared" si="6"/>
        <v>○</v>
      </c>
      <c r="E60" s="104" t="str">
        <f t="shared" si="6"/>
        <v>○</v>
      </c>
      <c r="F60" s="104" t="str">
        <f t="shared" si="6"/>
        <v>○</v>
      </c>
      <c r="G60" s="103" t="s">
        <v>20</v>
      </c>
      <c r="H60" s="105"/>
      <c r="I60" s="105"/>
      <c r="J60" s="103" t="s">
        <v>58</v>
      </c>
      <c r="K60" s="103" t="s">
        <v>16</v>
      </c>
      <c r="L60" s="103" t="s">
        <v>279</v>
      </c>
      <c r="M60" s="108" t="str">
        <f t="shared" si="8"/>
        <v/>
      </c>
      <c r="N60" s="108" t="str">
        <f t="shared" si="8"/>
        <v>○</v>
      </c>
      <c r="O60" s="108" t="str">
        <f t="shared" si="8"/>
        <v>○</v>
      </c>
      <c r="P60" s="108" t="str">
        <f t="shared" si="8"/>
        <v/>
      </c>
      <c r="Q60" s="108" t="str">
        <f t="shared" si="8"/>
        <v/>
      </c>
      <c r="R60" s="103" t="str">
        <f t="shared" si="8"/>
        <v/>
      </c>
      <c r="S60" s="105"/>
      <c r="T60" s="103" t="s">
        <v>30</v>
      </c>
      <c r="U60" s="103" t="s">
        <v>18</v>
      </c>
      <c r="V60" s="105"/>
    </row>
    <row r="61" spans="1:22" ht="13.5">
      <c r="A61" s="102">
        <v>45625.854447627316</v>
      </c>
      <c r="B61" s="103" t="s">
        <v>311</v>
      </c>
      <c r="C61" s="104" t="str">
        <f t="shared" si="6"/>
        <v>×</v>
      </c>
      <c r="D61" s="104" t="str">
        <f t="shared" si="6"/>
        <v>○</v>
      </c>
      <c r="E61" s="104" t="str">
        <f t="shared" si="6"/>
        <v>○</v>
      </c>
      <c r="F61" s="104" t="str">
        <f t="shared" si="6"/>
        <v>×</v>
      </c>
      <c r="G61" s="103" t="s">
        <v>20</v>
      </c>
      <c r="H61" s="105"/>
      <c r="I61" s="105"/>
      <c r="J61" s="103" t="s">
        <v>38</v>
      </c>
      <c r="K61" s="103" t="s">
        <v>16</v>
      </c>
      <c r="L61" s="103" t="s">
        <v>39</v>
      </c>
      <c r="M61" s="108" t="str">
        <f t="shared" si="8"/>
        <v/>
      </c>
      <c r="N61" s="108" t="str">
        <f t="shared" si="8"/>
        <v>○</v>
      </c>
      <c r="O61" s="108" t="str">
        <f t="shared" si="8"/>
        <v/>
      </c>
      <c r="P61" s="108" t="str">
        <f t="shared" si="8"/>
        <v/>
      </c>
      <c r="Q61" s="108" t="str">
        <f t="shared" si="8"/>
        <v/>
      </c>
      <c r="R61" s="103" t="str">
        <f t="shared" si="8"/>
        <v/>
      </c>
      <c r="S61" s="105"/>
      <c r="T61" s="103" t="s">
        <v>30</v>
      </c>
      <c r="U61" s="103" t="s">
        <v>18</v>
      </c>
      <c r="V61" s="105"/>
    </row>
    <row r="62" spans="1:22" ht="13.5">
      <c r="A62" s="102">
        <v>45625.858503032403</v>
      </c>
      <c r="B62" s="103" t="s">
        <v>314</v>
      </c>
      <c r="C62" s="104" t="str">
        <f t="shared" ref="C62:F81" si="9">IF(ISERROR(FIND(C$1,$B62)),"×","○")</f>
        <v>×</v>
      </c>
      <c r="D62" s="104" t="str">
        <f t="shared" si="9"/>
        <v>○</v>
      </c>
      <c r="E62" s="104" t="str">
        <f t="shared" si="9"/>
        <v>×</v>
      </c>
      <c r="F62" s="104" t="str">
        <f t="shared" si="9"/>
        <v>×</v>
      </c>
      <c r="G62" s="103" t="s">
        <v>20</v>
      </c>
      <c r="H62" s="105"/>
      <c r="I62" s="105"/>
      <c r="J62" s="103" t="s">
        <v>38</v>
      </c>
      <c r="K62" s="103" t="s">
        <v>16</v>
      </c>
      <c r="L62" s="103" t="s">
        <v>29</v>
      </c>
      <c r="M62" s="108" t="str">
        <f t="shared" ref="M62:R71" si="10">IF(ISERROR(SEARCH(M$1,$L62)),"","○")</f>
        <v/>
      </c>
      <c r="N62" s="108" t="str">
        <f t="shared" si="10"/>
        <v/>
      </c>
      <c r="O62" s="108" t="str">
        <f t="shared" si="10"/>
        <v/>
      </c>
      <c r="P62" s="108" t="str">
        <f t="shared" si="10"/>
        <v/>
      </c>
      <c r="Q62" s="108" t="str">
        <f t="shared" si="10"/>
        <v/>
      </c>
      <c r="R62" s="103" t="str">
        <f t="shared" si="10"/>
        <v>○</v>
      </c>
      <c r="S62" s="105"/>
      <c r="T62" s="103" t="s">
        <v>30</v>
      </c>
      <c r="U62" s="103" t="s">
        <v>18</v>
      </c>
      <c r="V62" s="105"/>
    </row>
    <row r="63" spans="1:22" ht="13.5">
      <c r="A63" s="102">
        <v>45625.860824351854</v>
      </c>
      <c r="B63" s="103" t="s">
        <v>317</v>
      </c>
      <c r="C63" s="104" t="str">
        <f t="shared" si="9"/>
        <v>×</v>
      </c>
      <c r="D63" s="104" t="str">
        <f t="shared" si="9"/>
        <v>○</v>
      </c>
      <c r="E63" s="104" t="str">
        <f t="shared" si="9"/>
        <v>×</v>
      </c>
      <c r="F63" s="104" t="str">
        <f t="shared" si="9"/>
        <v>×</v>
      </c>
      <c r="G63" s="103" t="s">
        <v>20</v>
      </c>
      <c r="H63" s="105"/>
      <c r="I63" s="105"/>
      <c r="J63" s="103" t="s">
        <v>21</v>
      </c>
      <c r="K63" s="103" t="s">
        <v>16</v>
      </c>
      <c r="L63" s="103" t="s">
        <v>68</v>
      </c>
      <c r="M63" s="108" t="str">
        <f t="shared" si="10"/>
        <v/>
      </c>
      <c r="N63" s="108" t="str">
        <f t="shared" si="10"/>
        <v/>
      </c>
      <c r="O63" s="108" t="str">
        <f t="shared" si="10"/>
        <v/>
      </c>
      <c r="P63" s="108" t="str">
        <f t="shared" si="10"/>
        <v/>
      </c>
      <c r="Q63" s="108" t="str">
        <f t="shared" si="10"/>
        <v>○</v>
      </c>
      <c r="R63" s="103" t="str">
        <f t="shared" si="10"/>
        <v/>
      </c>
      <c r="S63" s="103" t="s">
        <v>318</v>
      </c>
      <c r="T63" s="103" t="s">
        <v>30</v>
      </c>
      <c r="U63" s="103" t="s">
        <v>18</v>
      </c>
      <c r="V63" s="103" t="s">
        <v>319</v>
      </c>
    </row>
    <row r="64" spans="1:22" ht="13.5">
      <c r="A64" s="102">
        <v>45625.861218148144</v>
      </c>
      <c r="B64" s="103" t="s">
        <v>105</v>
      </c>
      <c r="C64" s="104" t="str">
        <f t="shared" si="9"/>
        <v>×</v>
      </c>
      <c r="D64" s="104" t="str">
        <f t="shared" si="9"/>
        <v>×</v>
      </c>
      <c r="E64" s="104" t="str">
        <f t="shared" si="9"/>
        <v>○</v>
      </c>
      <c r="F64" s="104" t="str">
        <f t="shared" si="9"/>
        <v>×</v>
      </c>
      <c r="G64" s="103" t="s">
        <v>20</v>
      </c>
      <c r="H64" s="105"/>
      <c r="I64" s="105"/>
      <c r="J64" s="103" t="s">
        <v>58</v>
      </c>
      <c r="K64" s="103" t="s">
        <v>16</v>
      </c>
      <c r="L64" s="103" t="s">
        <v>320</v>
      </c>
      <c r="M64" s="108" t="str">
        <f t="shared" si="10"/>
        <v>○</v>
      </c>
      <c r="N64" s="108" t="str">
        <f t="shared" si="10"/>
        <v/>
      </c>
      <c r="O64" s="108" t="str">
        <f t="shared" si="10"/>
        <v/>
      </c>
      <c r="P64" s="108" t="str">
        <f t="shared" si="10"/>
        <v>○</v>
      </c>
      <c r="Q64" s="108" t="str">
        <f t="shared" si="10"/>
        <v/>
      </c>
      <c r="R64" s="103" t="str">
        <f t="shared" si="10"/>
        <v/>
      </c>
      <c r="S64" s="103" t="s">
        <v>321</v>
      </c>
      <c r="T64" s="103" t="s">
        <v>322</v>
      </c>
      <c r="U64" s="103" t="s">
        <v>18</v>
      </c>
      <c r="V64" s="103" t="s">
        <v>323</v>
      </c>
    </row>
    <row r="65" spans="1:22" ht="13.5">
      <c r="A65" s="102">
        <v>45625.880114050931</v>
      </c>
      <c r="B65" s="103" t="s">
        <v>181</v>
      </c>
      <c r="C65" s="104" t="str">
        <f t="shared" si="9"/>
        <v>×</v>
      </c>
      <c r="D65" s="104" t="str">
        <f t="shared" si="9"/>
        <v>○</v>
      </c>
      <c r="E65" s="104" t="str">
        <f t="shared" si="9"/>
        <v>×</v>
      </c>
      <c r="F65" s="104" t="str">
        <f t="shared" si="9"/>
        <v>×</v>
      </c>
      <c r="G65" s="103" t="s">
        <v>13</v>
      </c>
      <c r="H65" s="103" t="s">
        <v>27</v>
      </c>
      <c r="I65" s="103" t="s">
        <v>340</v>
      </c>
      <c r="J65" s="105"/>
      <c r="K65" s="103" t="s">
        <v>34</v>
      </c>
      <c r="L65" s="105"/>
      <c r="M65" s="110" t="str">
        <f t="shared" si="10"/>
        <v/>
      </c>
      <c r="N65" s="110" t="str">
        <f t="shared" si="10"/>
        <v/>
      </c>
      <c r="O65" s="110" t="str">
        <f t="shared" si="10"/>
        <v/>
      </c>
      <c r="P65" s="110" t="str">
        <f t="shared" si="10"/>
        <v/>
      </c>
      <c r="Q65" s="110" t="str">
        <f t="shared" si="10"/>
        <v/>
      </c>
      <c r="R65" s="105" t="str">
        <f t="shared" si="10"/>
        <v/>
      </c>
      <c r="S65" s="105"/>
      <c r="T65" s="103" t="s">
        <v>30</v>
      </c>
      <c r="U65" s="103" t="s">
        <v>18</v>
      </c>
      <c r="V65" s="103" t="s">
        <v>341</v>
      </c>
    </row>
    <row r="66" spans="1:22" ht="13.5">
      <c r="A66" s="102">
        <v>45625.880726759264</v>
      </c>
      <c r="B66" s="103" t="s">
        <v>19</v>
      </c>
      <c r="C66" s="104" t="str">
        <f t="shared" si="9"/>
        <v>×</v>
      </c>
      <c r="D66" s="104" t="str">
        <f t="shared" si="9"/>
        <v>○</v>
      </c>
      <c r="E66" s="104" t="str">
        <f t="shared" si="9"/>
        <v>×</v>
      </c>
      <c r="F66" s="104" t="str">
        <f t="shared" si="9"/>
        <v>×</v>
      </c>
      <c r="G66" s="103" t="s">
        <v>13</v>
      </c>
      <c r="H66" s="103" t="s">
        <v>27</v>
      </c>
      <c r="I66" s="103" t="s">
        <v>342</v>
      </c>
      <c r="J66" s="105"/>
      <c r="K66" s="103" t="s">
        <v>34</v>
      </c>
      <c r="L66" s="105"/>
      <c r="M66" s="110" t="str">
        <f t="shared" si="10"/>
        <v/>
      </c>
      <c r="N66" s="110" t="str">
        <f t="shared" si="10"/>
        <v/>
      </c>
      <c r="O66" s="110" t="str">
        <f t="shared" si="10"/>
        <v/>
      </c>
      <c r="P66" s="110" t="str">
        <f t="shared" si="10"/>
        <v/>
      </c>
      <c r="Q66" s="110" t="str">
        <f t="shared" si="10"/>
        <v/>
      </c>
      <c r="R66" s="105" t="str">
        <f t="shared" si="10"/>
        <v/>
      </c>
      <c r="S66" s="105"/>
      <c r="T66" s="103" t="s">
        <v>35</v>
      </c>
      <c r="U66" s="103" t="s">
        <v>18</v>
      </c>
      <c r="V66" s="105"/>
    </row>
    <row r="67" spans="1:22" ht="13.5">
      <c r="A67" s="102">
        <v>45625.881698576384</v>
      </c>
      <c r="B67" s="103" t="s">
        <v>41</v>
      </c>
      <c r="C67" s="104" t="str">
        <f t="shared" si="9"/>
        <v>×</v>
      </c>
      <c r="D67" s="104" t="str">
        <f t="shared" si="9"/>
        <v>○</v>
      </c>
      <c r="E67" s="104" t="str">
        <f t="shared" si="9"/>
        <v>×</v>
      </c>
      <c r="F67" s="104" t="str">
        <f t="shared" si="9"/>
        <v>×</v>
      </c>
      <c r="G67" s="103" t="s">
        <v>20</v>
      </c>
      <c r="H67" s="105"/>
      <c r="I67" s="105"/>
      <c r="J67" s="103" t="s">
        <v>58</v>
      </c>
      <c r="K67" s="103" t="s">
        <v>16</v>
      </c>
      <c r="L67" s="103" t="s">
        <v>39</v>
      </c>
      <c r="M67" s="108" t="str">
        <f t="shared" si="10"/>
        <v/>
      </c>
      <c r="N67" s="108" t="str">
        <f t="shared" si="10"/>
        <v>○</v>
      </c>
      <c r="O67" s="108" t="str">
        <f t="shared" si="10"/>
        <v/>
      </c>
      <c r="P67" s="108" t="str">
        <f t="shared" si="10"/>
        <v/>
      </c>
      <c r="Q67" s="108" t="str">
        <f t="shared" si="10"/>
        <v/>
      </c>
      <c r="R67" s="103" t="str">
        <f t="shared" si="10"/>
        <v/>
      </c>
      <c r="S67" s="105"/>
      <c r="T67" s="103" t="s">
        <v>30</v>
      </c>
      <c r="U67" s="103" t="s">
        <v>18</v>
      </c>
      <c r="V67" s="105"/>
    </row>
    <row r="68" spans="1:22" ht="13.5">
      <c r="A68" s="102">
        <v>45625.890871354168</v>
      </c>
      <c r="B68" s="103" t="s">
        <v>347</v>
      </c>
      <c r="C68" s="104" t="str">
        <f t="shared" si="9"/>
        <v>×</v>
      </c>
      <c r="D68" s="104" t="str">
        <f t="shared" si="9"/>
        <v>○</v>
      </c>
      <c r="E68" s="104" t="str">
        <f t="shared" si="9"/>
        <v>○</v>
      </c>
      <c r="F68" s="104" t="str">
        <f t="shared" si="9"/>
        <v>×</v>
      </c>
      <c r="G68" s="103" t="s">
        <v>13</v>
      </c>
      <c r="H68" s="103" t="s">
        <v>32</v>
      </c>
      <c r="I68" s="103" t="s">
        <v>348</v>
      </c>
      <c r="J68" s="105"/>
      <c r="K68" s="103" t="s">
        <v>34</v>
      </c>
      <c r="L68" s="105"/>
      <c r="M68" s="110" t="str">
        <f t="shared" si="10"/>
        <v/>
      </c>
      <c r="N68" s="110" t="str">
        <f t="shared" si="10"/>
        <v/>
      </c>
      <c r="O68" s="110" t="str">
        <f t="shared" si="10"/>
        <v/>
      </c>
      <c r="P68" s="110" t="str">
        <f t="shared" si="10"/>
        <v/>
      </c>
      <c r="Q68" s="110" t="str">
        <f t="shared" si="10"/>
        <v/>
      </c>
      <c r="R68" s="105" t="str">
        <f t="shared" si="10"/>
        <v/>
      </c>
      <c r="S68" s="105"/>
      <c r="T68" s="103" t="s">
        <v>30</v>
      </c>
      <c r="U68" s="103" t="s">
        <v>18</v>
      </c>
      <c r="V68" s="105"/>
    </row>
    <row r="69" spans="1:22" ht="13.5">
      <c r="A69" s="102">
        <v>45625.890877118058</v>
      </c>
      <c r="B69" s="103" t="s">
        <v>41</v>
      </c>
      <c r="C69" s="104" t="str">
        <f t="shared" si="9"/>
        <v>×</v>
      </c>
      <c r="D69" s="104" t="str">
        <f t="shared" si="9"/>
        <v>○</v>
      </c>
      <c r="E69" s="104" t="str">
        <f t="shared" si="9"/>
        <v>×</v>
      </c>
      <c r="F69" s="104" t="str">
        <f t="shared" si="9"/>
        <v>×</v>
      </c>
      <c r="G69" s="103" t="s">
        <v>13</v>
      </c>
      <c r="H69" s="103" t="s">
        <v>77</v>
      </c>
      <c r="I69" s="103" t="s">
        <v>349</v>
      </c>
      <c r="J69" s="105"/>
      <c r="K69" s="103" t="s">
        <v>34</v>
      </c>
      <c r="L69" s="105"/>
      <c r="M69" s="110" t="str">
        <f t="shared" si="10"/>
        <v/>
      </c>
      <c r="N69" s="110" t="str">
        <f t="shared" si="10"/>
        <v/>
      </c>
      <c r="O69" s="110" t="str">
        <f t="shared" si="10"/>
        <v/>
      </c>
      <c r="P69" s="110" t="str">
        <f t="shared" si="10"/>
        <v/>
      </c>
      <c r="Q69" s="110" t="str">
        <f t="shared" si="10"/>
        <v/>
      </c>
      <c r="R69" s="105" t="str">
        <f t="shared" si="10"/>
        <v/>
      </c>
      <c r="S69" s="105"/>
      <c r="T69" s="103" t="s">
        <v>61</v>
      </c>
      <c r="U69" s="103" t="s">
        <v>18</v>
      </c>
      <c r="V69" s="103" t="s">
        <v>350</v>
      </c>
    </row>
    <row r="70" spans="1:22" ht="13.5">
      <c r="A70" s="102">
        <v>45625.897741342589</v>
      </c>
      <c r="B70" s="103" t="s">
        <v>41</v>
      </c>
      <c r="C70" s="104" t="str">
        <f t="shared" si="9"/>
        <v>×</v>
      </c>
      <c r="D70" s="104" t="str">
        <f t="shared" si="9"/>
        <v>○</v>
      </c>
      <c r="E70" s="104" t="str">
        <f t="shared" si="9"/>
        <v>×</v>
      </c>
      <c r="F70" s="104" t="str">
        <f t="shared" si="9"/>
        <v>×</v>
      </c>
      <c r="G70" s="103" t="s">
        <v>13</v>
      </c>
      <c r="H70" s="103" t="s">
        <v>47</v>
      </c>
      <c r="I70" s="103" t="s">
        <v>351</v>
      </c>
      <c r="J70" s="105"/>
      <c r="K70" s="103" t="s">
        <v>34</v>
      </c>
      <c r="L70" s="105"/>
      <c r="M70" s="110" t="str">
        <f t="shared" si="10"/>
        <v/>
      </c>
      <c r="N70" s="110" t="str">
        <f t="shared" si="10"/>
        <v/>
      </c>
      <c r="O70" s="110" t="str">
        <f t="shared" si="10"/>
        <v/>
      </c>
      <c r="P70" s="110" t="str">
        <f t="shared" si="10"/>
        <v/>
      </c>
      <c r="Q70" s="110" t="str">
        <f t="shared" si="10"/>
        <v/>
      </c>
      <c r="R70" s="105" t="str">
        <f t="shared" si="10"/>
        <v/>
      </c>
      <c r="S70" s="105"/>
      <c r="T70" s="103" t="s">
        <v>30</v>
      </c>
      <c r="U70" s="103" t="s">
        <v>18</v>
      </c>
      <c r="V70" s="105"/>
    </row>
    <row r="71" spans="1:22" ht="13.5">
      <c r="A71" s="102">
        <v>45625.905169895836</v>
      </c>
      <c r="B71" s="103" t="s">
        <v>41</v>
      </c>
      <c r="C71" s="104" t="str">
        <f t="shared" si="9"/>
        <v>×</v>
      </c>
      <c r="D71" s="104" t="str">
        <f t="shared" si="9"/>
        <v>○</v>
      </c>
      <c r="E71" s="104" t="str">
        <f t="shared" si="9"/>
        <v>×</v>
      </c>
      <c r="F71" s="104" t="str">
        <f t="shared" si="9"/>
        <v>×</v>
      </c>
      <c r="G71" s="103" t="s">
        <v>20</v>
      </c>
      <c r="H71" s="105"/>
      <c r="I71" s="105"/>
      <c r="J71" s="103" t="s">
        <v>38</v>
      </c>
      <c r="K71" s="103" t="s">
        <v>16</v>
      </c>
      <c r="L71" s="103" t="s">
        <v>39</v>
      </c>
      <c r="M71" s="108" t="str">
        <f t="shared" si="10"/>
        <v/>
      </c>
      <c r="N71" s="108" t="str">
        <f t="shared" si="10"/>
        <v>○</v>
      </c>
      <c r="O71" s="108" t="str">
        <f t="shared" si="10"/>
        <v/>
      </c>
      <c r="P71" s="108" t="str">
        <f t="shared" si="10"/>
        <v/>
      </c>
      <c r="Q71" s="108" t="str">
        <f t="shared" si="10"/>
        <v/>
      </c>
      <c r="R71" s="103" t="str">
        <f t="shared" si="10"/>
        <v/>
      </c>
      <c r="S71" s="103" t="s">
        <v>358</v>
      </c>
      <c r="T71" s="103" t="s">
        <v>35</v>
      </c>
      <c r="U71" s="103" t="s">
        <v>18</v>
      </c>
      <c r="V71" s="105"/>
    </row>
    <row r="72" spans="1:22" ht="13.5">
      <c r="A72" s="102">
        <v>45625.911450451385</v>
      </c>
      <c r="B72" s="103" t="s">
        <v>105</v>
      </c>
      <c r="C72" s="104" t="str">
        <f t="shared" si="9"/>
        <v>×</v>
      </c>
      <c r="D72" s="104" t="str">
        <f t="shared" si="9"/>
        <v>×</v>
      </c>
      <c r="E72" s="104" t="str">
        <f t="shared" si="9"/>
        <v>○</v>
      </c>
      <c r="F72" s="104" t="str">
        <f t="shared" si="9"/>
        <v>×</v>
      </c>
      <c r="G72" s="103" t="s">
        <v>13</v>
      </c>
      <c r="H72" s="103" t="s">
        <v>27</v>
      </c>
      <c r="I72" s="103" t="s">
        <v>85</v>
      </c>
      <c r="J72" s="105"/>
      <c r="K72" s="103" t="s">
        <v>34</v>
      </c>
      <c r="L72" s="105"/>
      <c r="M72" s="110" t="str">
        <f t="shared" ref="M72:R81" si="11">IF(ISERROR(SEARCH(M$1,$L72)),"","○")</f>
        <v/>
      </c>
      <c r="N72" s="110" t="str">
        <f t="shared" si="11"/>
        <v/>
      </c>
      <c r="O72" s="110" t="str">
        <f t="shared" si="11"/>
        <v/>
      </c>
      <c r="P72" s="110" t="str">
        <f t="shared" si="11"/>
        <v/>
      </c>
      <c r="Q72" s="110" t="str">
        <f t="shared" si="11"/>
        <v/>
      </c>
      <c r="R72" s="105" t="str">
        <f t="shared" si="11"/>
        <v/>
      </c>
      <c r="S72" s="105"/>
      <c r="T72" s="103" t="s">
        <v>30</v>
      </c>
      <c r="U72" s="103" t="s">
        <v>18</v>
      </c>
      <c r="V72" s="105"/>
    </row>
    <row r="73" spans="1:22" ht="13.5">
      <c r="A73" s="102">
        <v>45625.924145636571</v>
      </c>
      <c r="B73" s="103" t="s">
        <v>93</v>
      </c>
      <c r="C73" s="104" t="str">
        <f t="shared" si="9"/>
        <v>×</v>
      </c>
      <c r="D73" s="104" t="str">
        <f t="shared" si="9"/>
        <v>×</v>
      </c>
      <c r="E73" s="104" t="str">
        <f t="shared" si="9"/>
        <v>○</v>
      </c>
      <c r="F73" s="104" t="str">
        <f t="shared" si="9"/>
        <v>×</v>
      </c>
      <c r="G73" s="103" t="s">
        <v>13</v>
      </c>
      <c r="H73" s="103" t="s">
        <v>32</v>
      </c>
      <c r="I73" s="103" t="s">
        <v>362</v>
      </c>
      <c r="J73" s="105"/>
      <c r="K73" s="103" t="s">
        <v>34</v>
      </c>
      <c r="L73" s="105"/>
      <c r="M73" s="110" t="str">
        <f t="shared" si="11"/>
        <v/>
      </c>
      <c r="N73" s="110" t="str">
        <f t="shared" si="11"/>
        <v/>
      </c>
      <c r="O73" s="110" t="str">
        <f t="shared" si="11"/>
        <v/>
      </c>
      <c r="P73" s="110" t="str">
        <f t="shared" si="11"/>
        <v/>
      </c>
      <c r="Q73" s="110" t="str">
        <f t="shared" si="11"/>
        <v/>
      </c>
      <c r="R73" s="105" t="str">
        <f t="shared" si="11"/>
        <v/>
      </c>
      <c r="S73" s="105"/>
      <c r="T73" s="103" t="s">
        <v>30</v>
      </c>
      <c r="U73" s="103" t="s">
        <v>18</v>
      </c>
      <c r="V73" s="105"/>
    </row>
    <row r="74" spans="1:22" ht="13.5">
      <c r="A74" s="102">
        <v>45625.945986550927</v>
      </c>
      <c r="B74" s="103" t="s">
        <v>93</v>
      </c>
      <c r="C74" s="104" t="str">
        <f t="shared" si="9"/>
        <v>×</v>
      </c>
      <c r="D74" s="104" t="str">
        <f t="shared" si="9"/>
        <v>×</v>
      </c>
      <c r="E74" s="104" t="str">
        <f t="shared" si="9"/>
        <v>○</v>
      </c>
      <c r="F74" s="104" t="str">
        <f t="shared" si="9"/>
        <v>×</v>
      </c>
      <c r="G74" s="103" t="s">
        <v>13</v>
      </c>
      <c r="H74" s="103" t="s">
        <v>32</v>
      </c>
      <c r="I74" s="103" t="s">
        <v>370</v>
      </c>
      <c r="J74" s="105"/>
      <c r="K74" s="103" t="s">
        <v>16</v>
      </c>
      <c r="L74" s="103" t="s">
        <v>29</v>
      </c>
      <c r="M74" s="108" t="str">
        <f t="shared" si="11"/>
        <v/>
      </c>
      <c r="N74" s="108" t="str">
        <f t="shared" si="11"/>
        <v/>
      </c>
      <c r="O74" s="108" t="str">
        <f t="shared" si="11"/>
        <v/>
      </c>
      <c r="P74" s="108" t="str">
        <f t="shared" si="11"/>
        <v/>
      </c>
      <c r="Q74" s="108" t="str">
        <f t="shared" si="11"/>
        <v/>
      </c>
      <c r="R74" s="103" t="str">
        <f t="shared" si="11"/>
        <v>○</v>
      </c>
      <c r="S74" s="105"/>
      <c r="T74" s="103" t="s">
        <v>24</v>
      </c>
      <c r="U74" s="103" t="s">
        <v>18</v>
      </c>
      <c r="V74" s="103" t="s">
        <v>371</v>
      </c>
    </row>
    <row r="75" spans="1:22" ht="13.5">
      <c r="A75" s="102">
        <v>45625.972948703704</v>
      </c>
      <c r="B75" s="103" t="s">
        <v>64</v>
      </c>
      <c r="C75" s="104" t="str">
        <f t="shared" si="9"/>
        <v>○</v>
      </c>
      <c r="D75" s="104" t="str">
        <f t="shared" si="9"/>
        <v>○</v>
      </c>
      <c r="E75" s="104" t="str">
        <f t="shared" si="9"/>
        <v>×</v>
      </c>
      <c r="F75" s="104" t="str">
        <f t="shared" si="9"/>
        <v>×</v>
      </c>
      <c r="G75" s="103" t="s">
        <v>13</v>
      </c>
      <c r="H75" s="103" t="s">
        <v>32</v>
      </c>
      <c r="I75" s="103" t="s">
        <v>383</v>
      </c>
      <c r="J75" s="105"/>
      <c r="K75" s="103" t="s">
        <v>16</v>
      </c>
      <c r="L75" s="103" t="s">
        <v>88</v>
      </c>
      <c r="M75" s="108" t="str">
        <f t="shared" si="11"/>
        <v/>
      </c>
      <c r="N75" s="108" t="str">
        <f t="shared" si="11"/>
        <v>○</v>
      </c>
      <c r="O75" s="108" t="str">
        <f t="shared" si="11"/>
        <v/>
      </c>
      <c r="P75" s="108" t="str">
        <f t="shared" si="11"/>
        <v/>
      </c>
      <c r="Q75" s="108" t="str">
        <f t="shared" si="11"/>
        <v>○</v>
      </c>
      <c r="R75" s="103" t="str">
        <f t="shared" si="11"/>
        <v/>
      </c>
      <c r="S75" s="103" t="s">
        <v>384</v>
      </c>
      <c r="T75" s="103" t="s">
        <v>30</v>
      </c>
      <c r="U75" s="103" t="s">
        <v>18</v>
      </c>
      <c r="V75" s="103" t="s">
        <v>385</v>
      </c>
    </row>
    <row r="76" spans="1:22" ht="13.5">
      <c r="A76" s="102">
        <v>45625.973134733795</v>
      </c>
      <c r="B76" s="103" t="s">
        <v>19</v>
      </c>
      <c r="C76" s="104" t="str">
        <f t="shared" si="9"/>
        <v>×</v>
      </c>
      <c r="D76" s="104" t="str">
        <f t="shared" si="9"/>
        <v>○</v>
      </c>
      <c r="E76" s="104" t="str">
        <f t="shared" si="9"/>
        <v>×</v>
      </c>
      <c r="F76" s="104" t="str">
        <f t="shared" si="9"/>
        <v>×</v>
      </c>
      <c r="G76" s="103" t="s">
        <v>20</v>
      </c>
      <c r="H76" s="105"/>
      <c r="I76" s="105"/>
      <c r="J76" s="103" t="s">
        <v>58</v>
      </c>
      <c r="K76" s="103" t="s">
        <v>16</v>
      </c>
      <c r="L76" s="103" t="s">
        <v>386</v>
      </c>
      <c r="M76" s="108" t="str">
        <f t="shared" si="11"/>
        <v>○</v>
      </c>
      <c r="N76" s="108" t="str">
        <f t="shared" si="11"/>
        <v/>
      </c>
      <c r="O76" s="108" t="str">
        <f t="shared" si="11"/>
        <v/>
      </c>
      <c r="P76" s="108" t="str">
        <f t="shared" si="11"/>
        <v/>
      </c>
      <c r="Q76" s="108" t="str">
        <f t="shared" si="11"/>
        <v/>
      </c>
      <c r="R76" s="103" t="str">
        <f t="shared" si="11"/>
        <v/>
      </c>
      <c r="S76" s="105"/>
      <c r="T76" s="103" t="s">
        <v>246</v>
      </c>
      <c r="U76" s="103" t="s">
        <v>18</v>
      </c>
      <c r="V76" s="105"/>
    </row>
    <row r="77" spans="1:22" ht="13.5">
      <c r="A77" s="102">
        <v>45625.979227268515</v>
      </c>
      <c r="B77" s="103" t="s">
        <v>105</v>
      </c>
      <c r="C77" s="104" t="str">
        <f t="shared" si="9"/>
        <v>×</v>
      </c>
      <c r="D77" s="104" t="str">
        <f t="shared" si="9"/>
        <v>×</v>
      </c>
      <c r="E77" s="104" t="str">
        <f t="shared" si="9"/>
        <v>○</v>
      </c>
      <c r="F77" s="104" t="str">
        <f t="shared" si="9"/>
        <v>×</v>
      </c>
      <c r="G77" s="103" t="s">
        <v>13</v>
      </c>
      <c r="H77" s="103" t="s">
        <v>32</v>
      </c>
      <c r="I77" s="103" t="s">
        <v>387</v>
      </c>
      <c r="J77" s="105"/>
      <c r="K77" s="103" t="s">
        <v>34</v>
      </c>
      <c r="L77" s="105"/>
      <c r="M77" s="110" t="str">
        <f t="shared" si="11"/>
        <v/>
      </c>
      <c r="N77" s="110" t="str">
        <f t="shared" si="11"/>
        <v/>
      </c>
      <c r="O77" s="110" t="str">
        <f t="shared" si="11"/>
        <v/>
      </c>
      <c r="P77" s="110" t="str">
        <f t="shared" si="11"/>
        <v/>
      </c>
      <c r="Q77" s="110" t="str">
        <f t="shared" si="11"/>
        <v/>
      </c>
      <c r="R77" s="105" t="str">
        <f t="shared" si="11"/>
        <v/>
      </c>
      <c r="S77" s="105"/>
      <c r="T77" s="103" t="s">
        <v>61</v>
      </c>
      <c r="U77" s="103" t="s">
        <v>18</v>
      </c>
      <c r="V77" s="103" t="s">
        <v>388</v>
      </c>
    </row>
    <row r="78" spans="1:22" ht="13.5">
      <c r="A78" s="102">
        <v>45626.006588402779</v>
      </c>
      <c r="B78" s="103" t="s">
        <v>394</v>
      </c>
      <c r="C78" s="104" t="str">
        <f t="shared" si="9"/>
        <v>○</v>
      </c>
      <c r="D78" s="104" t="str">
        <f t="shared" si="9"/>
        <v>○</v>
      </c>
      <c r="E78" s="104" t="str">
        <f t="shared" si="9"/>
        <v>○</v>
      </c>
      <c r="F78" s="104" t="str">
        <f t="shared" si="9"/>
        <v>×</v>
      </c>
      <c r="G78" s="103" t="s">
        <v>20</v>
      </c>
      <c r="H78" s="105"/>
      <c r="I78" s="105"/>
      <c r="J78" s="103" t="s">
        <v>38</v>
      </c>
      <c r="K78" s="103" t="s">
        <v>16</v>
      </c>
      <c r="L78" s="103" t="s">
        <v>68</v>
      </c>
      <c r="M78" s="108" t="str">
        <f t="shared" si="11"/>
        <v/>
      </c>
      <c r="N78" s="108" t="str">
        <f t="shared" si="11"/>
        <v/>
      </c>
      <c r="O78" s="108" t="str">
        <f t="shared" si="11"/>
        <v/>
      </c>
      <c r="P78" s="108" t="str">
        <f t="shared" si="11"/>
        <v/>
      </c>
      <c r="Q78" s="108" t="str">
        <f t="shared" si="11"/>
        <v>○</v>
      </c>
      <c r="R78" s="103" t="str">
        <f t="shared" si="11"/>
        <v/>
      </c>
      <c r="S78" s="103" t="s">
        <v>395</v>
      </c>
      <c r="T78" s="103" t="s">
        <v>30</v>
      </c>
      <c r="U78" s="103" t="s">
        <v>18</v>
      </c>
      <c r="V78" s="105"/>
    </row>
    <row r="79" spans="1:22" ht="13.5">
      <c r="A79" s="102">
        <v>45626.305002858797</v>
      </c>
      <c r="B79" s="103" t="s">
        <v>209</v>
      </c>
      <c r="C79" s="104" t="str">
        <f t="shared" si="9"/>
        <v>○</v>
      </c>
      <c r="D79" s="104" t="str">
        <f t="shared" si="9"/>
        <v>○</v>
      </c>
      <c r="E79" s="104" t="str">
        <f t="shared" si="9"/>
        <v>×</v>
      </c>
      <c r="F79" s="104" t="str">
        <f t="shared" si="9"/>
        <v>×</v>
      </c>
      <c r="G79" s="103" t="s">
        <v>13</v>
      </c>
      <c r="H79" s="103" t="s">
        <v>27</v>
      </c>
      <c r="I79" s="103" t="s">
        <v>399</v>
      </c>
      <c r="J79" s="105"/>
      <c r="K79" s="103" t="s">
        <v>34</v>
      </c>
      <c r="L79" s="105"/>
      <c r="M79" s="110" t="str">
        <f t="shared" si="11"/>
        <v/>
      </c>
      <c r="N79" s="110" t="str">
        <f t="shared" si="11"/>
        <v/>
      </c>
      <c r="O79" s="110" t="str">
        <f t="shared" si="11"/>
        <v/>
      </c>
      <c r="P79" s="110" t="str">
        <f t="shared" si="11"/>
        <v/>
      </c>
      <c r="Q79" s="110" t="str">
        <f t="shared" si="11"/>
        <v/>
      </c>
      <c r="R79" s="105" t="str">
        <f t="shared" si="11"/>
        <v/>
      </c>
      <c r="S79" s="105"/>
      <c r="T79" s="103" t="s">
        <v>35</v>
      </c>
      <c r="U79" s="103" t="s">
        <v>18</v>
      </c>
      <c r="V79" s="103" t="s">
        <v>400</v>
      </c>
    </row>
    <row r="80" spans="1:22" ht="13.5">
      <c r="A80" s="102">
        <v>45626.332986956018</v>
      </c>
      <c r="B80" s="103" t="s">
        <v>46</v>
      </c>
      <c r="C80" s="104" t="str">
        <f t="shared" si="9"/>
        <v>×</v>
      </c>
      <c r="D80" s="104" t="str">
        <f t="shared" si="9"/>
        <v>×</v>
      </c>
      <c r="E80" s="104" t="str">
        <f t="shared" si="9"/>
        <v>○</v>
      </c>
      <c r="F80" s="104" t="str">
        <f t="shared" si="9"/>
        <v>○</v>
      </c>
      <c r="G80" s="103" t="s">
        <v>13</v>
      </c>
      <c r="H80" s="103" t="s">
        <v>27</v>
      </c>
      <c r="I80" s="103" t="s">
        <v>245</v>
      </c>
      <c r="J80" s="105"/>
      <c r="K80" s="103" t="s">
        <v>16</v>
      </c>
      <c r="L80" s="103" t="s">
        <v>107</v>
      </c>
      <c r="M80" s="108" t="str">
        <f t="shared" si="11"/>
        <v/>
      </c>
      <c r="N80" s="108" t="str">
        <f t="shared" si="11"/>
        <v/>
      </c>
      <c r="O80" s="108" t="str">
        <f t="shared" si="11"/>
        <v>○</v>
      </c>
      <c r="P80" s="108" t="str">
        <f t="shared" si="11"/>
        <v/>
      </c>
      <c r="Q80" s="108" t="str">
        <f t="shared" si="11"/>
        <v/>
      </c>
      <c r="R80" s="103" t="str">
        <f t="shared" si="11"/>
        <v/>
      </c>
      <c r="S80" s="105"/>
      <c r="T80" s="103" t="s">
        <v>35</v>
      </c>
      <c r="U80" s="103" t="s">
        <v>18</v>
      </c>
      <c r="V80" s="105"/>
    </row>
    <row r="81" spans="1:22" ht="13.5">
      <c r="A81" s="102">
        <v>45626.336393599537</v>
      </c>
      <c r="B81" s="103" t="s">
        <v>46</v>
      </c>
      <c r="C81" s="104" t="str">
        <f t="shared" si="9"/>
        <v>×</v>
      </c>
      <c r="D81" s="104" t="str">
        <f t="shared" si="9"/>
        <v>×</v>
      </c>
      <c r="E81" s="104" t="str">
        <f t="shared" si="9"/>
        <v>○</v>
      </c>
      <c r="F81" s="104" t="str">
        <f t="shared" si="9"/>
        <v>○</v>
      </c>
      <c r="G81" s="103" t="s">
        <v>13</v>
      </c>
      <c r="H81" s="103" t="s">
        <v>27</v>
      </c>
      <c r="I81" s="103" t="s">
        <v>414</v>
      </c>
      <c r="J81" s="105"/>
      <c r="K81" s="103" t="s">
        <v>34</v>
      </c>
      <c r="L81" s="105"/>
      <c r="M81" s="110" t="str">
        <f t="shared" si="11"/>
        <v/>
      </c>
      <c r="N81" s="110" t="str">
        <f t="shared" si="11"/>
        <v/>
      </c>
      <c r="O81" s="110" t="str">
        <f t="shared" si="11"/>
        <v/>
      </c>
      <c r="P81" s="110" t="str">
        <f t="shared" si="11"/>
        <v/>
      </c>
      <c r="Q81" s="110" t="str">
        <f t="shared" si="11"/>
        <v/>
      </c>
      <c r="R81" s="105" t="str">
        <f t="shared" si="11"/>
        <v/>
      </c>
      <c r="S81" s="105"/>
      <c r="T81" s="103" t="s">
        <v>35</v>
      </c>
      <c r="U81" s="103" t="s">
        <v>18</v>
      </c>
      <c r="V81" s="105"/>
    </row>
    <row r="82" spans="1:22" ht="13.5">
      <c r="A82" s="102">
        <v>45626.336560949072</v>
      </c>
      <c r="B82" s="103" t="s">
        <v>93</v>
      </c>
      <c r="C82" s="104" t="str">
        <f t="shared" ref="C82:F101" si="12">IF(ISERROR(FIND(C$1,$B82)),"×","○")</f>
        <v>×</v>
      </c>
      <c r="D82" s="104" t="str">
        <f t="shared" si="12"/>
        <v>×</v>
      </c>
      <c r="E82" s="104" t="str">
        <f t="shared" si="12"/>
        <v>○</v>
      </c>
      <c r="F82" s="104" t="str">
        <f t="shared" si="12"/>
        <v>×</v>
      </c>
      <c r="G82" s="103" t="s">
        <v>20</v>
      </c>
      <c r="H82" s="105"/>
      <c r="I82" s="105"/>
      <c r="J82" s="103" t="s">
        <v>21</v>
      </c>
      <c r="K82" s="103" t="s">
        <v>16</v>
      </c>
      <c r="L82" s="103" t="s">
        <v>59</v>
      </c>
      <c r="M82" s="108" t="str">
        <f t="shared" ref="M82:R91" si="13">IF(ISERROR(SEARCH(M$1,$L82)),"","○")</f>
        <v/>
      </c>
      <c r="N82" s="108" t="str">
        <f t="shared" si="13"/>
        <v/>
      </c>
      <c r="O82" s="108" t="str">
        <f t="shared" si="13"/>
        <v/>
      </c>
      <c r="P82" s="108" t="str">
        <f t="shared" si="13"/>
        <v>○</v>
      </c>
      <c r="Q82" s="108" t="str">
        <f t="shared" si="13"/>
        <v/>
      </c>
      <c r="R82" s="103" t="str">
        <f t="shared" si="13"/>
        <v/>
      </c>
      <c r="S82" s="103" t="s">
        <v>415</v>
      </c>
      <c r="T82" s="103" t="s">
        <v>35</v>
      </c>
      <c r="U82" s="103" t="s">
        <v>18</v>
      </c>
      <c r="V82" s="105"/>
    </row>
    <row r="83" spans="1:22" ht="13.5">
      <c r="A83" s="102">
        <v>45626.338435937505</v>
      </c>
      <c r="B83" s="103" t="s">
        <v>93</v>
      </c>
      <c r="C83" s="104" t="str">
        <f t="shared" si="12"/>
        <v>×</v>
      </c>
      <c r="D83" s="104" t="str">
        <f t="shared" si="12"/>
        <v>×</v>
      </c>
      <c r="E83" s="104" t="str">
        <f t="shared" si="12"/>
        <v>○</v>
      </c>
      <c r="F83" s="104" t="str">
        <f t="shared" si="12"/>
        <v>×</v>
      </c>
      <c r="G83" s="103" t="s">
        <v>20</v>
      </c>
      <c r="H83" s="105"/>
      <c r="I83" s="105"/>
      <c r="J83" s="103" t="s">
        <v>418</v>
      </c>
      <c r="K83" s="103" t="s">
        <v>16</v>
      </c>
      <c r="L83" s="103" t="s">
        <v>39</v>
      </c>
      <c r="M83" s="108" t="str">
        <f t="shared" si="13"/>
        <v/>
      </c>
      <c r="N83" s="108" t="str">
        <f t="shared" si="13"/>
        <v>○</v>
      </c>
      <c r="O83" s="108" t="str">
        <f t="shared" si="13"/>
        <v/>
      </c>
      <c r="P83" s="108" t="str">
        <f t="shared" si="13"/>
        <v/>
      </c>
      <c r="Q83" s="108" t="str">
        <f t="shared" si="13"/>
        <v/>
      </c>
      <c r="R83" s="103" t="str">
        <f t="shared" si="13"/>
        <v/>
      </c>
      <c r="S83" s="105"/>
      <c r="T83" s="103" t="s">
        <v>30</v>
      </c>
      <c r="U83" s="103" t="s">
        <v>18</v>
      </c>
      <c r="V83" s="105"/>
    </row>
    <row r="84" spans="1:22" ht="13.5">
      <c r="A84" s="102">
        <v>45626.34316423611</v>
      </c>
      <c r="B84" s="103" t="s">
        <v>93</v>
      </c>
      <c r="C84" s="104" t="str">
        <f t="shared" si="12"/>
        <v>×</v>
      </c>
      <c r="D84" s="104" t="str">
        <f t="shared" si="12"/>
        <v>×</v>
      </c>
      <c r="E84" s="104" t="str">
        <f t="shared" si="12"/>
        <v>○</v>
      </c>
      <c r="F84" s="104" t="str">
        <f t="shared" si="12"/>
        <v>×</v>
      </c>
      <c r="G84" s="103" t="s">
        <v>20</v>
      </c>
      <c r="H84" s="105"/>
      <c r="I84" s="105"/>
      <c r="J84" s="103" t="s">
        <v>58</v>
      </c>
      <c r="K84" s="103" t="s">
        <v>16</v>
      </c>
      <c r="L84" s="103" t="s">
        <v>59</v>
      </c>
      <c r="M84" s="108" t="str">
        <f t="shared" si="13"/>
        <v/>
      </c>
      <c r="N84" s="108" t="str">
        <f t="shared" si="13"/>
        <v/>
      </c>
      <c r="O84" s="108" t="str">
        <f t="shared" si="13"/>
        <v/>
      </c>
      <c r="P84" s="108" t="str">
        <f t="shared" si="13"/>
        <v>○</v>
      </c>
      <c r="Q84" s="108" t="str">
        <f t="shared" si="13"/>
        <v/>
      </c>
      <c r="R84" s="103" t="str">
        <f t="shared" si="13"/>
        <v/>
      </c>
      <c r="S84" s="103" t="s">
        <v>444</v>
      </c>
      <c r="T84" s="103" t="s">
        <v>24</v>
      </c>
      <c r="U84" s="103" t="s">
        <v>18</v>
      </c>
      <c r="V84" s="105"/>
    </row>
    <row r="85" spans="1:22" ht="13.5">
      <c r="A85" s="102">
        <v>45626.346644328703</v>
      </c>
      <c r="B85" s="103" t="s">
        <v>105</v>
      </c>
      <c r="C85" s="104" t="str">
        <f t="shared" si="12"/>
        <v>×</v>
      </c>
      <c r="D85" s="104" t="str">
        <f t="shared" si="12"/>
        <v>×</v>
      </c>
      <c r="E85" s="104" t="str">
        <f t="shared" si="12"/>
        <v>○</v>
      </c>
      <c r="F85" s="104" t="str">
        <f t="shared" si="12"/>
        <v>×</v>
      </c>
      <c r="G85" s="103" t="s">
        <v>20</v>
      </c>
      <c r="H85" s="105"/>
      <c r="I85" s="105"/>
      <c r="J85" s="103" t="s">
        <v>58</v>
      </c>
      <c r="K85" s="103" t="s">
        <v>16</v>
      </c>
      <c r="L85" s="103" t="s">
        <v>68</v>
      </c>
      <c r="M85" s="108" t="str">
        <f t="shared" si="13"/>
        <v/>
      </c>
      <c r="N85" s="108" t="str">
        <f t="shared" si="13"/>
        <v/>
      </c>
      <c r="O85" s="108" t="str">
        <f t="shared" si="13"/>
        <v/>
      </c>
      <c r="P85" s="108" t="str">
        <f t="shared" si="13"/>
        <v/>
      </c>
      <c r="Q85" s="108" t="str">
        <f t="shared" si="13"/>
        <v>○</v>
      </c>
      <c r="R85" s="103" t="str">
        <f t="shared" si="13"/>
        <v/>
      </c>
      <c r="S85" s="105"/>
      <c r="T85" s="103" t="s">
        <v>30</v>
      </c>
      <c r="U85" s="103" t="s">
        <v>18</v>
      </c>
      <c r="V85" s="105"/>
    </row>
    <row r="86" spans="1:22" ht="13.5">
      <c r="A86" s="102">
        <v>45626.347368078699</v>
      </c>
      <c r="B86" s="103" t="s">
        <v>71</v>
      </c>
      <c r="C86" s="104" t="str">
        <f t="shared" si="12"/>
        <v>×</v>
      </c>
      <c r="D86" s="104" t="str">
        <f t="shared" si="12"/>
        <v>○</v>
      </c>
      <c r="E86" s="104" t="str">
        <f t="shared" si="12"/>
        <v>○</v>
      </c>
      <c r="F86" s="104" t="str">
        <f t="shared" si="12"/>
        <v>×</v>
      </c>
      <c r="G86" s="103" t="s">
        <v>13</v>
      </c>
      <c r="H86" s="103" t="s">
        <v>77</v>
      </c>
      <c r="I86" s="103" t="s">
        <v>451</v>
      </c>
      <c r="J86" s="105"/>
      <c r="K86" s="103" t="s">
        <v>34</v>
      </c>
      <c r="L86" s="105"/>
      <c r="M86" s="110" t="str">
        <f t="shared" si="13"/>
        <v/>
      </c>
      <c r="N86" s="110" t="str">
        <f t="shared" si="13"/>
        <v/>
      </c>
      <c r="O86" s="110" t="str">
        <f t="shared" si="13"/>
        <v/>
      </c>
      <c r="P86" s="110" t="str">
        <f t="shared" si="13"/>
        <v/>
      </c>
      <c r="Q86" s="110" t="str">
        <f t="shared" si="13"/>
        <v/>
      </c>
      <c r="R86" s="105" t="str">
        <f t="shared" si="13"/>
        <v/>
      </c>
      <c r="S86" s="105"/>
      <c r="T86" s="103" t="s">
        <v>35</v>
      </c>
      <c r="U86" s="103" t="s">
        <v>18</v>
      </c>
      <c r="V86" s="103" t="s">
        <v>452</v>
      </c>
    </row>
    <row r="87" spans="1:22" ht="13.5">
      <c r="A87" s="102">
        <v>45626.354539131949</v>
      </c>
      <c r="B87" s="103" t="s">
        <v>90</v>
      </c>
      <c r="C87" s="104" t="str">
        <f t="shared" si="12"/>
        <v>×</v>
      </c>
      <c r="D87" s="104" t="str">
        <f t="shared" si="12"/>
        <v>×</v>
      </c>
      <c r="E87" s="104" t="str">
        <f t="shared" si="12"/>
        <v>○</v>
      </c>
      <c r="F87" s="104" t="str">
        <f t="shared" si="12"/>
        <v>×</v>
      </c>
      <c r="G87" s="103" t="s">
        <v>13</v>
      </c>
      <c r="H87" s="103" t="s">
        <v>47</v>
      </c>
      <c r="I87" s="103" t="s">
        <v>459</v>
      </c>
      <c r="J87" s="105"/>
      <c r="K87" s="103" t="s">
        <v>34</v>
      </c>
      <c r="L87" s="105"/>
      <c r="M87" s="110" t="str">
        <f t="shared" si="13"/>
        <v/>
      </c>
      <c r="N87" s="110" t="str">
        <f t="shared" si="13"/>
        <v/>
      </c>
      <c r="O87" s="110" t="str">
        <f t="shared" si="13"/>
        <v/>
      </c>
      <c r="P87" s="110" t="str">
        <f t="shared" si="13"/>
        <v/>
      </c>
      <c r="Q87" s="110" t="str">
        <f t="shared" si="13"/>
        <v/>
      </c>
      <c r="R87" s="105" t="str">
        <f t="shared" si="13"/>
        <v/>
      </c>
      <c r="S87" s="105"/>
      <c r="T87" s="103" t="s">
        <v>460</v>
      </c>
      <c r="U87" s="103" t="s">
        <v>18</v>
      </c>
      <c r="V87" s="105"/>
    </row>
    <row r="88" spans="1:22" ht="13.5">
      <c r="A88" s="102">
        <v>45626.355076736116</v>
      </c>
      <c r="B88" s="103" t="s">
        <v>105</v>
      </c>
      <c r="C88" s="104" t="str">
        <f t="shared" si="12"/>
        <v>×</v>
      </c>
      <c r="D88" s="104" t="str">
        <f t="shared" si="12"/>
        <v>×</v>
      </c>
      <c r="E88" s="104" t="str">
        <f t="shared" si="12"/>
        <v>○</v>
      </c>
      <c r="F88" s="104" t="str">
        <f t="shared" si="12"/>
        <v>×</v>
      </c>
      <c r="G88" s="103" t="s">
        <v>20</v>
      </c>
      <c r="H88" s="105"/>
      <c r="I88" s="105"/>
      <c r="J88" s="103" t="s">
        <v>418</v>
      </c>
      <c r="K88" s="103" t="s">
        <v>34</v>
      </c>
      <c r="L88" s="105"/>
      <c r="M88" s="110" t="str">
        <f t="shared" si="13"/>
        <v/>
      </c>
      <c r="N88" s="110" t="str">
        <f t="shared" si="13"/>
        <v/>
      </c>
      <c r="O88" s="110" t="str">
        <f t="shared" si="13"/>
        <v/>
      </c>
      <c r="P88" s="110" t="str">
        <f t="shared" si="13"/>
        <v/>
      </c>
      <c r="Q88" s="110" t="str">
        <f t="shared" si="13"/>
        <v/>
      </c>
      <c r="R88" s="105" t="str">
        <f t="shared" si="13"/>
        <v/>
      </c>
      <c r="S88" s="105"/>
      <c r="T88" s="103" t="s">
        <v>463</v>
      </c>
      <c r="U88" s="103" t="s">
        <v>18</v>
      </c>
      <c r="V88" s="105"/>
    </row>
    <row r="89" spans="1:22" ht="13.5">
      <c r="A89" s="102">
        <v>45626.357907500002</v>
      </c>
      <c r="B89" s="103" t="s">
        <v>90</v>
      </c>
      <c r="C89" s="104" t="str">
        <f t="shared" si="12"/>
        <v>×</v>
      </c>
      <c r="D89" s="104" t="str">
        <f t="shared" si="12"/>
        <v>×</v>
      </c>
      <c r="E89" s="104" t="str">
        <f t="shared" si="12"/>
        <v>○</v>
      </c>
      <c r="F89" s="104" t="str">
        <f t="shared" si="12"/>
        <v>×</v>
      </c>
      <c r="G89" s="103" t="s">
        <v>13</v>
      </c>
      <c r="H89" s="103" t="s">
        <v>47</v>
      </c>
      <c r="I89" s="103" t="s">
        <v>464</v>
      </c>
      <c r="J89" s="105"/>
      <c r="K89" s="103" t="s">
        <v>34</v>
      </c>
      <c r="L89" s="105"/>
      <c r="M89" s="110" t="str">
        <f t="shared" si="13"/>
        <v/>
      </c>
      <c r="N89" s="110" t="str">
        <f t="shared" si="13"/>
        <v/>
      </c>
      <c r="O89" s="110" t="str">
        <f t="shared" si="13"/>
        <v/>
      </c>
      <c r="P89" s="110" t="str">
        <f t="shared" si="13"/>
        <v/>
      </c>
      <c r="Q89" s="110" t="str">
        <f t="shared" si="13"/>
        <v/>
      </c>
      <c r="R89" s="105" t="str">
        <f t="shared" si="13"/>
        <v/>
      </c>
      <c r="S89" s="105"/>
      <c r="T89" s="103" t="s">
        <v>30</v>
      </c>
      <c r="U89" s="103" t="s">
        <v>18</v>
      </c>
      <c r="V89" s="105"/>
    </row>
    <row r="90" spans="1:22" ht="13.5">
      <c r="A90" s="102">
        <v>45626.35816653935</v>
      </c>
      <c r="B90" s="103" t="s">
        <v>64</v>
      </c>
      <c r="C90" s="104" t="str">
        <f t="shared" si="12"/>
        <v>○</v>
      </c>
      <c r="D90" s="104" t="str">
        <f t="shared" si="12"/>
        <v>○</v>
      </c>
      <c r="E90" s="104" t="str">
        <f t="shared" si="12"/>
        <v>×</v>
      </c>
      <c r="F90" s="104" t="str">
        <f t="shared" si="12"/>
        <v>×</v>
      </c>
      <c r="G90" s="103" t="s">
        <v>13</v>
      </c>
      <c r="H90" s="103" t="s">
        <v>27</v>
      </c>
      <c r="I90" s="103" t="s">
        <v>465</v>
      </c>
      <c r="J90" s="105"/>
      <c r="K90" s="103" t="s">
        <v>34</v>
      </c>
      <c r="L90" s="105"/>
      <c r="M90" s="110" t="str">
        <f t="shared" si="13"/>
        <v/>
      </c>
      <c r="N90" s="110" t="str">
        <f t="shared" si="13"/>
        <v/>
      </c>
      <c r="O90" s="110" t="str">
        <f t="shared" si="13"/>
        <v/>
      </c>
      <c r="P90" s="110" t="str">
        <f t="shared" si="13"/>
        <v/>
      </c>
      <c r="Q90" s="110" t="str">
        <f t="shared" si="13"/>
        <v/>
      </c>
      <c r="R90" s="105" t="str">
        <f t="shared" si="13"/>
        <v/>
      </c>
      <c r="S90" s="105"/>
      <c r="T90" s="103" t="s">
        <v>61</v>
      </c>
      <c r="U90" s="103" t="s">
        <v>18</v>
      </c>
      <c r="V90" s="105"/>
    </row>
    <row r="91" spans="1:22" ht="13.5">
      <c r="A91" s="102">
        <v>45626.369456655091</v>
      </c>
      <c r="B91" s="103" t="s">
        <v>105</v>
      </c>
      <c r="C91" s="104" t="str">
        <f t="shared" si="12"/>
        <v>×</v>
      </c>
      <c r="D91" s="104" t="str">
        <f t="shared" si="12"/>
        <v>×</v>
      </c>
      <c r="E91" s="104" t="str">
        <f t="shared" si="12"/>
        <v>○</v>
      </c>
      <c r="F91" s="104" t="str">
        <f t="shared" si="12"/>
        <v>×</v>
      </c>
      <c r="G91" s="103" t="s">
        <v>13</v>
      </c>
      <c r="H91" s="103" t="s">
        <v>14</v>
      </c>
      <c r="I91" s="103" t="s">
        <v>475</v>
      </c>
      <c r="J91" s="105"/>
      <c r="K91" s="103" t="s">
        <v>16</v>
      </c>
      <c r="L91" s="103" t="s">
        <v>476</v>
      </c>
      <c r="M91" s="108" t="str">
        <f t="shared" si="13"/>
        <v/>
      </c>
      <c r="N91" s="108" t="str">
        <f t="shared" si="13"/>
        <v/>
      </c>
      <c r="O91" s="108" t="str">
        <f t="shared" si="13"/>
        <v/>
      </c>
      <c r="P91" s="108" t="str">
        <f t="shared" si="13"/>
        <v/>
      </c>
      <c r="Q91" s="108" t="str">
        <f t="shared" si="13"/>
        <v/>
      </c>
      <c r="R91" s="103" t="str">
        <f t="shared" si="13"/>
        <v/>
      </c>
      <c r="S91" s="105"/>
      <c r="T91" s="103" t="s">
        <v>35</v>
      </c>
      <c r="U91" s="103" t="s">
        <v>18</v>
      </c>
      <c r="V91" s="105"/>
    </row>
    <row r="92" spans="1:22" ht="13.5">
      <c r="A92" s="102">
        <v>45626.377394606483</v>
      </c>
      <c r="B92" s="103" t="s">
        <v>71</v>
      </c>
      <c r="C92" s="104" t="str">
        <f t="shared" si="12"/>
        <v>×</v>
      </c>
      <c r="D92" s="104" t="str">
        <f t="shared" si="12"/>
        <v>○</v>
      </c>
      <c r="E92" s="104" t="str">
        <f t="shared" si="12"/>
        <v>○</v>
      </c>
      <c r="F92" s="104" t="str">
        <f t="shared" si="12"/>
        <v>×</v>
      </c>
      <c r="G92" s="103" t="s">
        <v>20</v>
      </c>
      <c r="H92" s="105"/>
      <c r="I92" s="105"/>
      <c r="J92" s="103" t="s">
        <v>21</v>
      </c>
      <c r="K92" s="103" t="s">
        <v>16</v>
      </c>
      <c r="L92" s="103" t="s">
        <v>88</v>
      </c>
      <c r="M92" s="108" t="str">
        <f t="shared" ref="M92:R101" si="14">IF(ISERROR(SEARCH(M$1,$L92)),"","○")</f>
        <v/>
      </c>
      <c r="N92" s="108" t="str">
        <f t="shared" si="14"/>
        <v>○</v>
      </c>
      <c r="O92" s="108" t="str">
        <f t="shared" si="14"/>
        <v/>
      </c>
      <c r="P92" s="108" t="str">
        <f t="shared" si="14"/>
        <v/>
      </c>
      <c r="Q92" s="108" t="str">
        <f t="shared" si="14"/>
        <v>○</v>
      </c>
      <c r="R92" s="103" t="str">
        <f t="shared" si="14"/>
        <v/>
      </c>
      <c r="S92" s="105"/>
      <c r="T92" s="103" t="s">
        <v>30</v>
      </c>
      <c r="U92" s="103" t="s">
        <v>18</v>
      </c>
      <c r="V92" s="103" t="s">
        <v>484</v>
      </c>
    </row>
    <row r="93" spans="1:22" ht="13.5">
      <c r="A93" s="102">
        <v>45626.379141053243</v>
      </c>
      <c r="B93" s="103" t="s">
        <v>90</v>
      </c>
      <c r="C93" s="104" t="str">
        <f t="shared" si="12"/>
        <v>×</v>
      </c>
      <c r="D93" s="104" t="str">
        <f t="shared" si="12"/>
        <v>×</v>
      </c>
      <c r="E93" s="104" t="str">
        <f t="shared" si="12"/>
        <v>○</v>
      </c>
      <c r="F93" s="104" t="str">
        <f t="shared" si="12"/>
        <v>×</v>
      </c>
      <c r="G93" s="103" t="s">
        <v>13</v>
      </c>
      <c r="H93" s="103" t="s">
        <v>32</v>
      </c>
      <c r="I93" s="103" t="s">
        <v>488</v>
      </c>
      <c r="J93" s="105"/>
      <c r="K93" s="103" t="s">
        <v>34</v>
      </c>
      <c r="L93" s="105"/>
      <c r="M93" s="110" t="str">
        <f t="shared" si="14"/>
        <v/>
      </c>
      <c r="N93" s="110" t="str">
        <f t="shared" si="14"/>
        <v/>
      </c>
      <c r="O93" s="110" t="str">
        <f t="shared" si="14"/>
        <v/>
      </c>
      <c r="P93" s="110" t="str">
        <f t="shared" si="14"/>
        <v/>
      </c>
      <c r="Q93" s="110" t="str">
        <f t="shared" si="14"/>
        <v/>
      </c>
      <c r="R93" s="105" t="str">
        <f t="shared" si="14"/>
        <v/>
      </c>
      <c r="S93" s="105"/>
      <c r="T93" s="103" t="s">
        <v>30</v>
      </c>
      <c r="U93" s="103" t="s">
        <v>18</v>
      </c>
      <c r="V93" s="105"/>
    </row>
    <row r="94" spans="1:22" ht="13.5">
      <c r="A94" s="102">
        <v>45626.379342824075</v>
      </c>
      <c r="B94" s="103" t="s">
        <v>49</v>
      </c>
      <c r="C94" s="104" t="str">
        <f t="shared" si="12"/>
        <v>×</v>
      </c>
      <c r="D94" s="104" t="str">
        <f t="shared" si="12"/>
        <v>○</v>
      </c>
      <c r="E94" s="104" t="str">
        <f t="shared" si="12"/>
        <v>×</v>
      </c>
      <c r="F94" s="104" t="str">
        <f t="shared" si="12"/>
        <v>×</v>
      </c>
      <c r="G94" s="103" t="s">
        <v>13</v>
      </c>
      <c r="H94" s="103" t="s">
        <v>27</v>
      </c>
      <c r="I94" s="103" t="s">
        <v>489</v>
      </c>
      <c r="J94" s="105"/>
      <c r="K94" s="103" t="s">
        <v>34</v>
      </c>
      <c r="L94" s="105"/>
      <c r="M94" s="110" t="str">
        <f t="shared" si="14"/>
        <v/>
      </c>
      <c r="N94" s="110" t="str">
        <f t="shared" si="14"/>
        <v/>
      </c>
      <c r="O94" s="110" t="str">
        <f t="shared" si="14"/>
        <v/>
      </c>
      <c r="P94" s="110" t="str">
        <f t="shared" si="14"/>
        <v/>
      </c>
      <c r="Q94" s="110" t="str">
        <f t="shared" si="14"/>
        <v/>
      </c>
      <c r="R94" s="105" t="str">
        <f t="shared" si="14"/>
        <v/>
      </c>
      <c r="S94" s="105"/>
      <c r="T94" s="103" t="s">
        <v>490</v>
      </c>
      <c r="U94" s="103" t="s">
        <v>18</v>
      </c>
      <c r="V94" s="103" t="s">
        <v>491</v>
      </c>
    </row>
    <row r="95" spans="1:22" ht="13.5">
      <c r="A95" s="102">
        <v>45626.381153425929</v>
      </c>
      <c r="B95" s="103" t="s">
        <v>497</v>
      </c>
      <c r="C95" s="104" t="str">
        <f t="shared" si="12"/>
        <v>×</v>
      </c>
      <c r="D95" s="104" t="str">
        <f t="shared" si="12"/>
        <v>○</v>
      </c>
      <c r="E95" s="104" t="str">
        <f t="shared" si="12"/>
        <v>○</v>
      </c>
      <c r="F95" s="104" t="str">
        <f t="shared" si="12"/>
        <v>○</v>
      </c>
      <c r="G95" s="103" t="s">
        <v>13</v>
      </c>
      <c r="H95" s="103" t="s">
        <v>27</v>
      </c>
      <c r="I95" s="103" t="s">
        <v>498</v>
      </c>
      <c r="J95" s="105"/>
      <c r="K95" s="103" t="s">
        <v>34</v>
      </c>
      <c r="L95" s="105"/>
      <c r="M95" s="110" t="str">
        <f t="shared" si="14"/>
        <v/>
      </c>
      <c r="N95" s="110" t="str">
        <f t="shared" si="14"/>
        <v/>
      </c>
      <c r="O95" s="110" t="str">
        <f t="shared" si="14"/>
        <v/>
      </c>
      <c r="P95" s="110" t="str">
        <f t="shared" si="14"/>
        <v/>
      </c>
      <c r="Q95" s="110" t="str">
        <f t="shared" si="14"/>
        <v/>
      </c>
      <c r="R95" s="105" t="str">
        <f t="shared" si="14"/>
        <v/>
      </c>
      <c r="S95" s="105"/>
      <c r="T95" s="103" t="s">
        <v>30</v>
      </c>
      <c r="U95" s="103" t="s">
        <v>18</v>
      </c>
      <c r="V95" s="105"/>
    </row>
    <row r="96" spans="1:22" ht="13.5">
      <c r="A96" s="102">
        <v>45626.381475405091</v>
      </c>
      <c r="B96" s="103" t="s">
        <v>93</v>
      </c>
      <c r="C96" s="104" t="str">
        <f t="shared" si="12"/>
        <v>×</v>
      </c>
      <c r="D96" s="104" t="str">
        <f t="shared" si="12"/>
        <v>×</v>
      </c>
      <c r="E96" s="104" t="str">
        <f t="shared" si="12"/>
        <v>○</v>
      </c>
      <c r="F96" s="104" t="str">
        <f t="shared" si="12"/>
        <v>×</v>
      </c>
      <c r="G96" s="103" t="s">
        <v>20</v>
      </c>
      <c r="H96" s="105"/>
      <c r="I96" s="105"/>
      <c r="J96" s="103" t="s">
        <v>58</v>
      </c>
      <c r="K96" s="103" t="s">
        <v>16</v>
      </c>
      <c r="L96" s="103" t="s">
        <v>39</v>
      </c>
      <c r="M96" s="108" t="str">
        <f t="shared" si="14"/>
        <v/>
      </c>
      <c r="N96" s="108" t="str">
        <f t="shared" si="14"/>
        <v>○</v>
      </c>
      <c r="O96" s="108" t="str">
        <f t="shared" si="14"/>
        <v/>
      </c>
      <c r="P96" s="108" t="str">
        <f t="shared" si="14"/>
        <v/>
      </c>
      <c r="Q96" s="108" t="str">
        <f t="shared" si="14"/>
        <v/>
      </c>
      <c r="R96" s="103" t="str">
        <f t="shared" si="14"/>
        <v/>
      </c>
      <c r="S96" s="105"/>
      <c r="T96" s="103" t="s">
        <v>35</v>
      </c>
      <c r="U96" s="103" t="s">
        <v>18</v>
      </c>
      <c r="V96" s="105"/>
    </row>
    <row r="97" spans="1:22" ht="13.5">
      <c r="A97" s="102">
        <v>45626.385784548613</v>
      </c>
      <c r="B97" s="103" t="s">
        <v>90</v>
      </c>
      <c r="C97" s="104" t="str">
        <f t="shared" si="12"/>
        <v>×</v>
      </c>
      <c r="D97" s="104" t="str">
        <f t="shared" si="12"/>
        <v>×</v>
      </c>
      <c r="E97" s="104" t="str">
        <f t="shared" si="12"/>
        <v>○</v>
      </c>
      <c r="F97" s="104" t="str">
        <f t="shared" si="12"/>
        <v>×</v>
      </c>
      <c r="G97" s="103" t="s">
        <v>20</v>
      </c>
      <c r="H97" s="105"/>
      <c r="I97" s="105"/>
      <c r="J97" s="103" t="s">
        <v>58</v>
      </c>
      <c r="K97" s="103" t="s">
        <v>16</v>
      </c>
      <c r="L97" s="103" t="s">
        <v>39</v>
      </c>
      <c r="M97" s="108" t="str">
        <f t="shared" si="14"/>
        <v/>
      </c>
      <c r="N97" s="108" t="str">
        <f t="shared" si="14"/>
        <v>○</v>
      </c>
      <c r="O97" s="108" t="str">
        <f t="shared" si="14"/>
        <v/>
      </c>
      <c r="P97" s="108" t="str">
        <f t="shared" si="14"/>
        <v/>
      </c>
      <c r="Q97" s="108" t="str">
        <f t="shared" si="14"/>
        <v/>
      </c>
      <c r="R97" s="103" t="str">
        <f t="shared" si="14"/>
        <v/>
      </c>
      <c r="S97" s="105"/>
      <c r="T97" s="103" t="s">
        <v>30</v>
      </c>
      <c r="U97" s="103" t="s">
        <v>18</v>
      </c>
      <c r="V97" s="105"/>
    </row>
    <row r="98" spans="1:22" ht="13.5">
      <c r="A98" s="102">
        <v>45626.388141863426</v>
      </c>
      <c r="B98" s="103" t="s">
        <v>108</v>
      </c>
      <c r="C98" s="104" t="str">
        <f t="shared" si="12"/>
        <v>×</v>
      </c>
      <c r="D98" s="104" t="str">
        <f t="shared" si="12"/>
        <v>○</v>
      </c>
      <c r="E98" s="104" t="str">
        <f t="shared" si="12"/>
        <v>○</v>
      </c>
      <c r="F98" s="104" t="str">
        <f t="shared" si="12"/>
        <v>×</v>
      </c>
      <c r="G98" s="103" t="s">
        <v>13</v>
      </c>
      <c r="H98" s="103" t="s">
        <v>32</v>
      </c>
      <c r="I98" s="103" t="s">
        <v>303</v>
      </c>
      <c r="J98" s="105"/>
      <c r="K98" s="103" t="s">
        <v>34</v>
      </c>
      <c r="L98" s="105"/>
      <c r="M98" s="110" t="str">
        <f t="shared" si="14"/>
        <v/>
      </c>
      <c r="N98" s="110" t="str">
        <f t="shared" si="14"/>
        <v/>
      </c>
      <c r="O98" s="110" t="str">
        <f t="shared" si="14"/>
        <v/>
      </c>
      <c r="P98" s="110" t="str">
        <f t="shared" si="14"/>
        <v/>
      </c>
      <c r="Q98" s="110" t="str">
        <f t="shared" si="14"/>
        <v/>
      </c>
      <c r="R98" s="105" t="str">
        <f t="shared" si="14"/>
        <v/>
      </c>
      <c r="S98" s="105"/>
      <c r="T98" s="103" t="s">
        <v>35</v>
      </c>
      <c r="U98" s="103" t="s">
        <v>18</v>
      </c>
      <c r="V98" s="105"/>
    </row>
    <row r="99" spans="1:22" ht="13.5">
      <c r="A99" s="102">
        <v>45626.388525729169</v>
      </c>
      <c r="B99" s="103" t="s">
        <v>499</v>
      </c>
      <c r="C99" s="104" t="str">
        <f t="shared" si="12"/>
        <v>×</v>
      </c>
      <c r="D99" s="104" t="str">
        <f t="shared" si="12"/>
        <v>○</v>
      </c>
      <c r="E99" s="104" t="str">
        <f t="shared" si="12"/>
        <v>○</v>
      </c>
      <c r="F99" s="104" t="str">
        <f t="shared" si="12"/>
        <v>○</v>
      </c>
      <c r="G99" s="103" t="s">
        <v>20</v>
      </c>
      <c r="H99" s="105"/>
      <c r="I99" s="105"/>
      <c r="J99" s="103" t="s">
        <v>21</v>
      </c>
      <c r="K99" s="103" t="s">
        <v>16</v>
      </c>
      <c r="L99" s="103" t="s">
        <v>88</v>
      </c>
      <c r="M99" s="108" t="str">
        <f t="shared" si="14"/>
        <v/>
      </c>
      <c r="N99" s="108" t="str">
        <f t="shared" si="14"/>
        <v>○</v>
      </c>
      <c r="O99" s="108" t="str">
        <f t="shared" si="14"/>
        <v/>
      </c>
      <c r="P99" s="108" t="str">
        <f t="shared" si="14"/>
        <v/>
      </c>
      <c r="Q99" s="108" t="str">
        <f t="shared" si="14"/>
        <v>○</v>
      </c>
      <c r="R99" s="103" t="str">
        <f t="shared" si="14"/>
        <v/>
      </c>
      <c r="S99" s="105"/>
      <c r="T99" s="103" t="s">
        <v>30</v>
      </c>
      <c r="U99" s="103" t="s">
        <v>18</v>
      </c>
      <c r="V99" s="105"/>
    </row>
    <row r="100" spans="1:22" ht="13.5">
      <c r="A100" s="102">
        <v>45626.393566134255</v>
      </c>
      <c r="B100" s="103" t="s">
        <v>90</v>
      </c>
      <c r="C100" s="104" t="str">
        <f t="shared" si="12"/>
        <v>×</v>
      </c>
      <c r="D100" s="104" t="str">
        <f t="shared" si="12"/>
        <v>×</v>
      </c>
      <c r="E100" s="104" t="str">
        <f t="shared" si="12"/>
        <v>○</v>
      </c>
      <c r="F100" s="104" t="str">
        <f t="shared" si="12"/>
        <v>×</v>
      </c>
      <c r="G100" s="103" t="s">
        <v>13</v>
      </c>
      <c r="H100" s="103" t="s">
        <v>47</v>
      </c>
      <c r="I100" s="103" t="s">
        <v>503</v>
      </c>
      <c r="J100" s="105"/>
      <c r="K100" s="103" t="s">
        <v>34</v>
      </c>
      <c r="L100" s="105"/>
      <c r="M100" s="110" t="str">
        <f t="shared" si="14"/>
        <v/>
      </c>
      <c r="N100" s="110" t="str">
        <f t="shared" si="14"/>
        <v/>
      </c>
      <c r="O100" s="110" t="str">
        <f t="shared" si="14"/>
        <v/>
      </c>
      <c r="P100" s="110" t="str">
        <f t="shared" si="14"/>
        <v/>
      </c>
      <c r="Q100" s="110" t="str">
        <f t="shared" si="14"/>
        <v/>
      </c>
      <c r="R100" s="105" t="str">
        <f t="shared" si="14"/>
        <v/>
      </c>
      <c r="S100" s="105"/>
      <c r="T100" s="103" t="s">
        <v>504</v>
      </c>
      <c r="U100" s="103" t="s">
        <v>18</v>
      </c>
      <c r="V100" s="103" t="s">
        <v>505</v>
      </c>
    </row>
    <row r="101" spans="1:22" ht="13.5">
      <c r="A101" s="102">
        <v>45626.393856620372</v>
      </c>
      <c r="B101" s="103" t="s">
        <v>105</v>
      </c>
      <c r="C101" s="104" t="str">
        <f t="shared" si="12"/>
        <v>×</v>
      </c>
      <c r="D101" s="104" t="str">
        <f t="shared" si="12"/>
        <v>×</v>
      </c>
      <c r="E101" s="104" t="str">
        <f t="shared" si="12"/>
        <v>○</v>
      </c>
      <c r="F101" s="104" t="str">
        <f t="shared" si="12"/>
        <v>×</v>
      </c>
      <c r="G101" s="103" t="s">
        <v>20</v>
      </c>
      <c r="H101" s="105"/>
      <c r="I101" s="105"/>
      <c r="J101" s="103" t="s">
        <v>58</v>
      </c>
      <c r="K101" s="103" t="s">
        <v>16</v>
      </c>
      <c r="L101" s="103" t="s">
        <v>68</v>
      </c>
      <c r="M101" s="108" t="str">
        <f t="shared" si="14"/>
        <v/>
      </c>
      <c r="N101" s="108" t="str">
        <f t="shared" si="14"/>
        <v/>
      </c>
      <c r="O101" s="108" t="str">
        <f t="shared" si="14"/>
        <v/>
      </c>
      <c r="P101" s="108" t="str">
        <f t="shared" si="14"/>
        <v/>
      </c>
      <c r="Q101" s="108" t="str">
        <f t="shared" si="14"/>
        <v>○</v>
      </c>
      <c r="R101" s="103" t="str">
        <f t="shared" si="14"/>
        <v/>
      </c>
      <c r="S101" s="105"/>
      <c r="T101" s="103" t="s">
        <v>30</v>
      </c>
      <c r="U101" s="103" t="s">
        <v>18</v>
      </c>
      <c r="V101" s="105"/>
    </row>
    <row r="102" spans="1:22" ht="13.5">
      <c r="A102" s="102">
        <v>45626.400667349539</v>
      </c>
      <c r="B102" s="103" t="s">
        <v>90</v>
      </c>
      <c r="C102" s="104" t="str">
        <f t="shared" ref="C102:F121" si="15">IF(ISERROR(FIND(C$1,$B102)),"×","○")</f>
        <v>×</v>
      </c>
      <c r="D102" s="104" t="str">
        <f t="shared" si="15"/>
        <v>×</v>
      </c>
      <c r="E102" s="104" t="str">
        <f t="shared" si="15"/>
        <v>○</v>
      </c>
      <c r="F102" s="104" t="str">
        <f t="shared" si="15"/>
        <v>×</v>
      </c>
      <c r="G102" s="103" t="s">
        <v>20</v>
      </c>
      <c r="H102" s="105"/>
      <c r="I102" s="105"/>
      <c r="J102" s="103" t="s">
        <v>58</v>
      </c>
      <c r="K102" s="103" t="s">
        <v>16</v>
      </c>
      <c r="L102" s="103" t="s">
        <v>59</v>
      </c>
      <c r="M102" s="108" t="str">
        <f t="shared" ref="M102:R111" si="16">IF(ISERROR(SEARCH(M$1,$L102)),"","○")</f>
        <v/>
      </c>
      <c r="N102" s="108" t="str">
        <f t="shared" si="16"/>
        <v/>
      </c>
      <c r="O102" s="108" t="str">
        <f t="shared" si="16"/>
        <v/>
      </c>
      <c r="P102" s="108" t="str">
        <f t="shared" si="16"/>
        <v>○</v>
      </c>
      <c r="Q102" s="108" t="str">
        <f t="shared" si="16"/>
        <v/>
      </c>
      <c r="R102" s="103" t="str">
        <f t="shared" si="16"/>
        <v/>
      </c>
      <c r="S102" s="105"/>
      <c r="T102" s="103" t="s">
        <v>24</v>
      </c>
      <c r="U102" s="103" t="s">
        <v>18</v>
      </c>
      <c r="V102" s="105"/>
    </row>
    <row r="103" spans="1:22" ht="13.5">
      <c r="A103" s="102">
        <v>45626.404436944445</v>
      </c>
      <c r="B103" s="103" t="s">
        <v>64</v>
      </c>
      <c r="C103" s="104" t="str">
        <f t="shared" si="15"/>
        <v>○</v>
      </c>
      <c r="D103" s="104" t="str">
        <f t="shared" si="15"/>
        <v>○</v>
      </c>
      <c r="E103" s="104" t="str">
        <f t="shared" si="15"/>
        <v>×</v>
      </c>
      <c r="F103" s="104" t="str">
        <f t="shared" si="15"/>
        <v>×</v>
      </c>
      <c r="G103" s="103" t="s">
        <v>13</v>
      </c>
      <c r="H103" s="103" t="s">
        <v>27</v>
      </c>
      <c r="I103" s="103" t="s">
        <v>240</v>
      </c>
      <c r="J103" s="105"/>
      <c r="K103" s="103" t="s">
        <v>34</v>
      </c>
      <c r="L103" s="105"/>
      <c r="M103" s="110" t="str">
        <f t="shared" si="16"/>
        <v/>
      </c>
      <c r="N103" s="110" t="str">
        <f t="shared" si="16"/>
        <v/>
      </c>
      <c r="O103" s="110" t="str">
        <f t="shared" si="16"/>
        <v/>
      </c>
      <c r="P103" s="110" t="str">
        <f t="shared" si="16"/>
        <v/>
      </c>
      <c r="Q103" s="110" t="str">
        <f t="shared" si="16"/>
        <v/>
      </c>
      <c r="R103" s="105" t="str">
        <f t="shared" si="16"/>
        <v/>
      </c>
      <c r="S103" s="105"/>
      <c r="T103" s="103" t="s">
        <v>30</v>
      </c>
      <c r="U103" s="103" t="s">
        <v>18</v>
      </c>
      <c r="V103" s="103" t="s">
        <v>513</v>
      </c>
    </row>
    <row r="104" spans="1:22" ht="13.5">
      <c r="A104" s="102">
        <v>45626.414141516201</v>
      </c>
      <c r="B104" s="103" t="s">
        <v>514</v>
      </c>
      <c r="C104" s="104" t="str">
        <f t="shared" si="15"/>
        <v>○</v>
      </c>
      <c r="D104" s="104" t="str">
        <f t="shared" si="15"/>
        <v>○</v>
      </c>
      <c r="E104" s="104" t="str">
        <f t="shared" si="15"/>
        <v>×</v>
      </c>
      <c r="F104" s="104" t="str">
        <f t="shared" si="15"/>
        <v>×</v>
      </c>
      <c r="G104" s="103" t="s">
        <v>13</v>
      </c>
      <c r="H104" s="103" t="s">
        <v>32</v>
      </c>
      <c r="I104" s="103" t="s">
        <v>515</v>
      </c>
      <c r="J104" s="105"/>
      <c r="K104" s="103" t="s">
        <v>34</v>
      </c>
      <c r="L104" s="105"/>
      <c r="M104" s="110" t="str">
        <f t="shared" si="16"/>
        <v/>
      </c>
      <c r="N104" s="110" t="str">
        <f t="shared" si="16"/>
        <v/>
      </c>
      <c r="O104" s="110" t="str">
        <f t="shared" si="16"/>
        <v/>
      </c>
      <c r="P104" s="110" t="str">
        <f t="shared" si="16"/>
        <v/>
      </c>
      <c r="Q104" s="110" t="str">
        <f t="shared" si="16"/>
        <v/>
      </c>
      <c r="R104" s="105" t="str">
        <f t="shared" si="16"/>
        <v/>
      </c>
      <c r="S104" s="105"/>
      <c r="T104" s="103" t="s">
        <v>35</v>
      </c>
      <c r="U104" s="103" t="s">
        <v>18</v>
      </c>
      <c r="V104" s="105"/>
    </row>
    <row r="105" spans="1:22" ht="13.5">
      <c r="A105" s="102">
        <v>45626.420365682869</v>
      </c>
      <c r="B105" s="103" t="s">
        <v>516</v>
      </c>
      <c r="C105" s="104" t="str">
        <f t="shared" si="15"/>
        <v>○</v>
      </c>
      <c r="D105" s="104" t="str">
        <f t="shared" si="15"/>
        <v>○</v>
      </c>
      <c r="E105" s="104" t="str">
        <f t="shared" si="15"/>
        <v>○</v>
      </c>
      <c r="F105" s="104" t="str">
        <f t="shared" si="15"/>
        <v>×</v>
      </c>
      <c r="G105" s="103" t="s">
        <v>20</v>
      </c>
      <c r="H105" s="105"/>
      <c r="I105" s="105"/>
      <c r="J105" s="103" t="s">
        <v>38</v>
      </c>
      <c r="K105" s="103" t="s">
        <v>16</v>
      </c>
      <c r="L105" s="103" t="s">
        <v>68</v>
      </c>
      <c r="M105" s="108" t="str">
        <f t="shared" si="16"/>
        <v/>
      </c>
      <c r="N105" s="108" t="str">
        <f t="shared" si="16"/>
        <v/>
      </c>
      <c r="O105" s="108" t="str">
        <f t="shared" si="16"/>
        <v/>
      </c>
      <c r="P105" s="108" t="str">
        <f t="shared" si="16"/>
        <v/>
      </c>
      <c r="Q105" s="108" t="str">
        <f t="shared" si="16"/>
        <v>○</v>
      </c>
      <c r="R105" s="103" t="str">
        <f t="shared" si="16"/>
        <v/>
      </c>
      <c r="S105" s="103" t="s">
        <v>517</v>
      </c>
      <c r="T105" s="103" t="s">
        <v>30</v>
      </c>
      <c r="U105" s="103" t="s">
        <v>18</v>
      </c>
      <c r="V105" s="103" t="s">
        <v>518</v>
      </c>
    </row>
    <row r="106" spans="1:22" ht="13.5">
      <c r="A106" s="102">
        <v>45626.446685266201</v>
      </c>
      <c r="B106" s="103" t="s">
        <v>147</v>
      </c>
      <c r="C106" s="104" t="str">
        <f t="shared" si="15"/>
        <v>×</v>
      </c>
      <c r="D106" s="104" t="str">
        <f t="shared" si="15"/>
        <v>○</v>
      </c>
      <c r="E106" s="104" t="str">
        <f t="shared" si="15"/>
        <v>○</v>
      </c>
      <c r="F106" s="104" t="str">
        <f t="shared" si="15"/>
        <v>×</v>
      </c>
      <c r="G106" s="103" t="s">
        <v>20</v>
      </c>
      <c r="H106" s="105"/>
      <c r="I106" s="105"/>
      <c r="J106" s="103" t="s">
        <v>21</v>
      </c>
      <c r="K106" s="103" t="s">
        <v>16</v>
      </c>
      <c r="L106" s="103" t="s">
        <v>59</v>
      </c>
      <c r="M106" s="108" t="str">
        <f t="shared" si="16"/>
        <v/>
      </c>
      <c r="N106" s="108" t="str">
        <f t="shared" si="16"/>
        <v/>
      </c>
      <c r="O106" s="108" t="str">
        <f t="shared" si="16"/>
        <v/>
      </c>
      <c r="P106" s="108" t="str">
        <f t="shared" si="16"/>
        <v>○</v>
      </c>
      <c r="Q106" s="108" t="str">
        <f t="shared" si="16"/>
        <v/>
      </c>
      <c r="R106" s="103" t="str">
        <f t="shared" si="16"/>
        <v/>
      </c>
      <c r="S106" s="103" t="s">
        <v>526</v>
      </c>
      <c r="T106" s="103" t="s">
        <v>24</v>
      </c>
      <c r="U106" s="103" t="s">
        <v>18</v>
      </c>
      <c r="V106" s="103" t="s">
        <v>527</v>
      </c>
    </row>
    <row r="107" spans="1:22" ht="13.5">
      <c r="A107" s="102">
        <v>45626.450067291662</v>
      </c>
      <c r="B107" s="103" t="s">
        <v>528</v>
      </c>
      <c r="C107" s="104" t="str">
        <f t="shared" si="15"/>
        <v>×</v>
      </c>
      <c r="D107" s="104" t="str">
        <f t="shared" si="15"/>
        <v>○</v>
      </c>
      <c r="E107" s="104" t="str">
        <f t="shared" si="15"/>
        <v>×</v>
      </c>
      <c r="F107" s="104" t="str">
        <f t="shared" si="15"/>
        <v>×</v>
      </c>
      <c r="G107" s="103" t="s">
        <v>13</v>
      </c>
      <c r="H107" s="103" t="s">
        <v>14</v>
      </c>
      <c r="I107" s="103" t="s">
        <v>529</v>
      </c>
      <c r="J107" s="105"/>
      <c r="K107" s="103" t="s">
        <v>34</v>
      </c>
      <c r="L107" s="105"/>
      <c r="M107" s="110" t="str">
        <f t="shared" si="16"/>
        <v/>
      </c>
      <c r="N107" s="110" t="str">
        <f t="shared" si="16"/>
        <v/>
      </c>
      <c r="O107" s="110" t="str">
        <f t="shared" si="16"/>
        <v/>
      </c>
      <c r="P107" s="110" t="str">
        <f t="shared" si="16"/>
        <v/>
      </c>
      <c r="Q107" s="110" t="str">
        <f t="shared" si="16"/>
        <v/>
      </c>
      <c r="R107" s="105" t="str">
        <f t="shared" si="16"/>
        <v/>
      </c>
      <c r="S107" s="105"/>
      <c r="T107" s="103" t="s">
        <v>35</v>
      </c>
      <c r="U107" s="103" t="s">
        <v>18</v>
      </c>
      <c r="V107" s="103" t="s">
        <v>530</v>
      </c>
    </row>
    <row r="108" spans="1:22" ht="13.5">
      <c r="A108" s="102">
        <v>45626.454057349532</v>
      </c>
      <c r="B108" s="103" t="s">
        <v>147</v>
      </c>
      <c r="C108" s="104" t="str">
        <f t="shared" si="15"/>
        <v>×</v>
      </c>
      <c r="D108" s="104" t="str">
        <f t="shared" si="15"/>
        <v>○</v>
      </c>
      <c r="E108" s="104" t="str">
        <f t="shared" si="15"/>
        <v>○</v>
      </c>
      <c r="F108" s="104" t="str">
        <f t="shared" si="15"/>
        <v>×</v>
      </c>
      <c r="G108" s="103" t="s">
        <v>20</v>
      </c>
      <c r="H108" s="105"/>
      <c r="I108" s="105"/>
      <c r="J108" s="103" t="s">
        <v>21</v>
      </c>
      <c r="K108" s="103" t="s">
        <v>16</v>
      </c>
      <c r="L108" s="103" t="s">
        <v>59</v>
      </c>
      <c r="M108" s="108" t="str">
        <f t="shared" si="16"/>
        <v/>
      </c>
      <c r="N108" s="108" t="str">
        <f t="shared" si="16"/>
        <v/>
      </c>
      <c r="O108" s="108" t="str">
        <f t="shared" si="16"/>
        <v/>
      </c>
      <c r="P108" s="108" t="str">
        <f t="shared" si="16"/>
        <v>○</v>
      </c>
      <c r="Q108" s="108" t="str">
        <f t="shared" si="16"/>
        <v/>
      </c>
      <c r="R108" s="103" t="str">
        <f t="shared" si="16"/>
        <v/>
      </c>
      <c r="S108" s="103" t="s">
        <v>531</v>
      </c>
      <c r="T108" s="103" t="s">
        <v>24</v>
      </c>
      <c r="U108" s="103" t="s">
        <v>18</v>
      </c>
      <c r="V108" s="103" t="s">
        <v>532</v>
      </c>
    </row>
    <row r="109" spans="1:22" ht="13.5">
      <c r="A109" s="102">
        <v>45626.490853981479</v>
      </c>
      <c r="B109" s="103" t="s">
        <v>181</v>
      </c>
      <c r="C109" s="104" t="str">
        <f t="shared" si="15"/>
        <v>×</v>
      </c>
      <c r="D109" s="104" t="str">
        <f t="shared" si="15"/>
        <v>○</v>
      </c>
      <c r="E109" s="104" t="str">
        <f t="shared" si="15"/>
        <v>×</v>
      </c>
      <c r="F109" s="104" t="str">
        <f t="shared" si="15"/>
        <v>×</v>
      </c>
      <c r="G109" s="103" t="s">
        <v>20</v>
      </c>
      <c r="H109" s="105"/>
      <c r="I109" s="105"/>
      <c r="J109" s="103" t="s">
        <v>21</v>
      </c>
      <c r="K109" s="103" t="s">
        <v>16</v>
      </c>
      <c r="L109" s="103" t="s">
        <v>59</v>
      </c>
      <c r="M109" s="108" t="str">
        <f t="shared" si="16"/>
        <v/>
      </c>
      <c r="N109" s="108" t="str">
        <f t="shared" si="16"/>
        <v/>
      </c>
      <c r="O109" s="108" t="str">
        <f t="shared" si="16"/>
        <v/>
      </c>
      <c r="P109" s="108" t="str">
        <f t="shared" si="16"/>
        <v>○</v>
      </c>
      <c r="Q109" s="108" t="str">
        <f t="shared" si="16"/>
        <v/>
      </c>
      <c r="R109" s="103" t="str">
        <f t="shared" si="16"/>
        <v/>
      </c>
      <c r="S109" s="103" t="s">
        <v>539</v>
      </c>
      <c r="T109" s="103" t="s">
        <v>30</v>
      </c>
      <c r="U109" s="103" t="s">
        <v>18</v>
      </c>
      <c r="V109" s="105"/>
    </row>
    <row r="110" spans="1:22" ht="13.5">
      <c r="A110" s="102">
        <v>45626.526212731478</v>
      </c>
      <c r="B110" s="103" t="s">
        <v>144</v>
      </c>
      <c r="C110" s="104" t="str">
        <f t="shared" si="15"/>
        <v>×</v>
      </c>
      <c r="D110" s="104" t="str">
        <f t="shared" si="15"/>
        <v>○</v>
      </c>
      <c r="E110" s="104" t="str">
        <f t="shared" si="15"/>
        <v>○</v>
      </c>
      <c r="F110" s="104" t="str">
        <f t="shared" si="15"/>
        <v>×</v>
      </c>
      <c r="G110" s="103" t="s">
        <v>13</v>
      </c>
      <c r="H110" s="103" t="s">
        <v>27</v>
      </c>
      <c r="I110" s="103" t="s">
        <v>559</v>
      </c>
      <c r="J110" s="105"/>
      <c r="K110" s="103" t="s">
        <v>34</v>
      </c>
      <c r="L110" s="105"/>
      <c r="M110" s="110" t="str">
        <f t="shared" si="16"/>
        <v/>
      </c>
      <c r="N110" s="110" t="str">
        <f t="shared" si="16"/>
        <v/>
      </c>
      <c r="O110" s="110" t="str">
        <f t="shared" si="16"/>
        <v/>
      </c>
      <c r="P110" s="110" t="str">
        <f t="shared" si="16"/>
        <v/>
      </c>
      <c r="Q110" s="110" t="str">
        <f t="shared" si="16"/>
        <v/>
      </c>
      <c r="R110" s="105" t="str">
        <f t="shared" si="16"/>
        <v/>
      </c>
      <c r="S110" s="105"/>
      <c r="T110" s="103" t="s">
        <v>30</v>
      </c>
      <c r="U110" s="103" t="s">
        <v>18</v>
      </c>
      <c r="V110" s="105"/>
    </row>
    <row r="111" spans="1:22" ht="13.5">
      <c r="A111" s="102">
        <v>45626.530818402782</v>
      </c>
      <c r="B111" s="103" t="s">
        <v>263</v>
      </c>
      <c r="C111" s="104" t="str">
        <f t="shared" si="15"/>
        <v>○</v>
      </c>
      <c r="D111" s="104" t="str">
        <f t="shared" si="15"/>
        <v>○</v>
      </c>
      <c r="E111" s="104" t="str">
        <f t="shared" si="15"/>
        <v>×</v>
      </c>
      <c r="F111" s="104" t="str">
        <f t="shared" si="15"/>
        <v>×</v>
      </c>
      <c r="G111" s="103" t="s">
        <v>13</v>
      </c>
      <c r="H111" s="103" t="s">
        <v>27</v>
      </c>
      <c r="I111" s="103" t="s">
        <v>237</v>
      </c>
      <c r="J111" s="105"/>
      <c r="K111" s="103" t="s">
        <v>34</v>
      </c>
      <c r="L111" s="105"/>
      <c r="M111" s="110" t="str">
        <f t="shared" si="16"/>
        <v/>
      </c>
      <c r="N111" s="110" t="str">
        <f t="shared" si="16"/>
        <v/>
      </c>
      <c r="O111" s="110" t="str">
        <f t="shared" si="16"/>
        <v/>
      </c>
      <c r="P111" s="110" t="str">
        <f t="shared" si="16"/>
        <v/>
      </c>
      <c r="Q111" s="110" t="str">
        <f t="shared" si="16"/>
        <v/>
      </c>
      <c r="R111" s="105" t="str">
        <f t="shared" si="16"/>
        <v/>
      </c>
      <c r="S111" s="105"/>
      <c r="T111" s="103" t="s">
        <v>35</v>
      </c>
      <c r="U111" s="103" t="s">
        <v>18</v>
      </c>
      <c r="V111" s="105"/>
    </row>
    <row r="112" spans="1:22" ht="13.5">
      <c r="A112" s="102">
        <v>45626.543080798612</v>
      </c>
      <c r="B112" s="103" t="s">
        <v>217</v>
      </c>
      <c r="C112" s="104" t="str">
        <f t="shared" si="15"/>
        <v>○</v>
      </c>
      <c r="D112" s="104" t="str">
        <f t="shared" si="15"/>
        <v>○</v>
      </c>
      <c r="E112" s="104" t="str">
        <f t="shared" si="15"/>
        <v>×</v>
      </c>
      <c r="F112" s="104" t="str">
        <f t="shared" si="15"/>
        <v>×</v>
      </c>
      <c r="G112" s="103" t="s">
        <v>20</v>
      </c>
      <c r="H112" s="105"/>
      <c r="I112" s="105"/>
      <c r="J112" s="103" t="s">
        <v>38</v>
      </c>
      <c r="K112" s="103" t="s">
        <v>16</v>
      </c>
      <c r="L112" s="103" t="s">
        <v>88</v>
      </c>
      <c r="M112" s="108" t="str">
        <f t="shared" ref="M112:R121" si="17">IF(ISERROR(SEARCH(M$1,$L112)),"","○")</f>
        <v/>
      </c>
      <c r="N112" s="108" t="str">
        <f t="shared" si="17"/>
        <v>○</v>
      </c>
      <c r="O112" s="108" t="str">
        <f t="shared" si="17"/>
        <v/>
      </c>
      <c r="P112" s="108" t="str">
        <f t="shared" si="17"/>
        <v/>
      </c>
      <c r="Q112" s="108" t="str">
        <f t="shared" si="17"/>
        <v>○</v>
      </c>
      <c r="R112" s="103" t="str">
        <f t="shared" si="17"/>
        <v/>
      </c>
      <c r="S112" s="105"/>
      <c r="T112" s="103" t="s">
        <v>30</v>
      </c>
      <c r="U112" s="103" t="s">
        <v>18</v>
      </c>
      <c r="V112" s="103" t="s">
        <v>565</v>
      </c>
    </row>
    <row r="113" spans="1:22" ht="13.5">
      <c r="A113" s="102">
        <v>45626.551874409721</v>
      </c>
      <c r="B113" s="103" t="s">
        <v>131</v>
      </c>
      <c r="C113" s="104" t="str">
        <f t="shared" si="15"/>
        <v>×</v>
      </c>
      <c r="D113" s="104" t="str">
        <f t="shared" si="15"/>
        <v>○</v>
      </c>
      <c r="E113" s="104" t="str">
        <f t="shared" si="15"/>
        <v>○</v>
      </c>
      <c r="F113" s="104" t="str">
        <f t="shared" si="15"/>
        <v>×</v>
      </c>
      <c r="G113" s="103" t="s">
        <v>20</v>
      </c>
      <c r="H113" s="105"/>
      <c r="I113" s="105"/>
      <c r="J113" s="103" t="s">
        <v>58</v>
      </c>
      <c r="K113" s="103" t="s">
        <v>16</v>
      </c>
      <c r="L113" s="103" t="s">
        <v>107</v>
      </c>
      <c r="M113" s="108" t="str">
        <f t="shared" si="17"/>
        <v/>
      </c>
      <c r="N113" s="108" t="str">
        <f t="shared" si="17"/>
        <v/>
      </c>
      <c r="O113" s="108" t="str">
        <f t="shared" si="17"/>
        <v>○</v>
      </c>
      <c r="P113" s="108" t="str">
        <f t="shared" si="17"/>
        <v/>
      </c>
      <c r="Q113" s="108" t="str">
        <f t="shared" si="17"/>
        <v/>
      </c>
      <c r="R113" s="103" t="str">
        <f t="shared" si="17"/>
        <v/>
      </c>
      <c r="S113" s="105"/>
      <c r="T113" s="103" t="s">
        <v>24</v>
      </c>
      <c r="U113" s="103" t="s">
        <v>18</v>
      </c>
      <c r="V113" s="103" t="s">
        <v>566</v>
      </c>
    </row>
    <row r="114" spans="1:22" ht="13.5">
      <c r="A114" s="102">
        <v>45626.56302105324</v>
      </c>
      <c r="B114" s="103" t="s">
        <v>105</v>
      </c>
      <c r="C114" s="104" t="str">
        <f t="shared" si="15"/>
        <v>×</v>
      </c>
      <c r="D114" s="104" t="str">
        <f t="shared" si="15"/>
        <v>×</v>
      </c>
      <c r="E114" s="104" t="str">
        <f t="shared" si="15"/>
        <v>○</v>
      </c>
      <c r="F114" s="104" t="str">
        <f t="shared" si="15"/>
        <v>×</v>
      </c>
      <c r="G114" s="103" t="s">
        <v>20</v>
      </c>
      <c r="H114" s="105"/>
      <c r="I114" s="105"/>
      <c r="J114" s="103" t="s">
        <v>430</v>
      </c>
      <c r="K114" s="103" t="s">
        <v>16</v>
      </c>
      <c r="L114" s="103" t="s">
        <v>59</v>
      </c>
      <c r="M114" s="108" t="str">
        <f t="shared" si="17"/>
        <v/>
      </c>
      <c r="N114" s="108" t="str">
        <f t="shared" si="17"/>
        <v/>
      </c>
      <c r="O114" s="108" t="str">
        <f t="shared" si="17"/>
        <v/>
      </c>
      <c r="P114" s="108" t="str">
        <f t="shared" si="17"/>
        <v>○</v>
      </c>
      <c r="Q114" s="108" t="str">
        <f t="shared" si="17"/>
        <v/>
      </c>
      <c r="R114" s="103" t="str">
        <f t="shared" si="17"/>
        <v/>
      </c>
      <c r="S114" s="103" t="s">
        <v>568</v>
      </c>
      <c r="T114" s="103" t="s">
        <v>35</v>
      </c>
      <c r="U114" s="103" t="s">
        <v>18</v>
      </c>
      <c r="V114" s="105"/>
    </row>
    <row r="115" spans="1:22" ht="13.5">
      <c r="A115" s="102">
        <v>45626.573744780093</v>
      </c>
      <c r="B115" s="103" t="s">
        <v>105</v>
      </c>
      <c r="C115" s="104" t="str">
        <f t="shared" si="15"/>
        <v>×</v>
      </c>
      <c r="D115" s="104" t="str">
        <f t="shared" si="15"/>
        <v>×</v>
      </c>
      <c r="E115" s="104" t="str">
        <f t="shared" si="15"/>
        <v>○</v>
      </c>
      <c r="F115" s="104" t="str">
        <f t="shared" si="15"/>
        <v>×</v>
      </c>
      <c r="G115" s="103" t="s">
        <v>20</v>
      </c>
      <c r="H115" s="105"/>
      <c r="I115" s="105"/>
      <c r="J115" s="103" t="s">
        <v>21</v>
      </c>
      <c r="K115" s="103" t="s">
        <v>16</v>
      </c>
      <c r="L115" s="103" t="s">
        <v>39</v>
      </c>
      <c r="M115" s="108" t="str">
        <f t="shared" si="17"/>
        <v/>
      </c>
      <c r="N115" s="108" t="str">
        <f t="shared" si="17"/>
        <v>○</v>
      </c>
      <c r="O115" s="108" t="str">
        <f t="shared" si="17"/>
        <v/>
      </c>
      <c r="P115" s="108" t="str">
        <f t="shared" si="17"/>
        <v/>
      </c>
      <c r="Q115" s="108" t="str">
        <f t="shared" si="17"/>
        <v/>
      </c>
      <c r="R115" s="103" t="str">
        <f t="shared" si="17"/>
        <v/>
      </c>
      <c r="S115" s="105"/>
      <c r="T115" s="103" t="s">
        <v>30</v>
      </c>
      <c r="U115" s="103" t="s">
        <v>18</v>
      </c>
      <c r="V115" s="105"/>
    </row>
    <row r="116" spans="1:22" ht="13.5">
      <c r="A116" s="102">
        <v>45626.603246087965</v>
      </c>
      <c r="B116" s="103" t="s">
        <v>185</v>
      </c>
      <c r="C116" s="104" t="str">
        <f t="shared" si="15"/>
        <v>×</v>
      </c>
      <c r="D116" s="104" t="str">
        <f t="shared" si="15"/>
        <v>○</v>
      </c>
      <c r="E116" s="104" t="str">
        <f t="shared" si="15"/>
        <v>○</v>
      </c>
      <c r="F116" s="104" t="str">
        <f t="shared" si="15"/>
        <v>×</v>
      </c>
      <c r="G116" s="103" t="s">
        <v>20</v>
      </c>
      <c r="H116" s="105"/>
      <c r="I116" s="105"/>
      <c r="J116" s="103" t="s">
        <v>21</v>
      </c>
      <c r="K116" s="103" t="s">
        <v>16</v>
      </c>
      <c r="L116" s="103" t="s">
        <v>88</v>
      </c>
      <c r="M116" s="108" t="str">
        <f t="shared" si="17"/>
        <v/>
      </c>
      <c r="N116" s="108" t="str">
        <f t="shared" si="17"/>
        <v>○</v>
      </c>
      <c r="O116" s="108" t="str">
        <f t="shared" si="17"/>
        <v/>
      </c>
      <c r="P116" s="108" t="str">
        <f t="shared" si="17"/>
        <v/>
      </c>
      <c r="Q116" s="108" t="str">
        <f t="shared" si="17"/>
        <v>○</v>
      </c>
      <c r="R116" s="103" t="str">
        <f t="shared" si="17"/>
        <v/>
      </c>
      <c r="S116" s="103" t="s">
        <v>574</v>
      </c>
      <c r="T116" s="103" t="s">
        <v>30</v>
      </c>
      <c r="U116" s="103" t="s">
        <v>18</v>
      </c>
      <c r="V116" s="105"/>
    </row>
    <row r="117" spans="1:22" ht="13.5">
      <c r="A117" s="102">
        <v>45626.652828043982</v>
      </c>
      <c r="B117" s="103" t="s">
        <v>312</v>
      </c>
      <c r="C117" s="104" t="str">
        <f t="shared" si="15"/>
        <v>×</v>
      </c>
      <c r="D117" s="104" t="str">
        <f t="shared" si="15"/>
        <v>○</v>
      </c>
      <c r="E117" s="104" t="str">
        <f t="shared" si="15"/>
        <v>×</v>
      </c>
      <c r="F117" s="104" t="str">
        <f t="shared" si="15"/>
        <v>×</v>
      </c>
      <c r="G117" s="103" t="s">
        <v>13</v>
      </c>
      <c r="H117" s="103" t="s">
        <v>77</v>
      </c>
      <c r="I117" s="103" t="s">
        <v>577</v>
      </c>
      <c r="J117" s="105"/>
      <c r="K117" s="103" t="s">
        <v>34</v>
      </c>
      <c r="L117" s="105"/>
      <c r="M117" s="110" t="str">
        <f t="shared" si="17"/>
        <v/>
      </c>
      <c r="N117" s="110" t="str">
        <f t="shared" si="17"/>
        <v/>
      </c>
      <c r="O117" s="110" t="str">
        <f t="shared" si="17"/>
        <v/>
      </c>
      <c r="P117" s="110" t="str">
        <f t="shared" si="17"/>
        <v/>
      </c>
      <c r="Q117" s="110" t="str">
        <f t="shared" si="17"/>
        <v/>
      </c>
      <c r="R117" s="105" t="str">
        <f t="shared" si="17"/>
        <v/>
      </c>
      <c r="S117" s="105"/>
      <c r="T117" s="103" t="s">
        <v>35</v>
      </c>
      <c r="U117" s="103" t="s">
        <v>18</v>
      </c>
      <c r="V117" s="105"/>
    </row>
    <row r="118" spans="1:22" ht="13.5">
      <c r="A118" s="102">
        <v>45626.667907627314</v>
      </c>
      <c r="B118" s="103" t="s">
        <v>57</v>
      </c>
      <c r="C118" s="104" t="str">
        <f t="shared" si="15"/>
        <v>×</v>
      </c>
      <c r="D118" s="104" t="str">
        <f t="shared" si="15"/>
        <v>○</v>
      </c>
      <c r="E118" s="104" t="str">
        <f t="shared" si="15"/>
        <v>×</v>
      </c>
      <c r="F118" s="104" t="str">
        <f t="shared" si="15"/>
        <v>×</v>
      </c>
      <c r="G118" s="103" t="s">
        <v>20</v>
      </c>
      <c r="H118" s="105"/>
      <c r="I118" s="105"/>
      <c r="J118" s="103" t="s">
        <v>581</v>
      </c>
      <c r="K118" s="103" t="s">
        <v>16</v>
      </c>
      <c r="L118" s="103" t="s">
        <v>189</v>
      </c>
      <c r="M118" s="108" t="str">
        <f t="shared" si="17"/>
        <v/>
      </c>
      <c r="N118" s="108" t="str">
        <f t="shared" si="17"/>
        <v/>
      </c>
      <c r="O118" s="108" t="str">
        <f t="shared" si="17"/>
        <v/>
      </c>
      <c r="P118" s="108" t="str">
        <f t="shared" si="17"/>
        <v>○</v>
      </c>
      <c r="Q118" s="108" t="str">
        <f t="shared" si="17"/>
        <v>○</v>
      </c>
      <c r="R118" s="103" t="str">
        <f t="shared" si="17"/>
        <v/>
      </c>
      <c r="S118" s="103" t="s">
        <v>582</v>
      </c>
      <c r="T118" s="103" t="s">
        <v>61</v>
      </c>
      <c r="U118" s="103" t="s">
        <v>18</v>
      </c>
      <c r="V118" s="105"/>
    </row>
    <row r="119" spans="1:22" ht="13.5">
      <c r="A119" s="102">
        <v>45626.683566446758</v>
      </c>
      <c r="B119" s="103" t="s">
        <v>389</v>
      </c>
      <c r="C119" s="104" t="str">
        <f t="shared" si="15"/>
        <v>×</v>
      </c>
      <c r="D119" s="104" t="str">
        <f t="shared" si="15"/>
        <v>○</v>
      </c>
      <c r="E119" s="104" t="str">
        <f t="shared" si="15"/>
        <v>×</v>
      </c>
      <c r="F119" s="104" t="str">
        <f t="shared" si="15"/>
        <v>×</v>
      </c>
      <c r="G119" s="103" t="s">
        <v>13</v>
      </c>
      <c r="H119" s="103" t="s">
        <v>27</v>
      </c>
      <c r="I119" s="103" t="s">
        <v>583</v>
      </c>
      <c r="J119" s="105"/>
      <c r="K119" s="103" t="s">
        <v>16</v>
      </c>
      <c r="L119" s="103" t="s">
        <v>137</v>
      </c>
      <c r="M119" s="108" t="str">
        <f t="shared" si="17"/>
        <v/>
      </c>
      <c r="N119" s="108" t="str">
        <f t="shared" si="17"/>
        <v/>
      </c>
      <c r="O119" s="108" t="str">
        <f t="shared" si="17"/>
        <v/>
      </c>
      <c r="P119" s="108" t="str">
        <f t="shared" si="17"/>
        <v/>
      </c>
      <c r="Q119" s="108" t="str">
        <f t="shared" si="17"/>
        <v/>
      </c>
      <c r="R119" s="103" t="str">
        <f t="shared" si="17"/>
        <v/>
      </c>
      <c r="S119" s="105"/>
      <c r="T119" s="103" t="s">
        <v>584</v>
      </c>
      <c r="U119" s="103" t="s">
        <v>18</v>
      </c>
      <c r="V119" s="105"/>
    </row>
    <row r="120" spans="1:22" ht="13.5">
      <c r="A120" s="102">
        <v>45626.702489131945</v>
      </c>
      <c r="B120" s="103" t="s">
        <v>315</v>
      </c>
      <c r="C120" s="104" t="str">
        <f t="shared" si="15"/>
        <v>×</v>
      </c>
      <c r="D120" s="104" t="str">
        <f t="shared" si="15"/>
        <v>○</v>
      </c>
      <c r="E120" s="104" t="str">
        <f t="shared" si="15"/>
        <v>×</v>
      </c>
      <c r="F120" s="104" t="str">
        <f t="shared" si="15"/>
        <v>×</v>
      </c>
      <c r="G120" s="103" t="s">
        <v>13</v>
      </c>
      <c r="H120" s="103" t="s">
        <v>27</v>
      </c>
      <c r="I120" s="103" t="s">
        <v>454</v>
      </c>
      <c r="J120" s="105"/>
      <c r="K120" s="103" t="s">
        <v>34</v>
      </c>
      <c r="L120" s="105"/>
      <c r="M120" s="110" t="str">
        <f t="shared" si="17"/>
        <v/>
      </c>
      <c r="N120" s="110" t="str">
        <f t="shared" si="17"/>
        <v/>
      </c>
      <c r="O120" s="110" t="str">
        <f t="shared" si="17"/>
        <v/>
      </c>
      <c r="P120" s="110" t="str">
        <f t="shared" si="17"/>
        <v/>
      </c>
      <c r="Q120" s="110" t="str">
        <f t="shared" si="17"/>
        <v/>
      </c>
      <c r="R120" s="105" t="str">
        <f t="shared" si="17"/>
        <v/>
      </c>
      <c r="S120" s="105"/>
      <c r="T120" s="103" t="s">
        <v>30</v>
      </c>
      <c r="U120" s="103" t="s">
        <v>18</v>
      </c>
      <c r="V120" s="105"/>
    </row>
    <row r="121" spans="1:22" ht="13.5">
      <c r="A121" s="102">
        <v>45626.704528402777</v>
      </c>
      <c r="B121" s="103" t="s">
        <v>93</v>
      </c>
      <c r="C121" s="104" t="str">
        <f t="shared" si="15"/>
        <v>×</v>
      </c>
      <c r="D121" s="104" t="str">
        <f t="shared" si="15"/>
        <v>×</v>
      </c>
      <c r="E121" s="104" t="str">
        <f t="shared" si="15"/>
        <v>○</v>
      </c>
      <c r="F121" s="104" t="str">
        <f t="shared" si="15"/>
        <v>×</v>
      </c>
      <c r="G121" s="103" t="s">
        <v>20</v>
      </c>
      <c r="H121" s="105"/>
      <c r="I121" s="105"/>
      <c r="J121" s="103" t="s">
        <v>21</v>
      </c>
      <c r="K121" s="103" t="s">
        <v>16</v>
      </c>
      <c r="L121" s="103" t="s">
        <v>68</v>
      </c>
      <c r="M121" s="108" t="str">
        <f t="shared" si="17"/>
        <v/>
      </c>
      <c r="N121" s="108" t="str">
        <f t="shared" si="17"/>
        <v/>
      </c>
      <c r="O121" s="108" t="str">
        <f t="shared" si="17"/>
        <v/>
      </c>
      <c r="P121" s="108" t="str">
        <f t="shared" si="17"/>
        <v/>
      </c>
      <c r="Q121" s="108" t="str">
        <f t="shared" si="17"/>
        <v>○</v>
      </c>
      <c r="R121" s="103" t="str">
        <f t="shared" si="17"/>
        <v/>
      </c>
      <c r="S121" s="103" t="s">
        <v>585</v>
      </c>
      <c r="T121" s="103" t="s">
        <v>30</v>
      </c>
      <c r="U121" s="103" t="s">
        <v>18</v>
      </c>
      <c r="V121" s="105"/>
    </row>
    <row r="122" spans="1:22" ht="13.5">
      <c r="A122" s="102">
        <v>45626.720338344909</v>
      </c>
      <c r="B122" s="103" t="s">
        <v>93</v>
      </c>
      <c r="C122" s="104" t="str">
        <f t="shared" ref="C122:F141" si="18">IF(ISERROR(FIND(C$1,$B122)),"×","○")</f>
        <v>×</v>
      </c>
      <c r="D122" s="104" t="str">
        <f t="shared" si="18"/>
        <v>×</v>
      </c>
      <c r="E122" s="104" t="str">
        <f t="shared" si="18"/>
        <v>○</v>
      </c>
      <c r="F122" s="104" t="str">
        <f t="shared" si="18"/>
        <v>×</v>
      </c>
      <c r="G122" s="103" t="s">
        <v>20</v>
      </c>
      <c r="H122" s="105"/>
      <c r="I122" s="105"/>
      <c r="J122" s="103" t="s">
        <v>58</v>
      </c>
      <c r="K122" s="103" t="s">
        <v>16</v>
      </c>
      <c r="L122" s="103" t="s">
        <v>68</v>
      </c>
      <c r="M122" s="108" t="str">
        <f t="shared" ref="M122:R131" si="19">IF(ISERROR(SEARCH(M$1,$L122)),"","○")</f>
        <v/>
      </c>
      <c r="N122" s="108" t="str">
        <f t="shared" si="19"/>
        <v/>
      </c>
      <c r="O122" s="108" t="str">
        <f t="shared" si="19"/>
        <v/>
      </c>
      <c r="P122" s="108" t="str">
        <f t="shared" si="19"/>
        <v/>
      </c>
      <c r="Q122" s="108" t="str">
        <f t="shared" si="19"/>
        <v>○</v>
      </c>
      <c r="R122" s="103" t="str">
        <f t="shared" si="19"/>
        <v/>
      </c>
      <c r="S122" s="103" t="s">
        <v>588</v>
      </c>
      <c r="T122" s="103" t="s">
        <v>35</v>
      </c>
      <c r="U122" s="103" t="s">
        <v>18</v>
      </c>
      <c r="V122" s="103" t="s">
        <v>589</v>
      </c>
    </row>
    <row r="123" spans="1:22" ht="13.5">
      <c r="A123" s="102">
        <v>45626.72492256944</v>
      </c>
      <c r="B123" s="103" t="s">
        <v>93</v>
      </c>
      <c r="C123" s="104" t="str">
        <f t="shared" si="18"/>
        <v>×</v>
      </c>
      <c r="D123" s="104" t="str">
        <f t="shared" si="18"/>
        <v>×</v>
      </c>
      <c r="E123" s="104" t="str">
        <f t="shared" si="18"/>
        <v>○</v>
      </c>
      <c r="F123" s="104" t="str">
        <f t="shared" si="18"/>
        <v>×</v>
      </c>
      <c r="G123" s="103" t="s">
        <v>13</v>
      </c>
      <c r="H123" s="103" t="s">
        <v>27</v>
      </c>
      <c r="I123" s="103" t="s">
        <v>590</v>
      </c>
      <c r="J123" s="105"/>
      <c r="K123" s="103" t="s">
        <v>34</v>
      </c>
      <c r="L123" s="105"/>
      <c r="M123" s="110" t="str">
        <f t="shared" si="19"/>
        <v/>
      </c>
      <c r="N123" s="110" t="str">
        <f t="shared" si="19"/>
        <v/>
      </c>
      <c r="O123" s="110" t="str">
        <f t="shared" si="19"/>
        <v/>
      </c>
      <c r="P123" s="110" t="str">
        <f t="shared" si="19"/>
        <v/>
      </c>
      <c r="Q123" s="110" t="str">
        <f t="shared" si="19"/>
        <v/>
      </c>
      <c r="R123" s="105" t="str">
        <f t="shared" si="19"/>
        <v/>
      </c>
      <c r="S123" s="105"/>
      <c r="T123" s="103" t="s">
        <v>35</v>
      </c>
      <c r="U123" s="103" t="s">
        <v>18</v>
      </c>
      <c r="V123" s="105"/>
    </row>
    <row r="124" spans="1:22" ht="13.5">
      <c r="A124" s="102">
        <v>45626.748508738427</v>
      </c>
      <c r="B124" s="103" t="s">
        <v>41</v>
      </c>
      <c r="C124" s="104" t="str">
        <f t="shared" si="18"/>
        <v>×</v>
      </c>
      <c r="D124" s="104" t="str">
        <f t="shared" si="18"/>
        <v>○</v>
      </c>
      <c r="E124" s="104" t="str">
        <f t="shared" si="18"/>
        <v>×</v>
      </c>
      <c r="F124" s="104" t="str">
        <f t="shared" si="18"/>
        <v>×</v>
      </c>
      <c r="G124" s="103" t="s">
        <v>13</v>
      </c>
      <c r="H124" s="103" t="s">
        <v>27</v>
      </c>
      <c r="I124" s="103" t="s">
        <v>595</v>
      </c>
      <c r="J124" s="105"/>
      <c r="K124" s="103" t="s">
        <v>34</v>
      </c>
      <c r="L124" s="105"/>
      <c r="M124" s="110" t="str">
        <f t="shared" si="19"/>
        <v/>
      </c>
      <c r="N124" s="110" t="str">
        <f t="shared" si="19"/>
        <v/>
      </c>
      <c r="O124" s="110" t="str">
        <f t="shared" si="19"/>
        <v/>
      </c>
      <c r="P124" s="110" t="str">
        <f t="shared" si="19"/>
        <v/>
      </c>
      <c r="Q124" s="110" t="str">
        <f t="shared" si="19"/>
        <v/>
      </c>
      <c r="R124" s="105" t="str">
        <f t="shared" si="19"/>
        <v/>
      </c>
      <c r="S124" s="105"/>
      <c r="T124" s="103" t="s">
        <v>35</v>
      </c>
      <c r="U124" s="103" t="s">
        <v>18</v>
      </c>
      <c r="V124" s="105"/>
    </row>
    <row r="125" spans="1:22" ht="13.5">
      <c r="A125" s="102">
        <v>45626.77565476852</v>
      </c>
      <c r="B125" s="103" t="s">
        <v>105</v>
      </c>
      <c r="C125" s="104" t="str">
        <f t="shared" si="18"/>
        <v>×</v>
      </c>
      <c r="D125" s="104" t="str">
        <f t="shared" si="18"/>
        <v>×</v>
      </c>
      <c r="E125" s="104" t="str">
        <f t="shared" si="18"/>
        <v>○</v>
      </c>
      <c r="F125" s="104" t="str">
        <f t="shared" si="18"/>
        <v>×</v>
      </c>
      <c r="G125" s="103" t="s">
        <v>20</v>
      </c>
      <c r="H125" s="105"/>
      <c r="I125" s="105"/>
      <c r="J125" s="103" t="s">
        <v>58</v>
      </c>
      <c r="K125" s="103" t="s">
        <v>16</v>
      </c>
      <c r="L125" s="103" t="s">
        <v>39</v>
      </c>
      <c r="M125" s="108" t="str">
        <f t="shared" si="19"/>
        <v/>
      </c>
      <c r="N125" s="108" t="str">
        <f t="shared" si="19"/>
        <v>○</v>
      </c>
      <c r="O125" s="108" t="str">
        <f t="shared" si="19"/>
        <v/>
      </c>
      <c r="P125" s="108" t="str">
        <f t="shared" si="19"/>
        <v/>
      </c>
      <c r="Q125" s="108" t="str">
        <f t="shared" si="19"/>
        <v/>
      </c>
      <c r="R125" s="103" t="str">
        <f t="shared" si="19"/>
        <v/>
      </c>
      <c r="S125" s="105"/>
      <c r="T125" s="103" t="s">
        <v>30</v>
      </c>
      <c r="U125" s="103" t="s">
        <v>18</v>
      </c>
      <c r="V125" s="105"/>
    </row>
    <row r="126" spans="1:22" ht="13.5">
      <c r="A126" s="102">
        <v>45626.824739085649</v>
      </c>
      <c r="B126" s="103" t="s">
        <v>105</v>
      </c>
      <c r="C126" s="104" t="str">
        <f t="shared" si="18"/>
        <v>×</v>
      </c>
      <c r="D126" s="104" t="str">
        <f t="shared" si="18"/>
        <v>×</v>
      </c>
      <c r="E126" s="104" t="str">
        <f t="shared" si="18"/>
        <v>○</v>
      </c>
      <c r="F126" s="104" t="str">
        <f t="shared" si="18"/>
        <v>×</v>
      </c>
      <c r="G126" s="103" t="s">
        <v>13</v>
      </c>
      <c r="H126" s="103" t="s">
        <v>77</v>
      </c>
      <c r="I126" s="103" t="s">
        <v>610</v>
      </c>
      <c r="J126" s="105"/>
      <c r="K126" s="103" t="s">
        <v>34</v>
      </c>
      <c r="L126" s="105"/>
      <c r="M126" s="110" t="str">
        <f t="shared" si="19"/>
        <v/>
      </c>
      <c r="N126" s="110" t="str">
        <f t="shared" si="19"/>
        <v/>
      </c>
      <c r="O126" s="110" t="str">
        <f t="shared" si="19"/>
        <v/>
      </c>
      <c r="P126" s="110" t="str">
        <f t="shared" si="19"/>
        <v/>
      </c>
      <c r="Q126" s="110" t="str">
        <f t="shared" si="19"/>
        <v/>
      </c>
      <c r="R126" s="105" t="str">
        <f t="shared" si="19"/>
        <v/>
      </c>
      <c r="S126" s="105"/>
      <c r="T126" s="103" t="s">
        <v>61</v>
      </c>
      <c r="U126" s="103" t="s">
        <v>18</v>
      </c>
      <c r="V126" s="105"/>
    </row>
    <row r="127" spans="1:22" ht="13.5">
      <c r="A127" s="102">
        <v>45626.839698379626</v>
      </c>
      <c r="B127" s="103" t="s">
        <v>181</v>
      </c>
      <c r="C127" s="104" t="str">
        <f t="shared" si="18"/>
        <v>×</v>
      </c>
      <c r="D127" s="104" t="str">
        <f t="shared" si="18"/>
        <v>○</v>
      </c>
      <c r="E127" s="104" t="str">
        <f t="shared" si="18"/>
        <v>×</v>
      </c>
      <c r="F127" s="104" t="str">
        <f t="shared" si="18"/>
        <v>×</v>
      </c>
      <c r="G127" s="103" t="s">
        <v>20</v>
      </c>
      <c r="H127" s="105"/>
      <c r="I127" s="105"/>
      <c r="J127" s="103" t="s">
        <v>21</v>
      </c>
      <c r="K127" s="103" t="s">
        <v>16</v>
      </c>
      <c r="L127" s="103" t="s">
        <v>39</v>
      </c>
      <c r="M127" s="108" t="str">
        <f t="shared" si="19"/>
        <v/>
      </c>
      <c r="N127" s="108" t="str">
        <f t="shared" si="19"/>
        <v>○</v>
      </c>
      <c r="O127" s="108" t="str">
        <f t="shared" si="19"/>
        <v/>
      </c>
      <c r="P127" s="108" t="str">
        <f t="shared" si="19"/>
        <v/>
      </c>
      <c r="Q127" s="108" t="str">
        <f t="shared" si="19"/>
        <v/>
      </c>
      <c r="R127" s="103" t="str">
        <f t="shared" si="19"/>
        <v/>
      </c>
      <c r="S127" s="105"/>
      <c r="T127" s="103" t="s">
        <v>30</v>
      </c>
      <c r="U127" s="103" t="s">
        <v>18</v>
      </c>
      <c r="V127" s="105"/>
    </row>
    <row r="128" spans="1:22" ht="13.5">
      <c r="A128" s="102">
        <v>45626.852564942128</v>
      </c>
      <c r="B128" s="103" t="s">
        <v>564</v>
      </c>
      <c r="C128" s="104" t="str">
        <f t="shared" si="18"/>
        <v>×</v>
      </c>
      <c r="D128" s="104" t="str">
        <f t="shared" si="18"/>
        <v>○</v>
      </c>
      <c r="E128" s="104" t="str">
        <f t="shared" si="18"/>
        <v>○</v>
      </c>
      <c r="F128" s="104" t="str">
        <f t="shared" si="18"/>
        <v>×</v>
      </c>
      <c r="G128" s="103" t="s">
        <v>20</v>
      </c>
      <c r="H128" s="105"/>
      <c r="I128" s="105"/>
      <c r="J128" s="103" t="s">
        <v>58</v>
      </c>
      <c r="K128" s="103" t="s">
        <v>16</v>
      </c>
      <c r="L128" s="103" t="s">
        <v>39</v>
      </c>
      <c r="M128" s="108" t="str">
        <f t="shared" si="19"/>
        <v/>
      </c>
      <c r="N128" s="108" t="str">
        <f t="shared" si="19"/>
        <v>○</v>
      </c>
      <c r="O128" s="108" t="str">
        <f t="shared" si="19"/>
        <v/>
      </c>
      <c r="P128" s="108" t="str">
        <f t="shared" si="19"/>
        <v/>
      </c>
      <c r="Q128" s="108" t="str">
        <f t="shared" si="19"/>
        <v/>
      </c>
      <c r="R128" s="103" t="str">
        <f t="shared" si="19"/>
        <v/>
      </c>
      <c r="S128" s="105"/>
      <c r="T128" s="103" t="s">
        <v>30</v>
      </c>
      <c r="U128" s="103" t="s">
        <v>18</v>
      </c>
      <c r="V128" s="103" t="s">
        <v>616</v>
      </c>
    </row>
    <row r="129" spans="1:22" ht="13.5">
      <c r="A129" s="102">
        <v>45626.890750787032</v>
      </c>
      <c r="B129" s="103" t="s">
        <v>41</v>
      </c>
      <c r="C129" s="104" t="str">
        <f t="shared" si="18"/>
        <v>×</v>
      </c>
      <c r="D129" s="104" t="str">
        <f t="shared" si="18"/>
        <v>○</v>
      </c>
      <c r="E129" s="104" t="str">
        <f t="shared" si="18"/>
        <v>×</v>
      </c>
      <c r="F129" s="104" t="str">
        <f t="shared" si="18"/>
        <v>×</v>
      </c>
      <c r="G129" s="103" t="s">
        <v>20</v>
      </c>
      <c r="H129" s="105"/>
      <c r="I129" s="105"/>
      <c r="J129" s="103" t="s">
        <v>21</v>
      </c>
      <c r="K129" s="103" t="s">
        <v>16</v>
      </c>
      <c r="L129" s="103" t="s">
        <v>59</v>
      </c>
      <c r="M129" s="108" t="str">
        <f t="shared" si="19"/>
        <v/>
      </c>
      <c r="N129" s="108" t="str">
        <f t="shared" si="19"/>
        <v/>
      </c>
      <c r="O129" s="108" t="str">
        <f t="shared" si="19"/>
        <v/>
      </c>
      <c r="P129" s="108" t="str">
        <f t="shared" si="19"/>
        <v>○</v>
      </c>
      <c r="Q129" s="108" t="str">
        <f t="shared" si="19"/>
        <v/>
      </c>
      <c r="R129" s="103" t="str">
        <f t="shared" si="19"/>
        <v/>
      </c>
      <c r="S129" s="103" t="s">
        <v>623</v>
      </c>
      <c r="T129" s="103" t="s">
        <v>30</v>
      </c>
      <c r="U129" s="103" t="s">
        <v>18</v>
      </c>
      <c r="V129" s="103" t="s">
        <v>624</v>
      </c>
    </row>
    <row r="130" spans="1:22" ht="13.5">
      <c r="A130" s="102">
        <v>45626.890813819446</v>
      </c>
      <c r="B130" s="103" t="s">
        <v>41</v>
      </c>
      <c r="C130" s="104" t="str">
        <f t="shared" si="18"/>
        <v>×</v>
      </c>
      <c r="D130" s="104" t="str">
        <f t="shared" si="18"/>
        <v>○</v>
      </c>
      <c r="E130" s="104" t="str">
        <f t="shared" si="18"/>
        <v>×</v>
      </c>
      <c r="F130" s="104" t="str">
        <f t="shared" si="18"/>
        <v>×</v>
      </c>
      <c r="G130" s="103" t="s">
        <v>20</v>
      </c>
      <c r="H130" s="105"/>
      <c r="I130" s="105"/>
      <c r="J130" s="103" t="s">
        <v>21</v>
      </c>
      <c r="K130" s="103" t="s">
        <v>16</v>
      </c>
      <c r="L130" s="103" t="s">
        <v>59</v>
      </c>
      <c r="M130" s="108" t="str">
        <f t="shared" si="19"/>
        <v/>
      </c>
      <c r="N130" s="108" t="str">
        <f t="shared" si="19"/>
        <v/>
      </c>
      <c r="O130" s="108" t="str">
        <f t="shared" si="19"/>
        <v/>
      </c>
      <c r="P130" s="108" t="str">
        <f t="shared" si="19"/>
        <v>○</v>
      </c>
      <c r="Q130" s="108" t="str">
        <f t="shared" si="19"/>
        <v/>
      </c>
      <c r="R130" s="103" t="str">
        <f t="shared" si="19"/>
        <v/>
      </c>
      <c r="S130" s="103" t="s">
        <v>623</v>
      </c>
      <c r="T130" s="103" t="s">
        <v>30</v>
      </c>
      <c r="U130" s="103" t="s">
        <v>18</v>
      </c>
      <c r="V130" s="103" t="s">
        <v>624</v>
      </c>
    </row>
    <row r="131" spans="1:22" ht="13.5">
      <c r="A131" s="102">
        <v>45626.893705231487</v>
      </c>
      <c r="B131" s="103" t="s">
        <v>631</v>
      </c>
      <c r="C131" s="104" t="str">
        <f t="shared" si="18"/>
        <v>×</v>
      </c>
      <c r="D131" s="104" t="str">
        <f t="shared" si="18"/>
        <v>○</v>
      </c>
      <c r="E131" s="104" t="str">
        <f t="shared" si="18"/>
        <v>○</v>
      </c>
      <c r="F131" s="104" t="str">
        <f t="shared" si="18"/>
        <v>×</v>
      </c>
      <c r="G131" s="103" t="s">
        <v>13</v>
      </c>
      <c r="H131" s="103" t="s">
        <v>14</v>
      </c>
      <c r="I131" s="103" t="s">
        <v>632</v>
      </c>
      <c r="J131" s="105"/>
      <c r="K131" s="103" t="s">
        <v>16</v>
      </c>
      <c r="L131" s="103" t="s">
        <v>29</v>
      </c>
      <c r="M131" s="108" t="str">
        <f t="shared" si="19"/>
        <v/>
      </c>
      <c r="N131" s="108" t="str">
        <f t="shared" si="19"/>
        <v/>
      </c>
      <c r="O131" s="108" t="str">
        <f t="shared" si="19"/>
        <v/>
      </c>
      <c r="P131" s="108" t="str">
        <f t="shared" si="19"/>
        <v/>
      </c>
      <c r="Q131" s="108" t="str">
        <f t="shared" si="19"/>
        <v/>
      </c>
      <c r="R131" s="103" t="str">
        <f t="shared" si="19"/>
        <v>○</v>
      </c>
      <c r="S131" s="105"/>
      <c r="T131" s="103" t="s">
        <v>30</v>
      </c>
      <c r="U131" s="103" t="s">
        <v>18</v>
      </c>
      <c r="V131" s="103" t="s">
        <v>633</v>
      </c>
    </row>
    <row r="132" spans="1:22" ht="13.5">
      <c r="A132" s="102">
        <v>45626.921855474538</v>
      </c>
      <c r="B132" s="103" t="s">
        <v>131</v>
      </c>
      <c r="C132" s="104" t="str">
        <f t="shared" si="18"/>
        <v>×</v>
      </c>
      <c r="D132" s="104" t="str">
        <f t="shared" si="18"/>
        <v>○</v>
      </c>
      <c r="E132" s="104" t="str">
        <f t="shared" si="18"/>
        <v>○</v>
      </c>
      <c r="F132" s="104" t="str">
        <f t="shared" si="18"/>
        <v>×</v>
      </c>
      <c r="G132" s="103" t="s">
        <v>13</v>
      </c>
      <c r="H132" s="103" t="s">
        <v>47</v>
      </c>
      <c r="I132" s="103" t="s">
        <v>640</v>
      </c>
      <c r="J132" s="105"/>
      <c r="K132" s="103" t="s">
        <v>16</v>
      </c>
      <c r="L132" s="103" t="s">
        <v>59</v>
      </c>
      <c r="M132" s="108" t="str">
        <f t="shared" ref="M132:R141" si="20">IF(ISERROR(SEARCH(M$1,$L132)),"","○")</f>
        <v/>
      </c>
      <c r="N132" s="108" t="str">
        <f t="shared" si="20"/>
        <v/>
      </c>
      <c r="O132" s="108" t="str">
        <f t="shared" si="20"/>
        <v/>
      </c>
      <c r="P132" s="108" t="str">
        <f t="shared" si="20"/>
        <v>○</v>
      </c>
      <c r="Q132" s="108" t="str">
        <f t="shared" si="20"/>
        <v/>
      </c>
      <c r="R132" s="103" t="str">
        <f t="shared" si="20"/>
        <v/>
      </c>
      <c r="S132" s="103" t="s">
        <v>641</v>
      </c>
      <c r="T132" s="103" t="s">
        <v>30</v>
      </c>
      <c r="U132" s="103" t="s">
        <v>18</v>
      </c>
      <c r="V132" s="105"/>
    </row>
    <row r="133" spans="1:22" ht="13.5">
      <c r="A133" s="102">
        <v>45627.041517361111</v>
      </c>
      <c r="B133" s="103" t="s">
        <v>93</v>
      </c>
      <c r="C133" s="104" t="str">
        <f t="shared" si="18"/>
        <v>×</v>
      </c>
      <c r="D133" s="104" t="str">
        <f t="shared" si="18"/>
        <v>×</v>
      </c>
      <c r="E133" s="104" t="str">
        <f t="shared" si="18"/>
        <v>○</v>
      </c>
      <c r="F133" s="104" t="str">
        <f t="shared" si="18"/>
        <v>×</v>
      </c>
      <c r="G133" s="103" t="s">
        <v>20</v>
      </c>
      <c r="H133" s="105"/>
      <c r="I133" s="105"/>
      <c r="J133" s="103" t="s">
        <v>58</v>
      </c>
      <c r="K133" s="103" t="s">
        <v>16</v>
      </c>
      <c r="L133" s="103" t="s">
        <v>68</v>
      </c>
      <c r="M133" s="108" t="str">
        <f t="shared" si="20"/>
        <v/>
      </c>
      <c r="N133" s="108" t="str">
        <f t="shared" si="20"/>
        <v/>
      </c>
      <c r="O133" s="108" t="str">
        <f t="shared" si="20"/>
        <v/>
      </c>
      <c r="P133" s="108" t="str">
        <f t="shared" si="20"/>
        <v/>
      </c>
      <c r="Q133" s="108" t="str">
        <f t="shared" si="20"/>
        <v>○</v>
      </c>
      <c r="R133" s="103" t="str">
        <f t="shared" si="20"/>
        <v/>
      </c>
      <c r="S133" s="103" t="s">
        <v>648</v>
      </c>
      <c r="T133" s="103" t="s">
        <v>30</v>
      </c>
      <c r="U133" s="103" t="s">
        <v>18</v>
      </c>
      <c r="V133" s="105"/>
    </row>
    <row r="134" spans="1:22" ht="13.5">
      <c r="A134" s="102">
        <v>45627.283243321755</v>
      </c>
      <c r="B134" s="103" t="s">
        <v>564</v>
      </c>
      <c r="C134" s="104" t="str">
        <f t="shared" si="18"/>
        <v>×</v>
      </c>
      <c r="D134" s="104" t="str">
        <f t="shared" si="18"/>
        <v>○</v>
      </c>
      <c r="E134" s="104" t="str">
        <f t="shared" si="18"/>
        <v>○</v>
      </c>
      <c r="F134" s="104" t="str">
        <f t="shared" si="18"/>
        <v>×</v>
      </c>
      <c r="G134" s="103" t="s">
        <v>13</v>
      </c>
      <c r="H134" s="103" t="s">
        <v>27</v>
      </c>
      <c r="I134" s="103" t="s">
        <v>652</v>
      </c>
      <c r="J134" s="105"/>
      <c r="K134" s="103" t="s">
        <v>16</v>
      </c>
      <c r="L134" s="103" t="s">
        <v>59</v>
      </c>
      <c r="M134" s="108" t="str">
        <f t="shared" si="20"/>
        <v/>
      </c>
      <c r="N134" s="108" t="str">
        <f t="shared" si="20"/>
        <v/>
      </c>
      <c r="O134" s="108" t="str">
        <f t="shared" si="20"/>
        <v/>
      </c>
      <c r="P134" s="108" t="str">
        <f t="shared" si="20"/>
        <v>○</v>
      </c>
      <c r="Q134" s="108" t="str">
        <f t="shared" si="20"/>
        <v/>
      </c>
      <c r="R134" s="103" t="str">
        <f t="shared" si="20"/>
        <v/>
      </c>
      <c r="S134" s="103" t="s">
        <v>653</v>
      </c>
      <c r="T134" s="103" t="s">
        <v>35</v>
      </c>
      <c r="U134" s="103" t="s">
        <v>18</v>
      </c>
      <c r="V134" s="105"/>
    </row>
    <row r="135" spans="1:22" ht="13.5">
      <c r="A135" s="102">
        <v>45627.413802951385</v>
      </c>
      <c r="B135" s="103" t="s">
        <v>49</v>
      </c>
      <c r="C135" s="104" t="str">
        <f t="shared" si="18"/>
        <v>×</v>
      </c>
      <c r="D135" s="104" t="str">
        <f t="shared" si="18"/>
        <v>○</v>
      </c>
      <c r="E135" s="104" t="str">
        <f t="shared" si="18"/>
        <v>×</v>
      </c>
      <c r="F135" s="104" t="str">
        <f t="shared" si="18"/>
        <v>×</v>
      </c>
      <c r="G135" s="103" t="s">
        <v>20</v>
      </c>
      <c r="H135" s="105"/>
      <c r="I135" s="105"/>
      <c r="J135" s="103" t="s">
        <v>38</v>
      </c>
      <c r="K135" s="103" t="s">
        <v>16</v>
      </c>
      <c r="L135" s="103" t="s">
        <v>59</v>
      </c>
      <c r="M135" s="108" t="str">
        <f t="shared" si="20"/>
        <v/>
      </c>
      <c r="N135" s="108" t="str">
        <f t="shared" si="20"/>
        <v/>
      </c>
      <c r="O135" s="108" t="str">
        <f t="shared" si="20"/>
        <v/>
      </c>
      <c r="P135" s="108" t="str">
        <f t="shared" si="20"/>
        <v>○</v>
      </c>
      <c r="Q135" s="108" t="str">
        <f t="shared" si="20"/>
        <v/>
      </c>
      <c r="R135" s="103" t="str">
        <f t="shared" si="20"/>
        <v/>
      </c>
      <c r="S135" s="103" t="s">
        <v>670</v>
      </c>
      <c r="T135" s="103" t="s">
        <v>24</v>
      </c>
      <c r="U135" s="103" t="s">
        <v>18</v>
      </c>
      <c r="V135" s="105"/>
    </row>
    <row r="136" spans="1:22" ht="13.5">
      <c r="A136" s="102">
        <v>45627.47038269676</v>
      </c>
      <c r="B136" s="103" t="s">
        <v>49</v>
      </c>
      <c r="C136" s="104" t="str">
        <f t="shared" si="18"/>
        <v>×</v>
      </c>
      <c r="D136" s="104" t="str">
        <f t="shared" si="18"/>
        <v>○</v>
      </c>
      <c r="E136" s="104" t="str">
        <f t="shared" si="18"/>
        <v>×</v>
      </c>
      <c r="F136" s="104" t="str">
        <f t="shared" si="18"/>
        <v>×</v>
      </c>
      <c r="G136" s="103" t="s">
        <v>13</v>
      </c>
      <c r="H136" s="103" t="s">
        <v>77</v>
      </c>
      <c r="I136" s="103" t="s">
        <v>675</v>
      </c>
      <c r="J136" s="105"/>
      <c r="K136" s="103" t="s">
        <v>34</v>
      </c>
      <c r="L136" s="105"/>
      <c r="M136" s="110" t="str">
        <f t="shared" si="20"/>
        <v/>
      </c>
      <c r="N136" s="110" t="str">
        <f t="shared" si="20"/>
        <v/>
      </c>
      <c r="O136" s="110" t="str">
        <f t="shared" si="20"/>
        <v/>
      </c>
      <c r="P136" s="110" t="str">
        <f t="shared" si="20"/>
        <v/>
      </c>
      <c r="Q136" s="110" t="str">
        <f t="shared" si="20"/>
        <v/>
      </c>
      <c r="R136" s="105" t="str">
        <f t="shared" si="20"/>
        <v/>
      </c>
      <c r="S136" s="105"/>
      <c r="T136" s="103" t="s">
        <v>61</v>
      </c>
      <c r="U136" s="103" t="s">
        <v>18</v>
      </c>
      <c r="V136" s="105"/>
    </row>
    <row r="137" spans="1:22" ht="13.5">
      <c r="A137" s="102">
        <v>45627.482869432875</v>
      </c>
      <c r="B137" s="103" t="s">
        <v>244</v>
      </c>
      <c r="C137" s="104" t="str">
        <f t="shared" si="18"/>
        <v>×</v>
      </c>
      <c r="D137" s="104" t="str">
        <f t="shared" si="18"/>
        <v>○</v>
      </c>
      <c r="E137" s="104" t="str">
        <f t="shared" si="18"/>
        <v>○</v>
      </c>
      <c r="F137" s="104" t="str">
        <f t="shared" si="18"/>
        <v>×</v>
      </c>
      <c r="G137" s="103" t="s">
        <v>20</v>
      </c>
      <c r="H137" s="105"/>
      <c r="I137" s="105"/>
      <c r="J137" s="103" t="s">
        <v>58</v>
      </c>
      <c r="K137" s="103" t="s">
        <v>16</v>
      </c>
      <c r="L137" s="103" t="s">
        <v>678</v>
      </c>
      <c r="M137" s="108" t="str">
        <f t="shared" si="20"/>
        <v/>
      </c>
      <c r="N137" s="108" t="str">
        <f t="shared" si="20"/>
        <v/>
      </c>
      <c r="O137" s="108" t="str">
        <f t="shared" si="20"/>
        <v/>
      </c>
      <c r="P137" s="108" t="str">
        <f t="shared" si="20"/>
        <v/>
      </c>
      <c r="Q137" s="108" t="str">
        <f t="shared" si="20"/>
        <v/>
      </c>
      <c r="R137" s="103" t="str">
        <f t="shared" si="20"/>
        <v/>
      </c>
      <c r="S137" s="105"/>
      <c r="T137" s="103" t="s">
        <v>35</v>
      </c>
      <c r="U137" s="103" t="s">
        <v>18</v>
      </c>
      <c r="V137" s="105"/>
    </row>
    <row r="138" spans="1:22" ht="13.5">
      <c r="A138" s="102">
        <v>45627.49072710648</v>
      </c>
      <c r="B138" s="103" t="s">
        <v>71</v>
      </c>
      <c r="C138" s="104" t="str">
        <f t="shared" si="18"/>
        <v>×</v>
      </c>
      <c r="D138" s="104" t="str">
        <f t="shared" si="18"/>
        <v>○</v>
      </c>
      <c r="E138" s="104" t="str">
        <f t="shared" si="18"/>
        <v>○</v>
      </c>
      <c r="F138" s="104" t="str">
        <f t="shared" si="18"/>
        <v>×</v>
      </c>
      <c r="G138" s="103" t="s">
        <v>20</v>
      </c>
      <c r="H138" s="105"/>
      <c r="I138" s="105"/>
      <c r="J138" s="103" t="s">
        <v>58</v>
      </c>
      <c r="K138" s="103" t="s">
        <v>16</v>
      </c>
      <c r="L138" s="103" t="s">
        <v>68</v>
      </c>
      <c r="M138" s="108" t="str">
        <f t="shared" si="20"/>
        <v/>
      </c>
      <c r="N138" s="108" t="str">
        <f t="shared" si="20"/>
        <v/>
      </c>
      <c r="O138" s="108" t="str">
        <f t="shared" si="20"/>
        <v/>
      </c>
      <c r="P138" s="108" t="str">
        <f t="shared" si="20"/>
        <v/>
      </c>
      <c r="Q138" s="108" t="str">
        <f t="shared" si="20"/>
        <v>○</v>
      </c>
      <c r="R138" s="103" t="str">
        <f t="shared" si="20"/>
        <v/>
      </c>
      <c r="S138" s="103" t="s">
        <v>686</v>
      </c>
      <c r="T138" s="103" t="s">
        <v>30</v>
      </c>
      <c r="U138" s="103" t="s">
        <v>18</v>
      </c>
      <c r="V138" s="105"/>
    </row>
    <row r="139" spans="1:22" ht="13.5">
      <c r="A139" s="102">
        <v>45627.520357442132</v>
      </c>
      <c r="B139" s="103" t="s">
        <v>312</v>
      </c>
      <c r="C139" s="104" t="str">
        <f t="shared" si="18"/>
        <v>×</v>
      </c>
      <c r="D139" s="104" t="str">
        <f t="shared" si="18"/>
        <v>○</v>
      </c>
      <c r="E139" s="104" t="str">
        <f t="shared" si="18"/>
        <v>×</v>
      </c>
      <c r="F139" s="104" t="str">
        <f t="shared" si="18"/>
        <v>×</v>
      </c>
      <c r="G139" s="103" t="s">
        <v>13</v>
      </c>
      <c r="H139" s="103" t="s">
        <v>32</v>
      </c>
      <c r="I139" s="103" t="s">
        <v>690</v>
      </c>
      <c r="J139" s="105"/>
      <c r="K139" s="103" t="s">
        <v>16</v>
      </c>
      <c r="L139" s="103" t="s">
        <v>39</v>
      </c>
      <c r="M139" s="108" t="str">
        <f t="shared" si="20"/>
        <v/>
      </c>
      <c r="N139" s="108" t="str">
        <f t="shared" si="20"/>
        <v>○</v>
      </c>
      <c r="O139" s="108" t="str">
        <f t="shared" si="20"/>
        <v/>
      </c>
      <c r="P139" s="108" t="str">
        <f t="shared" si="20"/>
        <v/>
      </c>
      <c r="Q139" s="108" t="str">
        <f t="shared" si="20"/>
        <v/>
      </c>
      <c r="R139" s="103" t="str">
        <f t="shared" si="20"/>
        <v/>
      </c>
      <c r="S139" s="105"/>
      <c r="T139" s="103" t="s">
        <v>30</v>
      </c>
      <c r="U139" s="103" t="s">
        <v>18</v>
      </c>
      <c r="V139" s="105"/>
    </row>
    <row r="140" spans="1:22" ht="13.5">
      <c r="A140" s="102">
        <v>45627.524218969906</v>
      </c>
      <c r="B140" s="103" t="s">
        <v>181</v>
      </c>
      <c r="C140" s="104" t="str">
        <f t="shared" si="18"/>
        <v>×</v>
      </c>
      <c r="D140" s="104" t="str">
        <f t="shared" si="18"/>
        <v>○</v>
      </c>
      <c r="E140" s="104" t="str">
        <f t="shared" si="18"/>
        <v>×</v>
      </c>
      <c r="F140" s="104" t="str">
        <f t="shared" si="18"/>
        <v>×</v>
      </c>
      <c r="G140" s="103" t="s">
        <v>13</v>
      </c>
      <c r="H140" s="103" t="s">
        <v>77</v>
      </c>
      <c r="I140" s="103" t="s">
        <v>691</v>
      </c>
      <c r="J140" s="105"/>
      <c r="K140" s="103" t="s">
        <v>34</v>
      </c>
      <c r="L140" s="105"/>
      <c r="M140" s="110" t="str">
        <f t="shared" si="20"/>
        <v/>
      </c>
      <c r="N140" s="110" t="str">
        <f t="shared" si="20"/>
        <v/>
      </c>
      <c r="O140" s="110" t="str">
        <f t="shared" si="20"/>
        <v/>
      </c>
      <c r="P140" s="110" t="str">
        <f t="shared" si="20"/>
        <v/>
      </c>
      <c r="Q140" s="110" t="str">
        <f t="shared" si="20"/>
        <v/>
      </c>
      <c r="R140" s="105" t="str">
        <f t="shared" si="20"/>
        <v/>
      </c>
      <c r="S140" s="105"/>
      <c r="T140" s="103" t="s">
        <v>61</v>
      </c>
      <c r="U140" s="103" t="s">
        <v>18</v>
      </c>
      <c r="V140" s="103" t="s">
        <v>692</v>
      </c>
    </row>
    <row r="141" spans="1:22" ht="13.5">
      <c r="A141" s="102">
        <v>45627.532885324079</v>
      </c>
      <c r="B141" s="103" t="s">
        <v>67</v>
      </c>
      <c r="C141" s="104" t="str">
        <f t="shared" si="18"/>
        <v>×</v>
      </c>
      <c r="D141" s="104" t="str">
        <f t="shared" si="18"/>
        <v>○</v>
      </c>
      <c r="E141" s="104" t="str">
        <f t="shared" si="18"/>
        <v>×</v>
      </c>
      <c r="F141" s="104" t="str">
        <f t="shared" si="18"/>
        <v>×</v>
      </c>
      <c r="G141" s="103" t="s">
        <v>13</v>
      </c>
      <c r="H141" s="103" t="s">
        <v>27</v>
      </c>
      <c r="I141" s="103" t="s">
        <v>237</v>
      </c>
      <c r="J141" s="105"/>
      <c r="K141" s="103" t="s">
        <v>34</v>
      </c>
      <c r="L141" s="105"/>
      <c r="M141" s="110" t="str">
        <f t="shared" si="20"/>
        <v/>
      </c>
      <c r="N141" s="110" t="str">
        <f t="shared" si="20"/>
        <v/>
      </c>
      <c r="O141" s="110" t="str">
        <f t="shared" si="20"/>
        <v/>
      </c>
      <c r="P141" s="110" t="str">
        <f t="shared" si="20"/>
        <v/>
      </c>
      <c r="Q141" s="110" t="str">
        <f t="shared" si="20"/>
        <v/>
      </c>
      <c r="R141" s="105" t="str">
        <f t="shared" si="20"/>
        <v/>
      </c>
      <c r="S141" s="105"/>
      <c r="T141" s="103" t="s">
        <v>35</v>
      </c>
      <c r="U141" s="103" t="s">
        <v>18</v>
      </c>
      <c r="V141" s="105"/>
    </row>
    <row r="142" spans="1:22" ht="13.5">
      <c r="A142" s="102">
        <v>45627.61853177083</v>
      </c>
      <c r="B142" s="103" t="s">
        <v>57</v>
      </c>
      <c r="C142" s="104" t="str">
        <f t="shared" ref="C142:F161" si="21">IF(ISERROR(FIND(C$1,$B142)),"×","○")</f>
        <v>×</v>
      </c>
      <c r="D142" s="104" t="str">
        <f t="shared" si="21"/>
        <v>○</v>
      </c>
      <c r="E142" s="104" t="str">
        <f t="shared" si="21"/>
        <v>×</v>
      </c>
      <c r="F142" s="104" t="str">
        <f t="shared" si="21"/>
        <v>×</v>
      </c>
      <c r="G142" s="103" t="s">
        <v>20</v>
      </c>
      <c r="H142" s="105"/>
      <c r="I142" s="105"/>
      <c r="J142" s="103" t="s">
        <v>58</v>
      </c>
      <c r="K142" s="103" t="s">
        <v>16</v>
      </c>
      <c r="L142" s="103" t="s">
        <v>59</v>
      </c>
      <c r="M142" s="108" t="str">
        <f t="shared" ref="M142:R151" si="22">IF(ISERROR(SEARCH(M$1,$L142)),"","○")</f>
        <v/>
      </c>
      <c r="N142" s="108" t="str">
        <f t="shared" si="22"/>
        <v/>
      </c>
      <c r="O142" s="108" t="str">
        <f t="shared" si="22"/>
        <v/>
      </c>
      <c r="P142" s="108" t="str">
        <f t="shared" si="22"/>
        <v>○</v>
      </c>
      <c r="Q142" s="108" t="str">
        <f t="shared" si="22"/>
        <v/>
      </c>
      <c r="R142" s="103" t="str">
        <f t="shared" si="22"/>
        <v/>
      </c>
      <c r="S142" s="103" t="s">
        <v>703</v>
      </c>
      <c r="T142" s="103" t="s">
        <v>24</v>
      </c>
      <c r="U142" s="103" t="s">
        <v>18</v>
      </c>
      <c r="V142" s="103" t="s">
        <v>704</v>
      </c>
    </row>
    <row r="143" spans="1:22" ht="13.5">
      <c r="A143" s="102">
        <v>45627.647696643515</v>
      </c>
      <c r="B143" s="103" t="s">
        <v>64</v>
      </c>
      <c r="C143" s="104" t="str">
        <f t="shared" si="21"/>
        <v>○</v>
      </c>
      <c r="D143" s="104" t="str">
        <f t="shared" si="21"/>
        <v>○</v>
      </c>
      <c r="E143" s="104" t="str">
        <f t="shared" si="21"/>
        <v>×</v>
      </c>
      <c r="F143" s="104" t="str">
        <f t="shared" si="21"/>
        <v>×</v>
      </c>
      <c r="G143" s="103" t="s">
        <v>13</v>
      </c>
      <c r="H143" s="103" t="s">
        <v>27</v>
      </c>
      <c r="I143" s="103" t="s">
        <v>705</v>
      </c>
      <c r="J143" s="105"/>
      <c r="K143" s="103" t="s">
        <v>34</v>
      </c>
      <c r="L143" s="105"/>
      <c r="M143" s="110" t="str">
        <f t="shared" si="22"/>
        <v/>
      </c>
      <c r="N143" s="110" t="str">
        <f t="shared" si="22"/>
        <v/>
      </c>
      <c r="O143" s="110" t="str">
        <f t="shared" si="22"/>
        <v/>
      </c>
      <c r="P143" s="110" t="str">
        <f t="shared" si="22"/>
        <v/>
      </c>
      <c r="Q143" s="110" t="str">
        <f t="shared" si="22"/>
        <v/>
      </c>
      <c r="R143" s="105" t="str">
        <f t="shared" si="22"/>
        <v/>
      </c>
      <c r="S143" s="105"/>
      <c r="T143" s="103" t="s">
        <v>35</v>
      </c>
      <c r="U143" s="103" t="s">
        <v>18</v>
      </c>
      <c r="V143" s="105"/>
    </row>
    <row r="144" spans="1:22" ht="13.5">
      <c r="A144" s="102">
        <v>45627.667414131945</v>
      </c>
      <c r="B144" s="103" t="s">
        <v>19</v>
      </c>
      <c r="C144" s="104" t="str">
        <f t="shared" si="21"/>
        <v>×</v>
      </c>
      <c r="D144" s="104" t="str">
        <f t="shared" si="21"/>
        <v>○</v>
      </c>
      <c r="E144" s="104" t="str">
        <f t="shared" si="21"/>
        <v>×</v>
      </c>
      <c r="F144" s="104" t="str">
        <f t="shared" si="21"/>
        <v>×</v>
      </c>
      <c r="G144" s="103" t="s">
        <v>13</v>
      </c>
      <c r="H144" s="103" t="s">
        <v>27</v>
      </c>
      <c r="I144" s="103" t="s">
        <v>711</v>
      </c>
      <c r="J144" s="105"/>
      <c r="K144" s="103" t="s">
        <v>34</v>
      </c>
      <c r="L144" s="105"/>
      <c r="M144" s="110" t="str">
        <f t="shared" si="22"/>
        <v/>
      </c>
      <c r="N144" s="110" t="str">
        <f t="shared" si="22"/>
        <v/>
      </c>
      <c r="O144" s="110" t="str">
        <f t="shared" si="22"/>
        <v/>
      </c>
      <c r="P144" s="110" t="str">
        <f t="shared" si="22"/>
        <v/>
      </c>
      <c r="Q144" s="110" t="str">
        <f t="shared" si="22"/>
        <v/>
      </c>
      <c r="R144" s="105" t="str">
        <f t="shared" si="22"/>
        <v/>
      </c>
      <c r="S144" s="105"/>
      <c r="T144" s="103" t="s">
        <v>35</v>
      </c>
      <c r="U144" s="103" t="s">
        <v>18</v>
      </c>
      <c r="V144" s="103" t="s">
        <v>712</v>
      </c>
    </row>
    <row r="145" spans="1:22" ht="13.5">
      <c r="A145" s="102">
        <v>45627.710803715279</v>
      </c>
      <c r="B145" s="103" t="s">
        <v>90</v>
      </c>
      <c r="C145" s="104" t="str">
        <f t="shared" si="21"/>
        <v>×</v>
      </c>
      <c r="D145" s="104" t="str">
        <f t="shared" si="21"/>
        <v>×</v>
      </c>
      <c r="E145" s="104" t="str">
        <f t="shared" si="21"/>
        <v>○</v>
      </c>
      <c r="F145" s="104" t="str">
        <f t="shared" si="21"/>
        <v>×</v>
      </c>
      <c r="G145" s="103" t="s">
        <v>20</v>
      </c>
      <c r="H145" s="105"/>
      <c r="I145" s="105"/>
      <c r="J145" s="103" t="s">
        <v>58</v>
      </c>
      <c r="K145" s="103" t="s">
        <v>16</v>
      </c>
      <c r="L145" s="103" t="s">
        <v>59</v>
      </c>
      <c r="M145" s="108" t="str">
        <f t="shared" si="22"/>
        <v/>
      </c>
      <c r="N145" s="108" t="str">
        <f t="shared" si="22"/>
        <v/>
      </c>
      <c r="O145" s="108" t="str">
        <f t="shared" si="22"/>
        <v/>
      </c>
      <c r="P145" s="108" t="str">
        <f t="shared" si="22"/>
        <v>○</v>
      </c>
      <c r="Q145" s="108" t="str">
        <f t="shared" si="22"/>
        <v/>
      </c>
      <c r="R145" s="103" t="str">
        <f t="shared" si="22"/>
        <v/>
      </c>
      <c r="S145" s="103" t="s">
        <v>715</v>
      </c>
      <c r="T145" s="103" t="s">
        <v>30</v>
      </c>
      <c r="U145" s="103" t="s">
        <v>18</v>
      </c>
      <c r="V145" s="105"/>
    </row>
    <row r="146" spans="1:22" ht="13.5">
      <c r="A146" s="102">
        <v>45627.713444374996</v>
      </c>
      <c r="B146" s="103" t="s">
        <v>181</v>
      </c>
      <c r="C146" s="104" t="str">
        <f t="shared" si="21"/>
        <v>×</v>
      </c>
      <c r="D146" s="104" t="str">
        <f t="shared" si="21"/>
        <v>○</v>
      </c>
      <c r="E146" s="104" t="str">
        <f t="shared" si="21"/>
        <v>×</v>
      </c>
      <c r="F146" s="104" t="str">
        <f t="shared" si="21"/>
        <v>×</v>
      </c>
      <c r="G146" s="103" t="s">
        <v>20</v>
      </c>
      <c r="H146" s="105"/>
      <c r="I146" s="105"/>
      <c r="J146" s="103" t="s">
        <v>58</v>
      </c>
      <c r="K146" s="103" t="s">
        <v>16</v>
      </c>
      <c r="L146" s="103" t="s">
        <v>68</v>
      </c>
      <c r="M146" s="108" t="str">
        <f t="shared" si="22"/>
        <v/>
      </c>
      <c r="N146" s="108" t="str">
        <f t="shared" si="22"/>
        <v/>
      </c>
      <c r="O146" s="108" t="str">
        <f t="shared" si="22"/>
        <v/>
      </c>
      <c r="P146" s="108" t="str">
        <f t="shared" si="22"/>
        <v/>
      </c>
      <c r="Q146" s="108" t="str">
        <f t="shared" si="22"/>
        <v>○</v>
      </c>
      <c r="R146" s="103" t="str">
        <f t="shared" si="22"/>
        <v/>
      </c>
      <c r="S146" s="103" t="s">
        <v>716</v>
      </c>
      <c r="T146" s="103" t="s">
        <v>30</v>
      </c>
      <c r="U146" s="103" t="s">
        <v>18</v>
      </c>
      <c r="V146" s="103" t="s">
        <v>717</v>
      </c>
    </row>
    <row r="147" spans="1:22" ht="13.5">
      <c r="A147" s="102">
        <v>45627.72292039352</v>
      </c>
      <c r="B147" s="103" t="s">
        <v>93</v>
      </c>
      <c r="C147" s="104" t="str">
        <f t="shared" si="21"/>
        <v>×</v>
      </c>
      <c r="D147" s="104" t="str">
        <f t="shared" si="21"/>
        <v>×</v>
      </c>
      <c r="E147" s="104" t="str">
        <f t="shared" si="21"/>
        <v>○</v>
      </c>
      <c r="F147" s="104" t="str">
        <f t="shared" si="21"/>
        <v>×</v>
      </c>
      <c r="G147" s="103" t="s">
        <v>20</v>
      </c>
      <c r="H147" s="105"/>
      <c r="I147" s="105"/>
      <c r="J147" s="103" t="s">
        <v>58</v>
      </c>
      <c r="K147" s="103" t="s">
        <v>16</v>
      </c>
      <c r="L147" s="103" t="s">
        <v>68</v>
      </c>
      <c r="M147" s="108" t="str">
        <f t="shared" si="22"/>
        <v/>
      </c>
      <c r="N147" s="108" t="str">
        <f t="shared" si="22"/>
        <v/>
      </c>
      <c r="O147" s="108" t="str">
        <f t="shared" si="22"/>
        <v/>
      </c>
      <c r="P147" s="108" t="str">
        <f t="shared" si="22"/>
        <v/>
      </c>
      <c r="Q147" s="108" t="str">
        <f t="shared" si="22"/>
        <v>○</v>
      </c>
      <c r="R147" s="103" t="str">
        <f t="shared" si="22"/>
        <v/>
      </c>
      <c r="S147" s="105"/>
      <c r="T147" s="103" t="s">
        <v>30</v>
      </c>
      <c r="U147" s="103" t="s">
        <v>18</v>
      </c>
      <c r="V147" s="105"/>
    </row>
    <row r="148" spans="1:22" ht="13.5">
      <c r="A148" s="102">
        <v>45627.752946655091</v>
      </c>
      <c r="B148" s="103" t="s">
        <v>105</v>
      </c>
      <c r="C148" s="104" t="str">
        <f t="shared" si="21"/>
        <v>×</v>
      </c>
      <c r="D148" s="104" t="str">
        <f t="shared" si="21"/>
        <v>×</v>
      </c>
      <c r="E148" s="104" t="str">
        <f t="shared" si="21"/>
        <v>○</v>
      </c>
      <c r="F148" s="104" t="str">
        <f t="shared" si="21"/>
        <v>×</v>
      </c>
      <c r="G148" s="103" t="s">
        <v>20</v>
      </c>
      <c r="H148" s="105"/>
      <c r="I148" s="105"/>
      <c r="J148" s="103" t="s">
        <v>58</v>
      </c>
      <c r="K148" s="103" t="s">
        <v>34</v>
      </c>
      <c r="L148" s="105"/>
      <c r="M148" s="110" t="str">
        <f t="shared" si="22"/>
        <v/>
      </c>
      <c r="N148" s="110" t="str">
        <f t="shared" si="22"/>
        <v/>
      </c>
      <c r="O148" s="110" t="str">
        <f t="shared" si="22"/>
        <v/>
      </c>
      <c r="P148" s="110" t="str">
        <f t="shared" si="22"/>
        <v/>
      </c>
      <c r="Q148" s="110" t="str">
        <f t="shared" si="22"/>
        <v/>
      </c>
      <c r="R148" s="105" t="str">
        <f t="shared" si="22"/>
        <v/>
      </c>
      <c r="S148" s="105"/>
      <c r="T148" s="103" t="s">
        <v>35</v>
      </c>
      <c r="U148" s="103" t="s">
        <v>18</v>
      </c>
      <c r="V148" s="103" t="s">
        <v>721</v>
      </c>
    </row>
    <row r="149" spans="1:22" ht="13.5">
      <c r="A149" s="102">
        <v>45627.762565173616</v>
      </c>
      <c r="B149" s="103" t="s">
        <v>41</v>
      </c>
      <c r="C149" s="104" t="str">
        <f t="shared" si="21"/>
        <v>×</v>
      </c>
      <c r="D149" s="104" t="str">
        <f t="shared" si="21"/>
        <v>○</v>
      </c>
      <c r="E149" s="104" t="str">
        <f t="shared" si="21"/>
        <v>×</v>
      </c>
      <c r="F149" s="104" t="str">
        <f t="shared" si="21"/>
        <v>×</v>
      </c>
      <c r="G149" s="103" t="s">
        <v>13</v>
      </c>
      <c r="H149" s="103" t="s">
        <v>27</v>
      </c>
      <c r="I149" s="103" t="s">
        <v>722</v>
      </c>
      <c r="J149" s="105"/>
      <c r="K149" s="103" t="s">
        <v>34</v>
      </c>
      <c r="L149" s="105"/>
      <c r="M149" s="110" t="str">
        <f t="shared" si="22"/>
        <v/>
      </c>
      <c r="N149" s="110" t="str">
        <f t="shared" si="22"/>
        <v/>
      </c>
      <c r="O149" s="110" t="str">
        <f t="shared" si="22"/>
        <v/>
      </c>
      <c r="P149" s="110" t="str">
        <f t="shared" si="22"/>
        <v/>
      </c>
      <c r="Q149" s="110" t="str">
        <f t="shared" si="22"/>
        <v/>
      </c>
      <c r="R149" s="105" t="str">
        <f t="shared" si="22"/>
        <v/>
      </c>
      <c r="S149" s="105"/>
      <c r="T149" s="103" t="s">
        <v>30</v>
      </c>
      <c r="U149" s="103" t="s">
        <v>18</v>
      </c>
      <c r="V149" s="103" t="s">
        <v>723</v>
      </c>
    </row>
    <row r="150" spans="1:22" ht="13.5">
      <c r="A150" s="102">
        <v>45627.769031932869</v>
      </c>
      <c r="B150" s="103" t="s">
        <v>93</v>
      </c>
      <c r="C150" s="104" t="str">
        <f t="shared" si="21"/>
        <v>×</v>
      </c>
      <c r="D150" s="104" t="str">
        <f t="shared" si="21"/>
        <v>×</v>
      </c>
      <c r="E150" s="104" t="str">
        <f t="shared" si="21"/>
        <v>○</v>
      </c>
      <c r="F150" s="104" t="str">
        <f t="shared" si="21"/>
        <v>×</v>
      </c>
      <c r="G150" s="103" t="s">
        <v>20</v>
      </c>
      <c r="H150" s="105"/>
      <c r="I150" s="105"/>
      <c r="J150" s="103" t="s">
        <v>21</v>
      </c>
      <c r="K150" s="103" t="s">
        <v>16</v>
      </c>
      <c r="L150" s="103" t="s">
        <v>39</v>
      </c>
      <c r="M150" s="108" t="str">
        <f t="shared" si="22"/>
        <v/>
      </c>
      <c r="N150" s="108" t="str">
        <f t="shared" si="22"/>
        <v>○</v>
      </c>
      <c r="O150" s="108" t="str">
        <f t="shared" si="22"/>
        <v/>
      </c>
      <c r="P150" s="108" t="str">
        <f t="shared" si="22"/>
        <v/>
      </c>
      <c r="Q150" s="108" t="str">
        <f t="shared" si="22"/>
        <v/>
      </c>
      <c r="R150" s="103" t="str">
        <f t="shared" si="22"/>
        <v/>
      </c>
      <c r="S150" s="105"/>
      <c r="T150" s="103" t="s">
        <v>30</v>
      </c>
      <c r="U150" s="103" t="s">
        <v>18</v>
      </c>
      <c r="V150" s="103" t="s">
        <v>726</v>
      </c>
    </row>
    <row r="151" spans="1:22" ht="13.5">
      <c r="A151" s="102">
        <v>45627.775997060184</v>
      </c>
      <c r="B151" s="103" t="s">
        <v>108</v>
      </c>
      <c r="C151" s="104" t="str">
        <f t="shared" si="21"/>
        <v>×</v>
      </c>
      <c r="D151" s="104" t="str">
        <f t="shared" si="21"/>
        <v>○</v>
      </c>
      <c r="E151" s="104" t="str">
        <f t="shared" si="21"/>
        <v>○</v>
      </c>
      <c r="F151" s="104" t="str">
        <f t="shared" si="21"/>
        <v>×</v>
      </c>
      <c r="G151" s="103" t="s">
        <v>13</v>
      </c>
      <c r="H151" s="103" t="s">
        <v>32</v>
      </c>
      <c r="I151" s="103" t="s">
        <v>733</v>
      </c>
      <c r="J151" s="105"/>
      <c r="K151" s="103" t="s">
        <v>34</v>
      </c>
      <c r="L151" s="105"/>
      <c r="M151" s="110" t="str">
        <f t="shared" si="22"/>
        <v/>
      </c>
      <c r="N151" s="110" t="str">
        <f t="shared" si="22"/>
        <v/>
      </c>
      <c r="O151" s="110" t="str">
        <f t="shared" si="22"/>
        <v/>
      </c>
      <c r="P151" s="110" t="str">
        <f t="shared" si="22"/>
        <v/>
      </c>
      <c r="Q151" s="110" t="str">
        <f t="shared" si="22"/>
        <v/>
      </c>
      <c r="R151" s="105" t="str">
        <f t="shared" si="22"/>
        <v/>
      </c>
      <c r="S151" s="105"/>
      <c r="T151" s="103" t="s">
        <v>35</v>
      </c>
      <c r="U151" s="103" t="s">
        <v>18</v>
      </c>
      <c r="V151" s="105"/>
    </row>
    <row r="152" spans="1:22" ht="13.5">
      <c r="A152" s="102">
        <v>45627.777391666663</v>
      </c>
      <c r="B152" s="103" t="s">
        <v>315</v>
      </c>
      <c r="C152" s="104" t="str">
        <f t="shared" si="21"/>
        <v>×</v>
      </c>
      <c r="D152" s="104" t="str">
        <f t="shared" si="21"/>
        <v>○</v>
      </c>
      <c r="E152" s="104" t="str">
        <f t="shared" si="21"/>
        <v>×</v>
      </c>
      <c r="F152" s="104" t="str">
        <f t="shared" si="21"/>
        <v>×</v>
      </c>
      <c r="G152" s="103" t="s">
        <v>13</v>
      </c>
      <c r="H152" s="103" t="s">
        <v>27</v>
      </c>
      <c r="I152" s="103" t="s">
        <v>734</v>
      </c>
      <c r="J152" s="105"/>
      <c r="K152" s="103" t="s">
        <v>34</v>
      </c>
      <c r="L152" s="105"/>
      <c r="M152" s="110" t="str">
        <f t="shared" ref="M152:R161" si="23">IF(ISERROR(SEARCH(M$1,$L152)),"","○")</f>
        <v/>
      </c>
      <c r="N152" s="110" t="str">
        <f t="shared" si="23"/>
        <v/>
      </c>
      <c r="O152" s="110" t="str">
        <f t="shared" si="23"/>
        <v/>
      </c>
      <c r="P152" s="110" t="str">
        <f t="shared" si="23"/>
        <v/>
      </c>
      <c r="Q152" s="110" t="str">
        <f t="shared" si="23"/>
        <v/>
      </c>
      <c r="R152" s="105" t="str">
        <f t="shared" si="23"/>
        <v/>
      </c>
      <c r="S152" s="105"/>
      <c r="T152" s="103" t="s">
        <v>30</v>
      </c>
      <c r="U152" s="103" t="s">
        <v>18</v>
      </c>
      <c r="V152" s="105"/>
    </row>
    <row r="153" spans="1:22" ht="13.5">
      <c r="A153" s="102">
        <v>45627.781896655091</v>
      </c>
      <c r="B153" s="103" t="s">
        <v>41</v>
      </c>
      <c r="C153" s="104" t="str">
        <f t="shared" si="21"/>
        <v>×</v>
      </c>
      <c r="D153" s="104" t="str">
        <f t="shared" si="21"/>
        <v>○</v>
      </c>
      <c r="E153" s="104" t="str">
        <f t="shared" si="21"/>
        <v>×</v>
      </c>
      <c r="F153" s="104" t="str">
        <f t="shared" si="21"/>
        <v>×</v>
      </c>
      <c r="G153" s="103" t="s">
        <v>13</v>
      </c>
      <c r="H153" s="103" t="s">
        <v>14</v>
      </c>
      <c r="I153" s="103" t="s">
        <v>735</v>
      </c>
      <c r="J153" s="105"/>
      <c r="K153" s="103" t="s">
        <v>34</v>
      </c>
      <c r="L153" s="105"/>
      <c r="M153" s="110" t="str">
        <f t="shared" si="23"/>
        <v/>
      </c>
      <c r="N153" s="110" t="str">
        <f t="shared" si="23"/>
        <v/>
      </c>
      <c r="O153" s="110" t="str">
        <f t="shared" si="23"/>
        <v/>
      </c>
      <c r="P153" s="110" t="str">
        <f t="shared" si="23"/>
        <v/>
      </c>
      <c r="Q153" s="110" t="str">
        <f t="shared" si="23"/>
        <v/>
      </c>
      <c r="R153" s="105" t="str">
        <f t="shared" si="23"/>
        <v/>
      </c>
      <c r="S153" s="105"/>
      <c r="T153" s="103" t="s">
        <v>61</v>
      </c>
      <c r="U153" s="103" t="s">
        <v>18</v>
      </c>
      <c r="V153" s="103" t="s">
        <v>736</v>
      </c>
    </row>
    <row r="154" spans="1:22" ht="13.5">
      <c r="A154" s="102">
        <v>45627.789548622684</v>
      </c>
      <c r="B154" s="103" t="s">
        <v>41</v>
      </c>
      <c r="C154" s="104" t="str">
        <f t="shared" si="21"/>
        <v>×</v>
      </c>
      <c r="D154" s="104" t="str">
        <f t="shared" si="21"/>
        <v>○</v>
      </c>
      <c r="E154" s="104" t="str">
        <f t="shared" si="21"/>
        <v>×</v>
      </c>
      <c r="F154" s="104" t="str">
        <f t="shared" si="21"/>
        <v>×</v>
      </c>
      <c r="G154" s="103" t="s">
        <v>13</v>
      </c>
      <c r="H154" s="103" t="s">
        <v>27</v>
      </c>
      <c r="I154" s="103" t="s">
        <v>743</v>
      </c>
      <c r="J154" s="105"/>
      <c r="K154" s="103" t="s">
        <v>34</v>
      </c>
      <c r="L154" s="105"/>
      <c r="M154" s="110" t="str">
        <f t="shared" si="23"/>
        <v/>
      </c>
      <c r="N154" s="110" t="str">
        <f t="shared" si="23"/>
        <v/>
      </c>
      <c r="O154" s="110" t="str">
        <f t="shared" si="23"/>
        <v/>
      </c>
      <c r="P154" s="110" t="str">
        <f t="shared" si="23"/>
        <v/>
      </c>
      <c r="Q154" s="110" t="str">
        <f t="shared" si="23"/>
        <v/>
      </c>
      <c r="R154" s="105" t="str">
        <f t="shared" si="23"/>
        <v/>
      </c>
      <c r="S154" s="105"/>
      <c r="T154" s="103" t="s">
        <v>30</v>
      </c>
      <c r="U154" s="103" t="s">
        <v>18</v>
      </c>
      <c r="V154" s="103" t="s">
        <v>744</v>
      </c>
    </row>
    <row r="155" spans="1:22" ht="13.5">
      <c r="A155" s="102">
        <v>45627.792754826391</v>
      </c>
      <c r="B155" s="103" t="s">
        <v>57</v>
      </c>
      <c r="C155" s="104" t="str">
        <f t="shared" si="21"/>
        <v>×</v>
      </c>
      <c r="D155" s="104" t="str">
        <f t="shared" si="21"/>
        <v>○</v>
      </c>
      <c r="E155" s="104" t="str">
        <f t="shared" si="21"/>
        <v>×</v>
      </c>
      <c r="F155" s="104" t="str">
        <f t="shared" si="21"/>
        <v>×</v>
      </c>
      <c r="G155" s="103" t="s">
        <v>20</v>
      </c>
      <c r="H155" s="105"/>
      <c r="I155" s="105"/>
      <c r="J155" s="103" t="s">
        <v>58</v>
      </c>
      <c r="K155" s="103" t="s">
        <v>16</v>
      </c>
      <c r="L155" s="103" t="s">
        <v>88</v>
      </c>
      <c r="M155" s="108" t="str">
        <f t="shared" si="23"/>
        <v/>
      </c>
      <c r="N155" s="108" t="str">
        <f t="shared" si="23"/>
        <v>○</v>
      </c>
      <c r="O155" s="108" t="str">
        <f t="shared" si="23"/>
        <v/>
      </c>
      <c r="P155" s="108" t="str">
        <f t="shared" si="23"/>
        <v/>
      </c>
      <c r="Q155" s="108" t="str">
        <f t="shared" si="23"/>
        <v>○</v>
      </c>
      <c r="R155" s="103" t="str">
        <f t="shared" si="23"/>
        <v/>
      </c>
      <c r="S155" s="103" t="s">
        <v>750</v>
      </c>
      <c r="T155" s="103" t="s">
        <v>30</v>
      </c>
      <c r="U155" s="103" t="s">
        <v>18</v>
      </c>
      <c r="V155" s="105"/>
    </row>
    <row r="156" spans="1:22" ht="13.5">
      <c r="A156" s="102">
        <v>45627.798654687504</v>
      </c>
      <c r="B156" s="103" t="s">
        <v>547</v>
      </c>
      <c r="C156" s="104" t="str">
        <f t="shared" si="21"/>
        <v>×</v>
      </c>
      <c r="D156" s="104" t="str">
        <f t="shared" si="21"/>
        <v>○</v>
      </c>
      <c r="E156" s="104" t="str">
        <f t="shared" si="21"/>
        <v>○</v>
      </c>
      <c r="F156" s="104" t="str">
        <f t="shared" si="21"/>
        <v>○</v>
      </c>
      <c r="G156" s="103" t="s">
        <v>13</v>
      </c>
      <c r="H156" s="103" t="s">
        <v>27</v>
      </c>
      <c r="I156" s="103" t="s">
        <v>756</v>
      </c>
      <c r="J156" s="105"/>
      <c r="K156" s="103" t="s">
        <v>34</v>
      </c>
      <c r="L156" s="105"/>
      <c r="M156" s="110" t="str">
        <f t="shared" si="23"/>
        <v/>
      </c>
      <c r="N156" s="110" t="str">
        <f t="shared" si="23"/>
        <v/>
      </c>
      <c r="O156" s="110" t="str">
        <f t="shared" si="23"/>
        <v/>
      </c>
      <c r="P156" s="110" t="str">
        <f t="shared" si="23"/>
        <v/>
      </c>
      <c r="Q156" s="110" t="str">
        <f t="shared" si="23"/>
        <v/>
      </c>
      <c r="R156" s="105" t="str">
        <f t="shared" si="23"/>
        <v/>
      </c>
      <c r="S156" s="105"/>
      <c r="T156" s="103" t="s">
        <v>757</v>
      </c>
      <c r="U156" s="103" t="s">
        <v>18</v>
      </c>
      <c r="V156" s="103" t="s">
        <v>758</v>
      </c>
    </row>
    <row r="157" spans="1:22" ht="13.5">
      <c r="A157" s="102">
        <v>45627.807875300925</v>
      </c>
      <c r="B157" s="103" t="s">
        <v>759</v>
      </c>
      <c r="C157" s="104" t="str">
        <f t="shared" si="21"/>
        <v>×</v>
      </c>
      <c r="D157" s="104" t="str">
        <f t="shared" si="21"/>
        <v>○</v>
      </c>
      <c r="E157" s="104" t="str">
        <f t="shared" si="21"/>
        <v>○</v>
      </c>
      <c r="F157" s="104" t="str">
        <f t="shared" si="21"/>
        <v>×</v>
      </c>
      <c r="G157" s="103" t="s">
        <v>13</v>
      </c>
      <c r="H157" s="103" t="s">
        <v>32</v>
      </c>
      <c r="I157" s="103" t="s">
        <v>760</v>
      </c>
      <c r="J157" s="105"/>
      <c r="K157" s="103" t="s">
        <v>34</v>
      </c>
      <c r="L157" s="105"/>
      <c r="M157" s="110" t="str">
        <f t="shared" si="23"/>
        <v/>
      </c>
      <c r="N157" s="110" t="str">
        <f t="shared" si="23"/>
        <v/>
      </c>
      <c r="O157" s="110" t="str">
        <f t="shared" si="23"/>
        <v/>
      </c>
      <c r="P157" s="110" t="str">
        <f t="shared" si="23"/>
        <v/>
      </c>
      <c r="Q157" s="110" t="str">
        <f t="shared" si="23"/>
        <v/>
      </c>
      <c r="R157" s="105" t="str">
        <f t="shared" si="23"/>
        <v/>
      </c>
      <c r="S157" s="105"/>
      <c r="T157" s="103" t="s">
        <v>35</v>
      </c>
      <c r="U157" s="103" t="s">
        <v>18</v>
      </c>
      <c r="V157" s="105"/>
    </row>
    <row r="158" spans="1:22" ht="13.5">
      <c r="A158" s="102">
        <v>45627.811083414352</v>
      </c>
      <c r="B158" s="103" t="s">
        <v>41</v>
      </c>
      <c r="C158" s="104" t="str">
        <f t="shared" si="21"/>
        <v>×</v>
      </c>
      <c r="D158" s="104" t="str">
        <f t="shared" si="21"/>
        <v>○</v>
      </c>
      <c r="E158" s="104" t="str">
        <f t="shared" si="21"/>
        <v>×</v>
      </c>
      <c r="F158" s="104" t="str">
        <f t="shared" si="21"/>
        <v>×</v>
      </c>
      <c r="G158" s="103" t="s">
        <v>13</v>
      </c>
      <c r="H158" s="103" t="s">
        <v>27</v>
      </c>
      <c r="I158" s="103" t="s">
        <v>761</v>
      </c>
      <c r="J158" s="105"/>
      <c r="K158" s="103" t="s">
        <v>34</v>
      </c>
      <c r="L158" s="105"/>
      <c r="M158" s="110" t="str">
        <f t="shared" si="23"/>
        <v/>
      </c>
      <c r="N158" s="110" t="str">
        <f t="shared" si="23"/>
        <v/>
      </c>
      <c r="O158" s="110" t="str">
        <f t="shared" si="23"/>
        <v/>
      </c>
      <c r="P158" s="110" t="str">
        <f t="shared" si="23"/>
        <v/>
      </c>
      <c r="Q158" s="110" t="str">
        <f t="shared" si="23"/>
        <v/>
      </c>
      <c r="R158" s="105" t="str">
        <f t="shared" si="23"/>
        <v/>
      </c>
      <c r="S158" s="105"/>
      <c r="T158" s="103" t="s">
        <v>35</v>
      </c>
      <c r="U158" s="103" t="s">
        <v>18</v>
      </c>
      <c r="V158" s="105"/>
    </row>
    <row r="159" spans="1:22" ht="13.5">
      <c r="A159" s="102">
        <v>45627.83567049769</v>
      </c>
      <c r="B159" s="103" t="s">
        <v>164</v>
      </c>
      <c r="C159" s="104" t="str">
        <f t="shared" si="21"/>
        <v>×</v>
      </c>
      <c r="D159" s="104" t="str">
        <f t="shared" si="21"/>
        <v>○</v>
      </c>
      <c r="E159" s="104" t="str">
        <f t="shared" si="21"/>
        <v>×</v>
      </c>
      <c r="F159" s="104" t="str">
        <f t="shared" si="21"/>
        <v>×</v>
      </c>
      <c r="G159" s="103" t="s">
        <v>13</v>
      </c>
      <c r="H159" s="103" t="s">
        <v>32</v>
      </c>
      <c r="I159" s="103" t="s">
        <v>770</v>
      </c>
      <c r="J159" s="105"/>
      <c r="K159" s="103" t="s">
        <v>34</v>
      </c>
      <c r="L159" s="105"/>
      <c r="M159" s="110" t="str">
        <f t="shared" si="23"/>
        <v/>
      </c>
      <c r="N159" s="110" t="str">
        <f t="shared" si="23"/>
        <v/>
      </c>
      <c r="O159" s="110" t="str">
        <f t="shared" si="23"/>
        <v/>
      </c>
      <c r="P159" s="110" t="str">
        <f t="shared" si="23"/>
        <v/>
      </c>
      <c r="Q159" s="110" t="str">
        <f t="shared" si="23"/>
        <v/>
      </c>
      <c r="R159" s="105" t="str">
        <f t="shared" si="23"/>
        <v/>
      </c>
      <c r="S159" s="105"/>
      <c r="T159" s="103" t="s">
        <v>35</v>
      </c>
      <c r="U159" s="103" t="s">
        <v>18</v>
      </c>
      <c r="V159" s="105"/>
    </row>
    <row r="160" spans="1:22" ht="13.5">
      <c r="A160" s="102">
        <v>45627.846781574073</v>
      </c>
      <c r="B160" s="103" t="s">
        <v>41</v>
      </c>
      <c r="C160" s="104" t="str">
        <f t="shared" si="21"/>
        <v>×</v>
      </c>
      <c r="D160" s="104" t="str">
        <f t="shared" si="21"/>
        <v>○</v>
      </c>
      <c r="E160" s="104" t="str">
        <f t="shared" si="21"/>
        <v>×</v>
      </c>
      <c r="F160" s="104" t="str">
        <f t="shared" si="21"/>
        <v>×</v>
      </c>
      <c r="G160" s="103" t="s">
        <v>13</v>
      </c>
      <c r="H160" s="103" t="s">
        <v>27</v>
      </c>
      <c r="I160" s="103" t="s">
        <v>771</v>
      </c>
      <c r="J160" s="105"/>
      <c r="K160" s="103" t="s">
        <v>34</v>
      </c>
      <c r="L160" s="105"/>
      <c r="M160" s="110" t="str">
        <f t="shared" si="23"/>
        <v/>
      </c>
      <c r="N160" s="110" t="str">
        <f t="shared" si="23"/>
        <v/>
      </c>
      <c r="O160" s="110" t="str">
        <f t="shared" si="23"/>
        <v/>
      </c>
      <c r="P160" s="110" t="str">
        <f t="shared" si="23"/>
        <v/>
      </c>
      <c r="Q160" s="110" t="str">
        <f t="shared" si="23"/>
        <v/>
      </c>
      <c r="R160" s="105" t="str">
        <f t="shared" si="23"/>
        <v/>
      </c>
      <c r="S160" s="105"/>
      <c r="T160" s="103" t="s">
        <v>35</v>
      </c>
      <c r="U160" s="103" t="s">
        <v>18</v>
      </c>
      <c r="V160" s="103" t="s">
        <v>772</v>
      </c>
    </row>
    <row r="161" spans="1:22" ht="13.5">
      <c r="A161" s="102">
        <v>45627.847188842592</v>
      </c>
      <c r="B161" s="103" t="s">
        <v>461</v>
      </c>
      <c r="C161" s="104" t="str">
        <f t="shared" si="21"/>
        <v>×</v>
      </c>
      <c r="D161" s="104" t="str">
        <f t="shared" si="21"/>
        <v>○</v>
      </c>
      <c r="E161" s="104" t="str">
        <f t="shared" si="21"/>
        <v>○</v>
      </c>
      <c r="F161" s="104" t="str">
        <f t="shared" si="21"/>
        <v>×</v>
      </c>
      <c r="G161" s="103" t="s">
        <v>20</v>
      </c>
      <c r="H161" s="105"/>
      <c r="I161" s="105"/>
      <c r="J161" s="103" t="s">
        <v>21</v>
      </c>
      <c r="K161" s="103" t="s">
        <v>16</v>
      </c>
      <c r="L161" s="103" t="s">
        <v>68</v>
      </c>
      <c r="M161" s="108" t="str">
        <f t="shared" si="23"/>
        <v/>
      </c>
      <c r="N161" s="108" t="str">
        <f t="shared" si="23"/>
        <v/>
      </c>
      <c r="O161" s="108" t="str">
        <f t="shared" si="23"/>
        <v/>
      </c>
      <c r="P161" s="108" t="str">
        <f t="shared" si="23"/>
        <v/>
      </c>
      <c r="Q161" s="108" t="str">
        <f t="shared" si="23"/>
        <v>○</v>
      </c>
      <c r="R161" s="103" t="str">
        <f t="shared" si="23"/>
        <v/>
      </c>
      <c r="S161" s="103" t="s">
        <v>773</v>
      </c>
      <c r="T161" s="103" t="s">
        <v>30</v>
      </c>
      <c r="U161" s="103" t="s">
        <v>18</v>
      </c>
      <c r="V161" s="105"/>
    </row>
    <row r="162" spans="1:22" ht="13.5">
      <c r="A162" s="102">
        <v>45627.847231574073</v>
      </c>
      <c r="B162" s="103" t="s">
        <v>105</v>
      </c>
      <c r="C162" s="104" t="str">
        <f t="shared" ref="C162:F181" si="24">IF(ISERROR(FIND(C$1,$B162)),"×","○")</f>
        <v>×</v>
      </c>
      <c r="D162" s="104" t="str">
        <f t="shared" si="24"/>
        <v>×</v>
      </c>
      <c r="E162" s="104" t="str">
        <f t="shared" si="24"/>
        <v>○</v>
      </c>
      <c r="F162" s="104" t="str">
        <f t="shared" si="24"/>
        <v>×</v>
      </c>
      <c r="G162" s="103" t="s">
        <v>20</v>
      </c>
      <c r="H162" s="105"/>
      <c r="I162" s="105"/>
      <c r="J162" s="103" t="s">
        <v>418</v>
      </c>
      <c r="K162" s="103" t="s">
        <v>16</v>
      </c>
      <c r="L162" s="103" t="s">
        <v>189</v>
      </c>
      <c r="M162" s="108" t="str">
        <f t="shared" ref="M162:R171" si="25">IF(ISERROR(SEARCH(M$1,$L162)),"","○")</f>
        <v/>
      </c>
      <c r="N162" s="108" t="str">
        <f t="shared" si="25"/>
        <v/>
      </c>
      <c r="O162" s="108" t="str">
        <f t="shared" si="25"/>
        <v/>
      </c>
      <c r="P162" s="108" t="str">
        <f t="shared" si="25"/>
        <v>○</v>
      </c>
      <c r="Q162" s="108" t="str">
        <f t="shared" si="25"/>
        <v>○</v>
      </c>
      <c r="R162" s="103" t="str">
        <f t="shared" si="25"/>
        <v/>
      </c>
      <c r="S162" s="103" t="s">
        <v>774</v>
      </c>
      <c r="T162" s="103" t="s">
        <v>30</v>
      </c>
      <c r="U162" s="103" t="s">
        <v>18</v>
      </c>
      <c r="V162" s="105"/>
    </row>
    <row r="163" spans="1:22" ht="13.5">
      <c r="A163" s="102">
        <v>45627.849943043984</v>
      </c>
      <c r="B163" s="103" t="s">
        <v>67</v>
      </c>
      <c r="C163" s="104" t="str">
        <f t="shared" si="24"/>
        <v>×</v>
      </c>
      <c r="D163" s="104" t="str">
        <f t="shared" si="24"/>
        <v>○</v>
      </c>
      <c r="E163" s="104" t="str">
        <f t="shared" si="24"/>
        <v>×</v>
      </c>
      <c r="F163" s="104" t="str">
        <f t="shared" si="24"/>
        <v>×</v>
      </c>
      <c r="G163" s="103" t="s">
        <v>13</v>
      </c>
      <c r="H163" s="103" t="s">
        <v>27</v>
      </c>
      <c r="I163" s="103" t="s">
        <v>776</v>
      </c>
      <c r="J163" s="105"/>
      <c r="K163" s="103" t="s">
        <v>34</v>
      </c>
      <c r="L163" s="105"/>
      <c r="M163" s="110" t="str">
        <f t="shared" si="25"/>
        <v/>
      </c>
      <c r="N163" s="110" t="str">
        <f t="shared" si="25"/>
        <v/>
      </c>
      <c r="O163" s="110" t="str">
        <f t="shared" si="25"/>
        <v/>
      </c>
      <c r="P163" s="110" t="str">
        <f t="shared" si="25"/>
        <v/>
      </c>
      <c r="Q163" s="110" t="str">
        <f t="shared" si="25"/>
        <v/>
      </c>
      <c r="R163" s="105" t="str">
        <f t="shared" si="25"/>
        <v/>
      </c>
      <c r="S163" s="105"/>
      <c r="T163" s="103" t="s">
        <v>35</v>
      </c>
      <c r="U163" s="103" t="s">
        <v>18</v>
      </c>
      <c r="V163" s="105"/>
    </row>
    <row r="164" spans="1:22" ht="13.5">
      <c r="A164" s="102">
        <v>45627.85572446759</v>
      </c>
      <c r="B164" s="103" t="s">
        <v>93</v>
      </c>
      <c r="C164" s="104" t="str">
        <f t="shared" si="24"/>
        <v>×</v>
      </c>
      <c r="D164" s="104" t="str">
        <f t="shared" si="24"/>
        <v>×</v>
      </c>
      <c r="E164" s="104" t="str">
        <f t="shared" si="24"/>
        <v>○</v>
      </c>
      <c r="F164" s="104" t="str">
        <f t="shared" si="24"/>
        <v>×</v>
      </c>
      <c r="G164" s="103" t="s">
        <v>20</v>
      </c>
      <c r="H164" s="105"/>
      <c r="I164" s="105"/>
      <c r="J164" s="103" t="s">
        <v>58</v>
      </c>
      <c r="K164" s="103" t="s">
        <v>16</v>
      </c>
      <c r="L164" s="103" t="s">
        <v>39</v>
      </c>
      <c r="M164" s="108" t="str">
        <f t="shared" si="25"/>
        <v/>
      </c>
      <c r="N164" s="108" t="str">
        <f t="shared" si="25"/>
        <v>○</v>
      </c>
      <c r="O164" s="108" t="str">
        <f t="shared" si="25"/>
        <v/>
      </c>
      <c r="P164" s="108" t="str">
        <f t="shared" si="25"/>
        <v/>
      </c>
      <c r="Q164" s="108" t="str">
        <f t="shared" si="25"/>
        <v/>
      </c>
      <c r="R164" s="103" t="str">
        <f t="shared" si="25"/>
        <v/>
      </c>
      <c r="S164" s="105"/>
      <c r="T164" s="103" t="s">
        <v>30</v>
      </c>
      <c r="U164" s="103" t="s">
        <v>18</v>
      </c>
      <c r="V164" s="105"/>
    </row>
    <row r="165" spans="1:22" ht="13.5">
      <c r="A165" s="102">
        <v>45627.857933587962</v>
      </c>
      <c r="B165" s="103" t="s">
        <v>217</v>
      </c>
      <c r="C165" s="104" t="str">
        <f t="shared" si="24"/>
        <v>○</v>
      </c>
      <c r="D165" s="104" t="str">
        <f t="shared" si="24"/>
        <v>○</v>
      </c>
      <c r="E165" s="104" t="str">
        <f t="shared" si="24"/>
        <v>×</v>
      </c>
      <c r="F165" s="104" t="str">
        <f t="shared" si="24"/>
        <v>×</v>
      </c>
      <c r="G165" s="103" t="s">
        <v>13</v>
      </c>
      <c r="H165" s="103" t="s">
        <v>27</v>
      </c>
      <c r="I165" s="103" t="s">
        <v>777</v>
      </c>
      <c r="J165" s="105"/>
      <c r="K165" s="103" t="s">
        <v>34</v>
      </c>
      <c r="L165" s="105"/>
      <c r="M165" s="110" t="str">
        <f t="shared" si="25"/>
        <v/>
      </c>
      <c r="N165" s="110" t="str">
        <f t="shared" si="25"/>
        <v/>
      </c>
      <c r="O165" s="110" t="str">
        <f t="shared" si="25"/>
        <v/>
      </c>
      <c r="P165" s="110" t="str">
        <f t="shared" si="25"/>
        <v/>
      </c>
      <c r="Q165" s="110" t="str">
        <f t="shared" si="25"/>
        <v/>
      </c>
      <c r="R165" s="105" t="str">
        <f t="shared" si="25"/>
        <v/>
      </c>
      <c r="S165" s="105"/>
      <c r="T165" s="103" t="s">
        <v>35</v>
      </c>
      <c r="U165" s="103" t="s">
        <v>18</v>
      </c>
      <c r="V165" s="105"/>
    </row>
    <row r="166" spans="1:22" ht="13.5">
      <c r="A166" s="102">
        <v>45627.859884155092</v>
      </c>
      <c r="B166" s="103" t="s">
        <v>105</v>
      </c>
      <c r="C166" s="104" t="str">
        <f t="shared" si="24"/>
        <v>×</v>
      </c>
      <c r="D166" s="104" t="str">
        <f t="shared" si="24"/>
        <v>×</v>
      </c>
      <c r="E166" s="104" t="str">
        <f t="shared" si="24"/>
        <v>○</v>
      </c>
      <c r="F166" s="104" t="str">
        <f t="shared" si="24"/>
        <v>×</v>
      </c>
      <c r="G166" s="103" t="s">
        <v>13</v>
      </c>
      <c r="H166" s="103" t="s">
        <v>27</v>
      </c>
      <c r="I166" s="103" t="s">
        <v>782</v>
      </c>
      <c r="J166" s="105"/>
      <c r="K166" s="103" t="s">
        <v>34</v>
      </c>
      <c r="L166" s="105"/>
      <c r="M166" s="110" t="str">
        <f t="shared" si="25"/>
        <v/>
      </c>
      <c r="N166" s="110" t="str">
        <f t="shared" si="25"/>
        <v/>
      </c>
      <c r="O166" s="110" t="str">
        <f t="shared" si="25"/>
        <v/>
      </c>
      <c r="P166" s="110" t="str">
        <f t="shared" si="25"/>
        <v/>
      </c>
      <c r="Q166" s="110" t="str">
        <f t="shared" si="25"/>
        <v/>
      </c>
      <c r="R166" s="105" t="str">
        <f t="shared" si="25"/>
        <v/>
      </c>
      <c r="S166" s="105"/>
      <c r="T166" s="103" t="s">
        <v>35</v>
      </c>
      <c r="U166" s="103" t="s">
        <v>18</v>
      </c>
      <c r="V166" s="105"/>
    </row>
    <row r="167" spans="1:22" ht="13.5">
      <c r="A167" s="102">
        <v>45627.871221388894</v>
      </c>
      <c r="B167" s="103" t="s">
        <v>788</v>
      </c>
      <c r="C167" s="104" t="str">
        <f t="shared" si="24"/>
        <v>○</v>
      </c>
      <c r="D167" s="104" t="str">
        <f t="shared" si="24"/>
        <v>○</v>
      </c>
      <c r="E167" s="104" t="str">
        <f t="shared" si="24"/>
        <v>×</v>
      </c>
      <c r="F167" s="104" t="str">
        <f t="shared" si="24"/>
        <v>×</v>
      </c>
      <c r="G167" s="103" t="s">
        <v>13</v>
      </c>
      <c r="H167" s="103" t="s">
        <v>27</v>
      </c>
      <c r="I167" s="103" t="s">
        <v>789</v>
      </c>
      <c r="J167" s="105"/>
      <c r="K167" s="103" t="s">
        <v>34</v>
      </c>
      <c r="L167" s="105"/>
      <c r="M167" s="110" t="str">
        <f t="shared" si="25"/>
        <v/>
      </c>
      <c r="N167" s="110" t="str">
        <f t="shared" si="25"/>
        <v/>
      </c>
      <c r="O167" s="110" t="str">
        <f t="shared" si="25"/>
        <v/>
      </c>
      <c r="P167" s="110" t="str">
        <f t="shared" si="25"/>
        <v/>
      </c>
      <c r="Q167" s="110" t="str">
        <f t="shared" si="25"/>
        <v/>
      </c>
      <c r="R167" s="105" t="str">
        <f t="shared" si="25"/>
        <v/>
      </c>
      <c r="S167" s="105"/>
      <c r="T167" s="103" t="s">
        <v>35</v>
      </c>
      <c r="U167" s="103" t="s">
        <v>18</v>
      </c>
      <c r="V167" s="105"/>
    </row>
    <row r="168" spans="1:22" ht="13.5">
      <c r="A168" s="102">
        <v>45627.880454907412</v>
      </c>
      <c r="B168" s="103" t="s">
        <v>105</v>
      </c>
      <c r="C168" s="104" t="str">
        <f t="shared" si="24"/>
        <v>×</v>
      </c>
      <c r="D168" s="104" t="str">
        <f t="shared" si="24"/>
        <v>×</v>
      </c>
      <c r="E168" s="104" t="str">
        <f t="shared" si="24"/>
        <v>○</v>
      </c>
      <c r="F168" s="104" t="str">
        <f t="shared" si="24"/>
        <v>×</v>
      </c>
      <c r="G168" s="103" t="s">
        <v>20</v>
      </c>
      <c r="H168" s="105"/>
      <c r="I168" s="105"/>
      <c r="J168" s="103" t="s">
        <v>58</v>
      </c>
      <c r="K168" s="103" t="s">
        <v>16</v>
      </c>
      <c r="L168" s="103" t="s">
        <v>39</v>
      </c>
      <c r="M168" s="108" t="str">
        <f t="shared" si="25"/>
        <v/>
      </c>
      <c r="N168" s="108" t="str">
        <f t="shared" si="25"/>
        <v>○</v>
      </c>
      <c r="O168" s="108" t="str">
        <f t="shared" si="25"/>
        <v/>
      </c>
      <c r="P168" s="108" t="str">
        <f t="shared" si="25"/>
        <v/>
      </c>
      <c r="Q168" s="108" t="str">
        <f t="shared" si="25"/>
        <v/>
      </c>
      <c r="R168" s="103" t="str">
        <f t="shared" si="25"/>
        <v/>
      </c>
      <c r="S168" s="105"/>
      <c r="T168" s="103" t="s">
        <v>30</v>
      </c>
      <c r="U168" s="103" t="s">
        <v>18</v>
      </c>
      <c r="V168" s="105"/>
    </row>
    <row r="169" spans="1:22" ht="13.5">
      <c r="A169" s="102">
        <v>45627.883029791672</v>
      </c>
      <c r="B169" s="103" t="s">
        <v>41</v>
      </c>
      <c r="C169" s="104" t="str">
        <f t="shared" si="24"/>
        <v>×</v>
      </c>
      <c r="D169" s="104" t="str">
        <f t="shared" si="24"/>
        <v>○</v>
      </c>
      <c r="E169" s="104" t="str">
        <f t="shared" si="24"/>
        <v>×</v>
      </c>
      <c r="F169" s="104" t="str">
        <f t="shared" si="24"/>
        <v>×</v>
      </c>
      <c r="G169" s="103" t="s">
        <v>20</v>
      </c>
      <c r="H169" s="105"/>
      <c r="I169" s="105"/>
      <c r="J169" s="103" t="s">
        <v>186</v>
      </c>
      <c r="K169" s="103" t="s">
        <v>16</v>
      </c>
      <c r="L169" s="103" t="s">
        <v>39</v>
      </c>
      <c r="M169" s="108" t="str">
        <f t="shared" si="25"/>
        <v/>
      </c>
      <c r="N169" s="108" t="str">
        <f t="shared" si="25"/>
        <v>○</v>
      </c>
      <c r="O169" s="108" t="str">
        <f t="shared" si="25"/>
        <v/>
      </c>
      <c r="P169" s="108" t="str">
        <f t="shared" si="25"/>
        <v/>
      </c>
      <c r="Q169" s="108" t="str">
        <f t="shared" si="25"/>
        <v/>
      </c>
      <c r="R169" s="103" t="str">
        <f t="shared" si="25"/>
        <v/>
      </c>
      <c r="S169" s="105"/>
      <c r="T169" s="103" t="s">
        <v>30</v>
      </c>
      <c r="U169" s="103" t="s">
        <v>18</v>
      </c>
      <c r="V169" s="105"/>
    </row>
    <row r="170" spans="1:22" ht="13.5">
      <c r="A170" s="102">
        <v>45627.887531655091</v>
      </c>
      <c r="B170" s="103" t="s">
        <v>261</v>
      </c>
      <c r="C170" s="104" t="str">
        <f t="shared" si="24"/>
        <v>×</v>
      </c>
      <c r="D170" s="104" t="str">
        <f t="shared" si="24"/>
        <v>○</v>
      </c>
      <c r="E170" s="104" t="str">
        <f t="shared" si="24"/>
        <v>×</v>
      </c>
      <c r="F170" s="104" t="str">
        <f t="shared" si="24"/>
        <v>×</v>
      </c>
      <c r="G170" s="103" t="s">
        <v>20</v>
      </c>
      <c r="H170" s="105"/>
      <c r="I170" s="105"/>
      <c r="J170" s="103" t="s">
        <v>38</v>
      </c>
      <c r="K170" s="103" t="s">
        <v>16</v>
      </c>
      <c r="L170" s="103" t="s">
        <v>39</v>
      </c>
      <c r="M170" s="108" t="str">
        <f t="shared" si="25"/>
        <v/>
      </c>
      <c r="N170" s="108" t="str">
        <f t="shared" si="25"/>
        <v>○</v>
      </c>
      <c r="O170" s="108" t="str">
        <f t="shared" si="25"/>
        <v/>
      </c>
      <c r="P170" s="108" t="str">
        <f t="shared" si="25"/>
        <v/>
      </c>
      <c r="Q170" s="108" t="str">
        <f t="shared" si="25"/>
        <v/>
      </c>
      <c r="R170" s="103" t="str">
        <f t="shared" si="25"/>
        <v/>
      </c>
      <c r="S170" s="105"/>
      <c r="T170" s="103" t="s">
        <v>35</v>
      </c>
      <c r="U170" s="103" t="s">
        <v>18</v>
      </c>
      <c r="V170" s="105"/>
    </row>
    <row r="171" spans="1:22" ht="13.5">
      <c r="A171" s="102">
        <v>45627.891346446762</v>
      </c>
      <c r="B171" s="103" t="s">
        <v>315</v>
      </c>
      <c r="C171" s="104" t="str">
        <f t="shared" si="24"/>
        <v>×</v>
      </c>
      <c r="D171" s="104" t="str">
        <f t="shared" si="24"/>
        <v>○</v>
      </c>
      <c r="E171" s="104" t="str">
        <f t="shared" si="24"/>
        <v>×</v>
      </c>
      <c r="F171" s="104" t="str">
        <f t="shared" si="24"/>
        <v>×</v>
      </c>
      <c r="G171" s="103" t="s">
        <v>13</v>
      </c>
      <c r="H171" s="103" t="s">
        <v>27</v>
      </c>
      <c r="I171" s="103" t="s">
        <v>792</v>
      </c>
      <c r="J171" s="105"/>
      <c r="K171" s="103" t="s">
        <v>34</v>
      </c>
      <c r="L171" s="105"/>
      <c r="M171" s="110" t="str">
        <f t="shared" si="25"/>
        <v/>
      </c>
      <c r="N171" s="110" t="str">
        <f t="shared" si="25"/>
        <v/>
      </c>
      <c r="O171" s="110" t="str">
        <f t="shared" si="25"/>
        <v/>
      </c>
      <c r="P171" s="110" t="str">
        <f t="shared" si="25"/>
        <v/>
      </c>
      <c r="Q171" s="110" t="str">
        <f t="shared" si="25"/>
        <v/>
      </c>
      <c r="R171" s="105" t="str">
        <f t="shared" si="25"/>
        <v/>
      </c>
      <c r="S171" s="105"/>
      <c r="T171" s="103" t="s">
        <v>35</v>
      </c>
      <c r="U171" s="103" t="s">
        <v>18</v>
      </c>
      <c r="V171" s="105"/>
    </row>
    <row r="172" spans="1:22" ht="13.5">
      <c r="A172" s="102">
        <v>45627.892328946764</v>
      </c>
      <c r="B172" s="103" t="s">
        <v>93</v>
      </c>
      <c r="C172" s="104" t="str">
        <f t="shared" si="24"/>
        <v>×</v>
      </c>
      <c r="D172" s="104" t="str">
        <f t="shared" si="24"/>
        <v>×</v>
      </c>
      <c r="E172" s="104" t="str">
        <f t="shared" si="24"/>
        <v>○</v>
      </c>
      <c r="F172" s="104" t="str">
        <f t="shared" si="24"/>
        <v>×</v>
      </c>
      <c r="G172" s="103" t="s">
        <v>20</v>
      </c>
      <c r="H172" s="105"/>
      <c r="I172" s="105"/>
      <c r="J172" s="103" t="s">
        <v>58</v>
      </c>
      <c r="K172" s="103" t="s">
        <v>16</v>
      </c>
      <c r="L172" s="103" t="s">
        <v>68</v>
      </c>
      <c r="M172" s="108" t="str">
        <f t="shared" ref="M172:R181" si="26">IF(ISERROR(SEARCH(M$1,$L172)),"","○")</f>
        <v/>
      </c>
      <c r="N172" s="108" t="str">
        <f t="shared" si="26"/>
        <v/>
      </c>
      <c r="O172" s="108" t="str">
        <f t="shared" si="26"/>
        <v/>
      </c>
      <c r="P172" s="108" t="str">
        <f t="shared" si="26"/>
        <v/>
      </c>
      <c r="Q172" s="108" t="str">
        <f t="shared" si="26"/>
        <v>○</v>
      </c>
      <c r="R172" s="103" t="str">
        <f t="shared" si="26"/>
        <v/>
      </c>
      <c r="S172" s="105"/>
      <c r="T172" s="103" t="s">
        <v>30</v>
      </c>
      <c r="U172" s="103" t="s">
        <v>18</v>
      </c>
      <c r="V172" s="105"/>
    </row>
    <row r="173" spans="1:22" ht="13.5">
      <c r="A173" s="102">
        <v>45627.900494884263</v>
      </c>
      <c r="B173" s="103" t="s">
        <v>76</v>
      </c>
      <c r="C173" s="104" t="str">
        <f t="shared" si="24"/>
        <v>×</v>
      </c>
      <c r="D173" s="104" t="str">
        <f t="shared" si="24"/>
        <v>○</v>
      </c>
      <c r="E173" s="104" t="str">
        <f t="shared" si="24"/>
        <v>○</v>
      </c>
      <c r="F173" s="104" t="str">
        <f t="shared" si="24"/>
        <v>×</v>
      </c>
      <c r="G173" s="103" t="s">
        <v>13</v>
      </c>
      <c r="H173" s="103" t="s">
        <v>32</v>
      </c>
      <c r="I173" s="103" t="s">
        <v>793</v>
      </c>
      <c r="J173" s="105"/>
      <c r="K173" s="103" t="s">
        <v>16</v>
      </c>
      <c r="L173" s="103" t="s">
        <v>29</v>
      </c>
      <c r="M173" s="108" t="str">
        <f t="shared" si="26"/>
        <v/>
      </c>
      <c r="N173" s="108" t="str">
        <f t="shared" si="26"/>
        <v/>
      </c>
      <c r="O173" s="108" t="str">
        <f t="shared" si="26"/>
        <v/>
      </c>
      <c r="P173" s="108" t="str">
        <f t="shared" si="26"/>
        <v/>
      </c>
      <c r="Q173" s="108" t="str">
        <f t="shared" si="26"/>
        <v/>
      </c>
      <c r="R173" s="103" t="str">
        <f t="shared" si="26"/>
        <v>○</v>
      </c>
      <c r="S173" s="105"/>
      <c r="T173" s="103" t="s">
        <v>24</v>
      </c>
      <c r="U173" s="103" t="s">
        <v>18</v>
      </c>
      <c r="V173" s="105"/>
    </row>
    <row r="174" spans="1:22" ht="13.5">
      <c r="A174" s="102">
        <v>45627.915065324079</v>
      </c>
      <c r="B174" s="103" t="s">
        <v>93</v>
      </c>
      <c r="C174" s="104" t="str">
        <f t="shared" si="24"/>
        <v>×</v>
      </c>
      <c r="D174" s="104" t="str">
        <f t="shared" si="24"/>
        <v>×</v>
      </c>
      <c r="E174" s="104" t="str">
        <f t="shared" si="24"/>
        <v>○</v>
      </c>
      <c r="F174" s="104" t="str">
        <f t="shared" si="24"/>
        <v>×</v>
      </c>
      <c r="G174" s="103" t="s">
        <v>13</v>
      </c>
      <c r="H174" s="103" t="s">
        <v>32</v>
      </c>
      <c r="I174" s="103" t="s">
        <v>805</v>
      </c>
      <c r="J174" s="105"/>
      <c r="K174" s="103" t="s">
        <v>16</v>
      </c>
      <c r="L174" s="103" t="s">
        <v>806</v>
      </c>
      <c r="M174" s="108" t="str">
        <f t="shared" si="26"/>
        <v/>
      </c>
      <c r="N174" s="108" t="str">
        <f t="shared" si="26"/>
        <v/>
      </c>
      <c r="O174" s="108" t="str">
        <f t="shared" si="26"/>
        <v/>
      </c>
      <c r="P174" s="108" t="str">
        <f t="shared" si="26"/>
        <v/>
      </c>
      <c r="Q174" s="108" t="str">
        <f t="shared" si="26"/>
        <v/>
      </c>
      <c r="R174" s="103" t="str">
        <f t="shared" si="26"/>
        <v/>
      </c>
      <c r="S174" s="105"/>
      <c r="T174" s="103" t="s">
        <v>35</v>
      </c>
      <c r="U174" s="103" t="s">
        <v>18</v>
      </c>
      <c r="V174" s="105"/>
    </row>
    <row r="175" spans="1:22" ht="13.5">
      <c r="A175" s="102">
        <v>45627.925761053237</v>
      </c>
      <c r="B175" s="103" t="s">
        <v>93</v>
      </c>
      <c r="C175" s="104" t="str">
        <f t="shared" si="24"/>
        <v>×</v>
      </c>
      <c r="D175" s="104" t="str">
        <f t="shared" si="24"/>
        <v>×</v>
      </c>
      <c r="E175" s="104" t="str">
        <f t="shared" si="24"/>
        <v>○</v>
      </c>
      <c r="F175" s="104" t="str">
        <f t="shared" si="24"/>
        <v>×</v>
      </c>
      <c r="G175" s="103" t="s">
        <v>13</v>
      </c>
      <c r="H175" s="103" t="s">
        <v>27</v>
      </c>
      <c r="I175" s="103" t="s">
        <v>813</v>
      </c>
      <c r="J175" s="105"/>
      <c r="K175" s="103" t="s">
        <v>34</v>
      </c>
      <c r="L175" s="105"/>
      <c r="M175" s="110" t="str">
        <f t="shared" si="26"/>
        <v/>
      </c>
      <c r="N175" s="110" t="str">
        <f t="shared" si="26"/>
        <v/>
      </c>
      <c r="O175" s="110" t="str">
        <f t="shared" si="26"/>
        <v/>
      </c>
      <c r="P175" s="110" t="str">
        <f t="shared" si="26"/>
        <v/>
      </c>
      <c r="Q175" s="110" t="str">
        <f t="shared" si="26"/>
        <v/>
      </c>
      <c r="R175" s="105" t="str">
        <f t="shared" si="26"/>
        <v/>
      </c>
      <c r="S175" s="105"/>
      <c r="T175" s="103" t="s">
        <v>814</v>
      </c>
      <c r="U175" s="103" t="s">
        <v>18</v>
      </c>
      <c r="V175" s="105"/>
    </row>
    <row r="176" spans="1:22" ht="13.5">
      <c r="A176" s="102">
        <v>45627.930931122683</v>
      </c>
      <c r="B176" s="103" t="s">
        <v>815</v>
      </c>
      <c r="C176" s="104" t="str">
        <f t="shared" si="24"/>
        <v>×</v>
      </c>
      <c r="D176" s="104" t="str">
        <f t="shared" si="24"/>
        <v>○</v>
      </c>
      <c r="E176" s="104" t="str">
        <f t="shared" si="24"/>
        <v>○</v>
      </c>
      <c r="F176" s="104" t="str">
        <f t="shared" si="24"/>
        <v>○</v>
      </c>
      <c r="G176" s="103" t="s">
        <v>13</v>
      </c>
      <c r="H176" s="103" t="s">
        <v>77</v>
      </c>
      <c r="I176" s="103" t="s">
        <v>816</v>
      </c>
      <c r="J176" s="105"/>
      <c r="K176" s="103" t="s">
        <v>34</v>
      </c>
      <c r="L176" s="105"/>
      <c r="M176" s="110" t="str">
        <f t="shared" si="26"/>
        <v/>
      </c>
      <c r="N176" s="110" t="str">
        <f t="shared" si="26"/>
        <v/>
      </c>
      <c r="O176" s="110" t="str">
        <f t="shared" si="26"/>
        <v/>
      </c>
      <c r="P176" s="110" t="str">
        <f t="shared" si="26"/>
        <v/>
      </c>
      <c r="Q176" s="110" t="str">
        <f t="shared" si="26"/>
        <v/>
      </c>
      <c r="R176" s="105" t="str">
        <f t="shared" si="26"/>
        <v/>
      </c>
      <c r="S176" s="105"/>
      <c r="T176" s="103" t="s">
        <v>24</v>
      </c>
      <c r="U176" s="103" t="s">
        <v>18</v>
      </c>
      <c r="V176" s="105"/>
    </row>
    <row r="177" spans="1:22" ht="13.5">
      <c r="A177" s="102">
        <v>45627.940951157405</v>
      </c>
      <c r="B177" s="103" t="s">
        <v>19</v>
      </c>
      <c r="C177" s="104" t="str">
        <f t="shared" si="24"/>
        <v>×</v>
      </c>
      <c r="D177" s="104" t="str">
        <f t="shared" si="24"/>
        <v>○</v>
      </c>
      <c r="E177" s="104" t="str">
        <f t="shared" si="24"/>
        <v>×</v>
      </c>
      <c r="F177" s="104" t="str">
        <f t="shared" si="24"/>
        <v>×</v>
      </c>
      <c r="G177" s="103" t="s">
        <v>13</v>
      </c>
      <c r="H177" s="103" t="s">
        <v>47</v>
      </c>
      <c r="I177" s="103" t="s">
        <v>822</v>
      </c>
      <c r="J177" s="105"/>
      <c r="K177" s="103" t="s">
        <v>34</v>
      </c>
      <c r="L177" s="105"/>
      <c r="M177" s="110" t="str">
        <f t="shared" si="26"/>
        <v/>
      </c>
      <c r="N177" s="110" t="str">
        <f t="shared" si="26"/>
        <v/>
      </c>
      <c r="O177" s="110" t="str">
        <f t="shared" si="26"/>
        <v/>
      </c>
      <c r="P177" s="110" t="str">
        <f t="shared" si="26"/>
        <v/>
      </c>
      <c r="Q177" s="110" t="str">
        <f t="shared" si="26"/>
        <v/>
      </c>
      <c r="R177" s="105" t="str">
        <f t="shared" si="26"/>
        <v/>
      </c>
      <c r="S177" s="105"/>
      <c r="T177" s="103" t="s">
        <v>30</v>
      </c>
      <c r="U177" s="103" t="s">
        <v>18</v>
      </c>
      <c r="V177" s="105"/>
    </row>
    <row r="178" spans="1:22" ht="13.5">
      <c r="A178" s="102">
        <v>45627.948655324071</v>
      </c>
      <c r="B178" s="103" t="s">
        <v>164</v>
      </c>
      <c r="C178" s="104" t="str">
        <f t="shared" si="24"/>
        <v>×</v>
      </c>
      <c r="D178" s="104" t="str">
        <f t="shared" si="24"/>
        <v>○</v>
      </c>
      <c r="E178" s="104" t="str">
        <f t="shared" si="24"/>
        <v>×</v>
      </c>
      <c r="F178" s="104" t="str">
        <f t="shared" si="24"/>
        <v>×</v>
      </c>
      <c r="G178" s="103" t="s">
        <v>20</v>
      </c>
      <c r="H178" s="105"/>
      <c r="I178" s="105"/>
      <c r="J178" s="103" t="s">
        <v>38</v>
      </c>
      <c r="K178" s="103" t="s">
        <v>16</v>
      </c>
      <c r="L178" s="103" t="s">
        <v>39</v>
      </c>
      <c r="M178" s="108" t="str">
        <f t="shared" si="26"/>
        <v/>
      </c>
      <c r="N178" s="108" t="str">
        <f t="shared" si="26"/>
        <v>○</v>
      </c>
      <c r="O178" s="108" t="str">
        <f t="shared" si="26"/>
        <v/>
      </c>
      <c r="P178" s="108" t="str">
        <f t="shared" si="26"/>
        <v/>
      </c>
      <c r="Q178" s="108" t="str">
        <f t="shared" si="26"/>
        <v/>
      </c>
      <c r="R178" s="103" t="str">
        <f t="shared" si="26"/>
        <v/>
      </c>
      <c r="S178" s="105"/>
      <c r="T178" s="103" t="s">
        <v>30</v>
      </c>
      <c r="U178" s="103" t="s">
        <v>18</v>
      </c>
      <c r="V178" s="105"/>
    </row>
    <row r="179" spans="1:22" ht="13.5">
      <c r="A179" s="102">
        <v>45627.964222430557</v>
      </c>
      <c r="B179" s="103" t="s">
        <v>466</v>
      </c>
      <c r="C179" s="104" t="str">
        <f t="shared" si="24"/>
        <v>×</v>
      </c>
      <c r="D179" s="104" t="str">
        <f t="shared" si="24"/>
        <v>○</v>
      </c>
      <c r="E179" s="104" t="str">
        <f t="shared" si="24"/>
        <v>○</v>
      </c>
      <c r="F179" s="104" t="str">
        <f t="shared" si="24"/>
        <v>×</v>
      </c>
      <c r="G179" s="103" t="s">
        <v>13</v>
      </c>
      <c r="H179" s="103" t="s">
        <v>27</v>
      </c>
      <c r="I179" s="103" t="s">
        <v>834</v>
      </c>
      <c r="J179" s="105"/>
      <c r="K179" s="103" t="s">
        <v>34</v>
      </c>
      <c r="L179" s="105"/>
      <c r="M179" s="110" t="str">
        <f t="shared" si="26"/>
        <v/>
      </c>
      <c r="N179" s="110" t="str">
        <f t="shared" si="26"/>
        <v/>
      </c>
      <c r="O179" s="110" t="str">
        <f t="shared" si="26"/>
        <v/>
      </c>
      <c r="P179" s="110" t="str">
        <f t="shared" si="26"/>
        <v/>
      </c>
      <c r="Q179" s="110" t="str">
        <f t="shared" si="26"/>
        <v/>
      </c>
      <c r="R179" s="105" t="str">
        <f t="shared" si="26"/>
        <v/>
      </c>
      <c r="S179" s="105"/>
      <c r="T179" s="103" t="s">
        <v>35</v>
      </c>
      <c r="U179" s="103" t="s">
        <v>18</v>
      </c>
      <c r="V179" s="103" t="s">
        <v>835</v>
      </c>
    </row>
    <row r="180" spans="1:22" ht="13.5">
      <c r="A180" s="102">
        <v>45627.974602430557</v>
      </c>
      <c r="B180" s="103" t="s">
        <v>49</v>
      </c>
      <c r="C180" s="104" t="str">
        <f t="shared" si="24"/>
        <v>×</v>
      </c>
      <c r="D180" s="104" t="str">
        <f t="shared" si="24"/>
        <v>○</v>
      </c>
      <c r="E180" s="104" t="str">
        <f t="shared" si="24"/>
        <v>×</v>
      </c>
      <c r="F180" s="104" t="str">
        <f t="shared" si="24"/>
        <v>×</v>
      </c>
      <c r="G180" s="103" t="s">
        <v>13</v>
      </c>
      <c r="H180" s="103" t="s">
        <v>27</v>
      </c>
      <c r="I180" s="103" t="s">
        <v>836</v>
      </c>
      <c r="J180" s="105"/>
      <c r="K180" s="103" t="s">
        <v>34</v>
      </c>
      <c r="L180" s="105"/>
      <c r="M180" s="110" t="str">
        <f t="shared" si="26"/>
        <v/>
      </c>
      <c r="N180" s="110" t="str">
        <f t="shared" si="26"/>
        <v/>
      </c>
      <c r="O180" s="110" t="str">
        <f t="shared" si="26"/>
        <v/>
      </c>
      <c r="P180" s="110" t="str">
        <f t="shared" si="26"/>
        <v/>
      </c>
      <c r="Q180" s="110" t="str">
        <f t="shared" si="26"/>
        <v/>
      </c>
      <c r="R180" s="105" t="str">
        <f t="shared" si="26"/>
        <v/>
      </c>
      <c r="S180" s="105"/>
      <c r="T180" s="103" t="s">
        <v>35</v>
      </c>
      <c r="U180" s="103" t="s">
        <v>18</v>
      </c>
      <c r="V180" s="103" t="s">
        <v>837</v>
      </c>
    </row>
    <row r="181" spans="1:22" ht="13.5">
      <c r="A181" s="102">
        <v>45627.985309317126</v>
      </c>
      <c r="B181" s="103" t="s">
        <v>514</v>
      </c>
      <c r="C181" s="104" t="str">
        <f t="shared" si="24"/>
        <v>○</v>
      </c>
      <c r="D181" s="104" t="str">
        <f t="shared" si="24"/>
        <v>○</v>
      </c>
      <c r="E181" s="104" t="str">
        <f t="shared" si="24"/>
        <v>×</v>
      </c>
      <c r="F181" s="104" t="str">
        <f t="shared" si="24"/>
        <v>×</v>
      </c>
      <c r="G181" s="103" t="s">
        <v>13</v>
      </c>
      <c r="H181" s="103" t="s">
        <v>27</v>
      </c>
      <c r="I181" s="103" t="s">
        <v>838</v>
      </c>
      <c r="J181" s="105"/>
      <c r="K181" s="103" t="s">
        <v>16</v>
      </c>
      <c r="L181" s="103" t="s">
        <v>839</v>
      </c>
      <c r="M181" s="108" t="str">
        <f t="shared" si="26"/>
        <v/>
      </c>
      <c r="N181" s="108" t="str">
        <f t="shared" si="26"/>
        <v/>
      </c>
      <c r="O181" s="108" t="str">
        <f t="shared" si="26"/>
        <v/>
      </c>
      <c r="P181" s="108" t="str">
        <f t="shared" si="26"/>
        <v/>
      </c>
      <c r="Q181" s="108" t="str">
        <f t="shared" si="26"/>
        <v/>
      </c>
      <c r="R181" s="103" t="str">
        <f t="shared" si="26"/>
        <v/>
      </c>
      <c r="S181" s="105"/>
      <c r="T181" s="103" t="s">
        <v>30</v>
      </c>
      <c r="U181" s="103" t="s">
        <v>18</v>
      </c>
      <c r="V181" s="103" t="s">
        <v>840</v>
      </c>
    </row>
    <row r="182" spans="1:22" ht="13.5">
      <c r="A182" s="102">
        <v>45628.012633252314</v>
      </c>
      <c r="B182" s="103" t="s">
        <v>93</v>
      </c>
      <c r="C182" s="104" t="str">
        <f t="shared" ref="C182:F201" si="27">IF(ISERROR(FIND(C$1,$B182)),"×","○")</f>
        <v>×</v>
      </c>
      <c r="D182" s="104" t="str">
        <f t="shared" si="27"/>
        <v>×</v>
      </c>
      <c r="E182" s="104" t="str">
        <f t="shared" si="27"/>
        <v>○</v>
      </c>
      <c r="F182" s="104" t="str">
        <f t="shared" si="27"/>
        <v>×</v>
      </c>
      <c r="G182" s="103" t="s">
        <v>20</v>
      </c>
      <c r="H182" s="105"/>
      <c r="I182" s="105"/>
      <c r="J182" s="103" t="s">
        <v>21</v>
      </c>
      <c r="K182" s="103" t="s">
        <v>16</v>
      </c>
      <c r="L182" s="103" t="s">
        <v>88</v>
      </c>
      <c r="M182" s="108" t="str">
        <f t="shared" ref="M182:R191" si="28">IF(ISERROR(SEARCH(M$1,$L182)),"","○")</f>
        <v/>
      </c>
      <c r="N182" s="108" t="str">
        <f t="shared" si="28"/>
        <v>○</v>
      </c>
      <c r="O182" s="108" t="str">
        <f t="shared" si="28"/>
        <v/>
      </c>
      <c r="P182" s="108" t="str">
        <f t="shared" si="28"/>
        <v/>
      </c>
      <c r="Q182" s="108" t="str">
        <f t="shared" si="28"/>
        <v>○</v>
      </c>
      <c r="R182" s="103" t="str">
        <f t="shared" si="28"/>
        <v/>
      </c>
      <c r="S182" s="103" t="s">
        <v>843</v>
      </c>
      <c r="T182" s="103" t="s">
        <v>30</v>
      </c>
      <c r="U182" s="103" t="s">
        <v>18</v>
      </c>
      <c r="V182" s="103" t="s">
        <v>844</v>
      </c>
    </row>
    <row r="183" spans="1:22" ht="13.5">
      <c r="A183" s="102">
        <v>45628.01460469907</v>
      </c>
      <c r="B183" s="103" t="s">
        <v>64</v>
      </c>
      <c r="C183" s="104" t="str">
        <f t="shared" si="27"/>
        <v>○</v>
      </c>
      <c r="D183" s="104" t="str">
        <f t="shared" si="27"/>
        <v>○</v>
      </c>
      <c r="E183" s="104" t="str">
        <f t="shared" si="27"/>
        <v>×</v>
      </c>
      <c r="F183" s="104" t="str">
        <f t="shared" si="27"/>
        <v>×</v>
      </c>
      <c r="G183" s="103" t="s">
        <v>13</v>
      </c>
      <c r="H183" s="103" t="s">
        <v>27</v>
      </c>
      <c r="I183" s="103" t="s">
        <v>845</v>
      </c>
      <c r="J183" s="105"/>
      <c r="K183" s="103" t="s">
        <v>34</v>
      </c>
      <c r="L183" s="105"/>
      <c r="M183" s="110" t="str">
        <f t="shared" si="28"/>
        <v/>
      </c>
      <c r="N183" s="110" t="str">
        <f t="shared" si="28"/>
        <v/>
      </c>
      <c r="O183" s="110" t="str">
        <f t="shared" si="28"/>
        <v/>
      </c>
      <c r="P183" s="110" t="str">
        <f t="shared" si="28"/>
        <v/>
      </c>
      <c r="Q183" s="110" t="str">
        <f t="shared" si="28"/>
        <v/>
      </c>
      <c r="R183" s="105" t="str">
        <f t="shared" si="28"/>
        <v/>
      </c>
      <c r="S183" s="105"/>
      <c r="T183" s="103" t="s">
        <v>24</v>
      </c>
      <c r="U183" s="103" t="s">
        <v>18</v>
      </c>
      <c r="V183" s="103" t="s">
        <v>846</v>
      </c>
    </row>
    <row r="184" spans="1:22" ht="13.5">
      <c r="A184" s="102">
        <v>45628.018584652775</v>
      </c>
      <c r="B184" s="103" t="s">
        <v>93</v>
      </c>
      <c r="C184" s="104" t="str">
        <f t="shared" si="27"/>
        <v>×</v>
      </c>
      <c r="D184" s="104" t="str">
        <f t="shared" si="27"/>
        <v>×</v>
      </c>
      <c r="E184" s="104" t="str">
        <f t="shared" si="27"/>
        <v>○</v>
      </c>
      <c r="F184" s="104" t="str">
        <f t="shared" si="27"/>
        <v>×</v>
      </c>
      <c r="G184" s="103" t="s">
        <v>13</v>
      </c>
      <c r="H184" s="103" t="s">
        <v>27</v>
      </c>
      <c r="I184" s="103" t="s">
        <v>245</v>
      </c>
      <c r="J184" s="105"/>
      <c r="K184" s="103" t="s">
        <v>34</v>
      </c>
      <c r="L184" s="105"/>
      <c r="M184" s="110" t="str">
        <f t="shared" si="28"/>
        <v/>
      </c>
      <c r="N184" s="110" t="str">
        <f t="shared" si="28"/>
        <v/>
      </c>
      <c r="O184" s="110" t="str">
        <f t="shared" si="28"/>
        <v/>
      </c>
      <c r="P184" s="110" t="str">
        <f t="shared" si="28"/>
        <v/>
      </c>
      <c r="Q184" s="110" t="str">
        <f t="shared" si="28"/>
        <v/>
      </c>
      <c r="R184" s="105" t="str">
        <f t="shared" si="28"/>
        <v/>
      </c>
      <c r="S184" s="105"/>
      <c r="T184" s="103" t="s">
        <v>30</v>
      </c>
      <c r="U184" s="103" t="s">
        <v>18</v>
      </c>
      <c r="V184" s="105"/>
    </row>
    <row r="185" spans="1:22" ht="13.5">
      <c r="A185" s="102">
        <v>45628.29099814815</v>
      </c>
      <c r="B185" s="103" t="s">
        <v>407</v>
      </c>
      <c r="C185" s="104" t="str">
        <f t="shared" si="27"/>
        <v>×</v>
      </c>
      <c r="D185" s="104" t="str">
        <f t="shared" si="27"/>
        <v>○</v>
      </c>
      <c r="E185" s="104" t="str">
        <f t="shared" si="27"/>
        <v>○</v>
      </c>
      <c r="F185" s="104" t="str">
        <f t="shared" si="27"/>
        <v>×</v>
      </c>
      <c r="G185" s="103" t="s">
        <v>13</v>
      </c>
      <c r="H185" s="103" t="s">
        <v>27</v>
      </c>
      <c r="I185" s="103" t="s">
        <v>852</v>
      </c>
      <c r="J185" s="105"/>
      <c r="K185" s="103" t="s">
        <v>34</v>
      </c>
      <c r="L185" s="105"/>
      <c r="M185" s="110" t="str">
        <f t="shared" si="28"/>
        <v/>
      </c>
      <c r="N185" s="110" t="str">
        <f t="shared" si="28"/>
        <v/>
      </c>
      <c r="O185" s="110" t="str">
        <f t="shared" si="28"/>
        <v/>
      </c>
      <c r="P185" s="110" t="str">
        <f t="shared" si="28"/>
        <v/>
      </c>
      <c r="Q185" s="110" t="str">
        <f t="shared" si="28"/>
        <v/>
      </c>
      <c r="R185" s="105" t="str">
        <f t="shared" si="28"/>
        <v/>
      </c>
      <c r="S185" s="105"/>
      <c r="T185" s="103" t="s">
        <v>35</v>
      </c>
      <c r="U185" s="103" t="s">
        <v>18</v>
      </c>
      <c r="V185" s="105"/>
    </row>
    <row r="186" spans="1:22" ht="13.5">
      <c r="A186" s="102">
        <v>45628.294738217592</v>
      </c>
      <c r="B186" s="103" t="s">
        <v>49</v>
      </c>
      <c r="C186" s="104" t="str">
        <f t="shared" si="27"/>
        <v>×</v>
      </c>
      <c r="D186" s="104" t="str">
        <f t="shared" si="27"/>
        <v>○</v>
      </c>
      <c r="E186" s="104" t="str">
        <f t="shared" si="27"/>
        <v>×</v>
      </c>
      <c r="F186" s="104" t="str">
        <f t="shared" si="27"/>
        <v>×</v>
      </c>
      <c r="G186" s="103" t="s">
        <v>20</v>
      </c>
      <c r="H186" s="105"/>
      <c r="I186" s="105"/>
      <c r="J186" s="103" t="s">
        <v>58</v>
      </c>
      <c r="K186" s="103" t="s">
        <v>16</v>
      </c>
      <c r="L186" s="103" t="s">
        <v>59</v>
      </c>
      <c r="M186" s="108" t="str">
        <f t="shared" si="28"/>
        <v/>
      </c>
      <c r="N186" s="108" t="str">
        <f t="shared" si="28"/>
        <v/>
      </c>
      <c r="O186" s="108" t="str">
        <f t="shared" si="28"/>
        <v/>
      </c>
      <c r="P186" s="108" t="str">
        <f t="shared" si="28"/>
        <v>○</v>
      </c>
      <c r="Q186" s="108" t="str">
        <f t="shared" si="28"/>
        <v/>
      </c>
      <c r="R186" s="103" t="str">
        <f t="shared" si="28"/>
        <v/>
      </c>
      <c r="S186" s="103" t="s">
        <v>853</v>
      </c>
      <c r="T186" s="103" t="s">
        <v>24</v>
      </c>
      <c r="U186" s="103" t="s">
        <v>18</v>
      </c>
      <c r="V186" s="105"/>
    </row>
    <row r="187" spans="1:22" ht="13.5">
      <c r="A187" s="102">
        <v>45628.296698298611</v>
      </c>
      <c r="B187" s="103" t="s">
        <v>41</v>
      </c>
      <c r="C187" s="104" t="str">
        <f t="shared" si="27"/>
        <v>×</v>
      </c>
      <c r="D187" s="104" t="str">
        <f t="shared" si="27"/>
        <v>○</v>
      </c>
      <c r="E187" s="104" t="str">
        <f t="shared" si="27"/>
        <v>×</v>
      </c>
      <c r="F187" s="104" t="str">
        <f t="shared" si="27"/>
        <v>×</v>
      </c>
      <c r="G187" s="103" t="s">
        <v>13</v>
      </c>
      <c r="H187" s="103" t="s">
        <v>27</v>
      </c>
      <c r="I187" s="103" t="s">
        <v>855</v>
      </c>
      <c r="J187" s="105"/>
      <c r="K187" s="103" t="s">
        <v>34</v>
      </c>
      <c r="L187" s="105"/>
      <c r="M187" s="110" t="str">
        <f t="shared" si="28"/>
        <v/>
      </c>
      <c r="N187" s="110" t="str">
        <f t="shared" si="28"/>
        <v/>
      </c>
      <c r="O187" s="110" t="str">
        <f t="shared" si="28"/>
        <v/>
      </c>
      <c r="P187" s="110" t="str">
        <f t="shared" si="28"/>
        <v/>
      </c>
      <c r="Q187" s="110" t="str">
        <f t="shared" si="28"/>
        <v/>
      </c>
      <c r="R187" s="105" t="str">
        <f t="shared" si="28"/>
        <v/>
      </c>
      <c r="S187" s="105"/>
      <c r="T187" s="103" t="s">
        <v>61</v>
      </c>
      <c r="U187" s="103" t="s">
        <v>18</v>
      </c>
      <c r="V187" s="103" t="s">
        <v>856</v>
      </c>
    </row>
    <row r="188" spans="1:22" ht="13.5">
      <c r="A188" s="102">
        <v>45628.302295752314</v>
      </c>
      <c r="B188" s="103" t="s">
        <v>49</v>
      </c>
      <c r="C188" s="104" t="str">
        <f t="shared" si="27"/>
        <v>×</v>
      </c>
      <c r="D188" s="104" t="str">
        <f t="shared" si="27"/>
        <v>○</v>
      </c>
      <c r="E188" s="104" t="str">
        <f t="shared" si="27"/>
        <v>×</v>
      </c>
      <c r="F188" s="104" t="str">
        <f t="shared" si="27"/>
        <v>×</v>
      </c>
      <c r="G188" s="103" t="s">
        <v>13</v>
      </c>
      <c r="H188" s="103" t="s">
        <v>27</v>
      </c>
      <c r="I188" s="103" t="s">
        <v>861</v>
      </c>
      <c r="J188" s="105"/>
      <c r="K188" s="103" t="s">
        <v>34</v>
      </c>
      <c r="L188" s="105"/>
      <c r="M188" s="110" t="str">
        <f t="shared" si="28"/>
        <v/>
      </c>
      <c r="N188" s="110" t="str">
        <f t="shared" si="28"/>
        <v/>
      </c>
      <c r="O188" s="110" t="str">
        <f t="shared" si="28"/>
        <v/>
      </c>
      <c r="P188" s="110" t="str">
        <f t="shared" si="28"/>
        <v/>
      </c>
      <c r="Q188" s="110" t="str">
        <f t="shared" si="28"/>
        <v/>
      </c>
      <c r="R188" s="105" t="str">
        <f t="shared" si="28"/>
        <v/>
      </c>
      <c r="S188" s="105"/>
      <c r="T188" s="103" t="s">
        <v>35</v>
      </c>
      <c r="U188" s="103" t="s">
        <v>18</v>
      </c>
      <c r="V188" s="105"/>
    </row>
    <row r="189" spans="1:22" ht="13.5">
      <c r="A189" s="102">
        <v>45628.303461145828</v>
      </c>
      <c r="B189" s="103" t="s">
        <v>19</v>
      </c>
      <c r="C189" s="104" t="str">
        <f t="shared" si="27"/>
        <v>×</v>
      </c>
      <c r="D189" s="104" t="str">
        <f t="shared" si="27"/>
        <v>○</v>
      </c>
      <c r="E189" s="104" t="str">
        <f t="shared" si="27"/>
        <v>×</v>
      </c>
      <c r="F189" s="104" t="str">
        <f t="shared" si="27"/>
        <v>×</v>
      </c>
      <c r="G189" s="103" t="s">
        <v>20</v>
      </c>
      <c r="H189" s="105"/>
      <c r="I189" s="105"/>
      <c r="J189" s="103" t="s">
        <v>38</v>
      </c>
      <c r="K189" s="103" t="s">
        <v>16</v>
      </c>
      <c r="L189" s="103" t="s">
        <v>39</v>
      </c>
      <c r="M189" s="108" t="str">
        <f t="shared" si="28"/>
        <v/>
      </c>
      <c r="N189" s="108" t="str">
        <f t="shared" si="28"/>
        <v>○</v>
      </c>
      <c r="O189" s="108" t="str">
        <f t="shared" si="28"/>
        <v/>
      </c>
      <c r="P189" s="108" t="str">
        <f t="shared" si="28"/>
        <v/>
      </c>
      <c r="Q189" s="108" t="str">
        <f t="shared" si="28"/>
        <v/>
      </c>
      <c r="R189" s="103" t="str">
        <f t="shared" si="28"/>
        <v/>
      </c>
      <c r="S189" s="105"/>
      <c r="T189" s="103" t="s">
        <v>30</v>
      </c>
      <c r="U189" s="103" t="s">
        <v>18</v>
      </c>
      <c r="V189" s="105"/>
    </row>
    <row r="190" spans="1:22" ht="13.5">
      <c r="A190" s="102">
        <v>45628.305811597224</v>
      </c>
      <c r="B190" s="103" t="s">
        <v>264</v>
      </c>
      <c r="C190" s="104" t="str">
        <f t="shared" si="27"/>
        <v>○</v>
      </c>
      <c r="D190" s="104" t="str">
        <f t="shared" si="27"/>
        <v>○</v>
      </c>
      <c r="E190" s="104" t="str">
        <f t="shared" si="27"/>
        <v>×</v>
      </c>
      <c r="F190" s="104" t="str">
        <f t="shared" si="27"/>
        <v>×</v>
      </c>
      <c r="G190" s="103" t="s">
        <v>20</v>
      </c>
      <c r="H190" s="105"/>
      <c r="I190" s="105"/>
      <c r="J190" s="103" t="s">
        <v>58</v>
      </c>
      <c r="K190" s="103" t="s">
        <v>16</v>
      </c>
      <c r="L190" s="103" t="s">
        <v>88</v>
      </c>
      <c r="M190" s="108" t="str">
        <f t="shared" si="28"/>
        <v/>
      </c>
      <c r="N190" s="108" t="str">
        <f t="shared" si="28"/>
        <v>○</v>
      </c>
      <c r="O190" s="108" t="str">
        <f t="shared" si="28"/>
        <v/>
      </c>
      <c r="P190" s="108" t="str">
        <f t="shared" si="28"/>
        <v/>
      </c>
      <c r="Q190" s="108" t="str">
        <f t="shared" si="28"/>
        <v>○</v>
      </c>
      <c r="R190" s="103" t="str">
        <f t="shared" si="28"/>
        <v/>
      </c>
      <c r="S190" s="105"/>
      <c r="T190" s="103" t="s">
        <v>30</v>
      </c>
      <c r="U190" s="103" t="s">
        <v>18</v>
      </c>
      <c r="V190" s="103" t="s">
        <v>862</v>
      </c>
    </row>
    <row r="191" spans="1:22" ht="13.5">
      <c r="A191" s="102">
        <v>45628.319284201389</v>
      </c>
      <c r="B191" s="103" t="s">
        <v>19</v>
      </c>
      <c r="C191" s="104" t="str">
        <f t="shared" si="27"/>
        <v>×</v>
      </c>
      <c r="D191" s="104" t="str">
        <f t="shared" si="27"/>
        <v>○</v>
      </c>
      <c r="E191" s="104" t="str">
        <f t="shared" si="27"/>
        <v>×</v>
      </c>
      <c r="F191" s="104" t="str">
        <f t="shared" si="27"/>
        <v>×</v>
      </c>
      <c r="G191" s="103" t="s">
        <v>20</v>
      </c>
      <c r="H191" s="105"/>
      <c r="I191" s="105"/>
      <c r="J191" s="103" t="s">
        <v>58</v>
      </c>
      <c r="K191" s="103" t="s">
        <v>16</v>
      </c>
      <c r="L191" s="103" t="s">
        <v>59</v>
      </c>
      <c r="M191" s="108" t="str">
        <f t="shared" si="28"/>
        <v/>
      </c>
      <c r="N191" s="108" t="str">
        <f t="shared" si="28"/>
        <v/>
      </c>
      <c r="O191" s="108" t="str">
        <f t="shared" si="28"/>
        <v/>
      </c>
      <c r="P191" s="108" t="str">
        <f t="shared" si="28"/>
        <v>○</v>
      </c>
      <c r="Q191" s="108" t="str">
        <f t="shared" si="28"/>
        <v/>
      </c>
      <c r="R191" s="103" t="str">
        <f t="shared" si="28"/>
        <v/>
      </c>
      <c r="S191" s="105"/>
      <c r="T191" s="103" t="s">
        <v>24</v>
      </c>
      <c r="U191" s="103" t="s">
        <v>18</v>
      </c>
      <c r="V191" s="105"/>
    </row>
    <row r="192" spans="1:22" ht="13.5">
      <c r="A192" s="102">
        <v>45628.328839583337</v>
      </c>
      <c r="B192" s="103" t="s">
        <v>105</v>
      </c>
      <c r="C192" s="104" t="str">
        <f t="shared" si="27"/>
        <v>×</v>
      </c>
      <c r="D192" s="104" t="str">
        <f t="shared" si="27"/>
        <v>×</v>
      </c>
      <c r="E192" s="104" t="str">
        <f t="shared" si="27"/>
        <v>○</v>
      </c>
      <c r="F192" s="104" t="str">
        <f t="shared" si="27"/>
        <v>×</v>
      </c>
      <c r="G192" s="103" t="s">
        <v>20</v>
      </c>
      <c r="H192" s="105"/>
      <c r="I192" s="105"/>
      <c r="J192" s="103" t="s">
        <v>58</v>
      </c>
      <c r="K192" s="103" t="s">
        <v>16</v>
      </c>
      <c r="L192" s="103" t="s">
        <v>39</v>
      </c>
      <c r="M192" s="108" t="str">
        <f t="shared" ref="M192:R201" si="29">IF(ISERROR(SEARCH(M$1,$L192)),"","○")</f>
        <v/>
      </c>
      <c r="N192" s="108" t="str">
        <f t="shared" si="29"/>
        <v>○</v>
      </c>
      <c r="O192" s="108" t="str">
        <f t="shared" si="29"/>
        <v/>
      </c>
      <c r="P192" s="108" t="str">
        <f t="shared" si="29"/>
        <v/>
      </c>
      <c r="Q192" s="108" t="str">
        <f t="shared" si="29"/>
        <v/>
      </c>
      <c r="R192" s="103" t="str">
        <f t="shared" si="29"/>
        <v/>
      </c>
      <c r="S192" s="105"/>
      <c r="T192" s="103" t="s">
        <v>24</v>
      </c>
      <c r="U192" s="103" t="s">
        <v>18</v>
      </c>
      <c r="V192" s="105"/>
    </row>
    <row r="193" spans="1:22" ht="13.5">
      <c r="A193" s="102">
        <v>45628.335830532407</v>
      </c>
      <c r="B193" s="103" t="s">
        <v>105</v>
      </c>
      <c r="C193" s="104" t="str">
        <f t="shared" si="27"/>
        <v>×</v>
      </c>
      <c r="D193" s="104" t="str">
        <f t="shared" si="27"/>
        <v>×</v>
      </c>
      <c r="E193" s="104" t="str">
        <f t="shared" si="27"/>
        <v>○</v>
      </c>
      <c r="F193" s="104" t="str">
        <f t="shared" si="27"/>
        <v>×</v>
      </c>
      <c r="G193" s="103" t="s">
        <v>20</v>
      </c>
      <c r="H193" s="105"/>
      <c r="I193" s="105"/>
      <c r="J193" s="103" t="s">
        <v>58</v>
      </c>
      <c r="K193" s="103" t="s">
        <v>16</v>
      </c>
      <c r="L193" s="103" t="s">
        <v>39</v>
      </c>
      <c r="M193" s="108" t="str">
        <f t="shared" si="29"/>
        <v/>
      </c>
      <c r="N193" s="108" t="str">
        <f t="shared" si="29"/>
        <v>○</v>
      </c>
      <c r="O193" s="108" t="str">
        <f t="shared" si="29"/>
        <v/>
      </c>
      <c r="P193" s="108" t="str">
        <f t="shared" si="29"/>
        <v/>
      </c>
      <c r="Q193" s="108" t="str">
        <f t="shared" si="29"/>
        <v/>
      </c>
      <c r="R193" s="103" t="str">
        <f t="shared" si="29"/>
        <v/>
      </c>
      <c r="S193" s="105"/>
      <c r="T193" s="103" t="s">
        <v>24</v>
      </c>
      <c r="U193" s="103" t="s">
        <v>18</v>
      </c>
      <c r="V193" s="103" t="s">
        <v>883</v>
      </c>
    </row>
    <row r="194" spans="1:22" ht="13.5">
      <c r="A194" s="102">
        <v>45628.350637881944</v>
      </c>
      <c r="B194" s="103" t="s">
        <v>888</v>
      </c>
      <c r="C194" s="104" t="str">
        <f t="shared" si="27"/>
        <v>○</v>
      </c>
      <c r="D194" s="104" t="str">
        <f t="shared" si="27"/>
        <v>×</v>
      </c>
      <c r="E194" s="104" t="str">
        <f t="shared" si="27"/>
        <v>○</v>
      </c>
      <c r="F194" s="104" t="str">
        <f t="shared" si="27"/>
        <v>×</v>
      </c>
      <c r="G194" s="103" t="s">
        <v>13</v>
      </c>
      <c r="H194" s="103" t="s">
        <v>32</v>
      </c>
      <c r="I194" s="103" t="s">
        <v>889</v>
      </c>
      <c r="J194" s="105"/>
      <c r="K194" s="103" t="s">
        <v>16</v>
      </c>
      <c r="L194" s="103" t="s">
        <v>29</v>
      </c>
      <c r="M194" s="108" t="str">
        <f t="shared" si="29"/>
        <v/>
      </c>
      <c r="N194" s="108" t="str">
        <f t="shared" si="29"/>
        <v/>
      </c>
      <c r="O194" s="108" t="str">
        <f t="shared" si="29"/>
        <v/>
      </c>
      <c r="P194" s="108" t="str">
        <f t="shared" si="29"/>
        <v/>
      </c>
      <c r="Q194" s="108" t="str">
        <f t="shared" si="29"/>
        <v/>
      </c>
      <c r="R194" s="103" t="str">
        <f t="shared" si="29"/>
        <v>○</v>
      </c>
      <c r="S194" s="105"/>
      <c r="T194" s="103" t="s">
        <v>30</v>
      </c>
      <c r="U194" s="103" t="s">
        <v>18</v>
      </c>
      <c r="V194" s="105"/>
    </row>
    <row r="195" spans="1:22" ht="13.5">
      <c r="A195" s="102">
        <v>45628.403679618059</v>
      </c>
      <c r="B195" s="103" t="s">
        <v>93</v>
      </c>
      <c r="C195" s="104" t="str">
        <f t="shared" si="27"/>
        <v>×</v>
      </c>
      <c r="D195" s="104" t="str">
        <f t="shared" si="27"/>
        <v>×</v>
      </c>
      <c r="E195" s="104" t="str">
        <f t="shared" si="27"/>
        <v>○</v>
      </c>
      <c r="F195" s="104" t="str">
        <f t="shared" si="27"/>
        <v>×</v>
      </c>
      <c r="G195" s="103" t="s">
        <v>20</v>
      </c>
      <c r="H195" s="105"/>
      <c r="I195" s="105"/>
      <c r="J195" s="103" t="s">
        <v>58</v>
      </c>
      <c r="K195" s="103" t="s">
        <v>16</v>
      </c>
      <c r="L195" s="103" t="s">
        <v>39</v>
      </c>
      <c r="M195" s="108" t="str">
        <f t="shared" si="29"/>
        <v/>
      </c>
      <c r="N195" s="108" t="str">
        <f t="shared" si="29"/>
        <v>○</v>
      </c>
      <c r="O195" s="108" t="str">
        <f t="shared" si="29"/>
        <v/>
      </c>
      <c r="P195" s="108" t="str">
        <f t="shared" si="29"/>
        <v/>
      </c>
      <c r="Q195" s="108" t="str">
        <f t="shared" si="29"/>
        <v/>
      </c>
      <c r="R195" s="103" t="str">
        <f t="shared" si="29"/>
        <v/>
      </c>
      <c r="S195" s="105"/>
      <c r="T195" s="103" t="s">
        <v>24</v>
      </c>
      <c r="U195" s="103" t="s">
        <v>18</v>
      </c>
      <c r="V195" s="105"/>
    </row>
    <row r="196" spans="1:22" ht="13.5">
      <c r="A196" s="102">
        <v>45628.409794409723</v>
      </c>
      <c r="B196" s="103" t="s">
        <v>314</v>
      </c>
      <c r="C196" s="104" t="str">
        <f t="shared" si="27"/>
        <v>×</v>
      </c>
      <c r="D196" s="104" t="str">
        <f t="shared" si="27"/>
        <v>○</v>
      </c>
      <c r="E196" s="104" t="str">
        <f t="shared" si="27"/>
        <v>×</v>
      </c>
      <c r="F196" s="104" t="str">
        <f t="shared" si="27"/>
        <v>×</v>
      </c>
      <c r="G196" s="103" t="s">
        <v>13</v>
      </c>
      <c r="H196" s="103" t="s">
        <v>27</v>
      </c>
      <c r="I196" s="103" t="s">
        <v>85</v>
      </c>
      <c r="J196" s="105"/>
      <c r="K196" s="103" t="s">
        <v>34</v>
      </c>
      <c r="L196" s="105"/>
      <c r="M196" s="110" t="str">
        <f t="shared" si="29"/>
        <v/>
      </c>
      <c r="N196" s="110" t="str">
        <f t="shared" si="29"/>
        <v/>
      </c>
      <c r="O196" s="110" t="str">
        <f t="shared" si="29"/>
        <v/>
      </c>
      <c r="P196" s="110" t="str">
        <f t="shared" si="29"/>
        <v/>
      </c>
      <c r="Q196" s="110" t="str">
        <f t="shared" si="29"/>
        <v/>
      </c>
      <c r="R196" s="105" t="str">
        <f t="shared" si="29"/>
        <v/>
      </c>
      <c r="S196" s="105"/>
      <c r="T196" s="103" t="s">
        <v>35</v>
      </c>
      <c r="U196" s="103" t="s">
        <v>18</v>
      </c>
      <c r="V196" s="105"/>
    </row>
    <row r="197" spans="1:22" ht="13.5">
      <c r="A197" s="102">
        <v>45628.436297673616</v>
      </c>
      <c r="B197" s="103" t="s">
        <v>315</v>
      </c>
      <c r="C197" s="104" t="str">
        <f t="shared" si="27"/>
        <v>×</v>
      </c>
      <c r="D197" s="104" t="str">
        <f t="shared" si="27"/>
        <v>○</v>
      </c>
      <c r="E197" s="104" t="str">
        <f t="shared" si="27"/>
        <v>×</v>
      </c>
      <c r="F197" s="104" t="str">
        <f t="shared" si="27"/>
        <v>×</v>
      </c>
      <c r="G197" s="103" t="s">
        <v>13</v>
      </c>
      <c r="H197" s="103" t="s">
        <v>27</v>
      </c>
      <c r="I197" s="103" t="s">
        <v>902</v>
      </c>
      <c r="J197" s="105"/>
      <c r="K197" s="103" t="s">
        <v>34</v>
      </c>
      <c r="L197" s="105"/>
      <c r="M197" s="110" t="str">
        <f t="shared" si="29"/>
        <v/>
      </c>
      <c r="N197" s="110" t="str">
        <f t="shared" si="29"/>
        <v/>
      </c>
      <c r="O197" s="110" t="str">
        <f t="shared" si="29"/>
        <v/>
      </c>
      <c r="P197" s="110" t="str">
        <f t="shared" si="29"/>
        <v/>
      </c>
      <c r="Q197" s="110" t="str">
        <f t="shared" si="29"/>
        <v/>
      </c>
      <c r="R197" s="105" t="str">
        <f t="shared" si="29"/>
        <v/>
      </c>
      <c r="S197" s="105"/>
      <c r="T197" s="103" t="s">
        <v>30</v>
      </c>
      <c r="U197" s="103" t="s">
        <v>18</v>
      </c>
      <c r="V197" s="105"/>
    </row>
    <row r="198" spans="1:22" ht="13.5">
      <c r="A198" s="102">
        <v>45628.5478043287</v>
      </c>
      <c r="B198" s="103" t="s">
        <v>105</v>
      </c>
      <c r="C198" s="104" t="str">
        <f t="shared" si="27"/>
        <v>×</v>
      </c>
      <c r="D198" s="104" t="str">
        <f t="shared" si="27"/>
        <v>×</v>
      </c>
      <c r="E198" s="104" t="str">
        <f t="shared" si="27"/>
        <v>○</v>
      </c>
      <c r="F198" s="104" t="str">
        <f t="shared" si="27"/>
        <v>×</v>
      </c>
      <c r="G198" s="103" t="s">
        <v>13</v>
      </c>
      <c r="H198" s="103" t="s">
        <v>14</v>
      </c>
      <c r="I198" s="103" t="s">
        <v>909</v>
      </c>
      <c r="J198" s="105"/>
      <c r="K198" s="103" t="s">
        <v>34</v>
      </c>
      <c r="L198" s="105"/>
      <c r="M198" s="110" t="str">
        <f t="shared" si="29"/>
        <v/>
      </c>
      <c r="N198" s="110" t="str">
        <f t="shared" si="29"/>
        <v/>
      </c>
      <c r="O198" s="110" t="str">
        <f t="shared" si="29"/>
        <v/>
      </c>
      <c r="P198" s="110" t="str">
        <f t="shared" si="29"/>
        <v/>
      </c>
      <c r="Q198" s="110" t="str">
        <f t="shared" si="29"/>
        <v/>
      </c>
      <c r="R198" s="105" t="str">
        <f t="shared" si="29"/>
        <v/>
      </c>
      <c r="S198" s="105"/>
      <c r="T198" s="103" t="s">
        <v>61</v>
      </c>
      <c r="U198" s="103" t="s">
        <v>18</v>
      </c>
      <c r="V198" s="103" t="s">
        <v>910</v>
      </c>
    </row>
    <row r="199" spans="1:22" ht="13.5">
      <c r="A199" s="102">
        <v>45628.58094537037</v>
      </c>
      <c r="B199" s="103" t="s">
        <v>26</v>
      </c>
      <c r="C199" s="104" t="str">
        <f t="shared" si="27"/>
        <v>×</v>
      </c>
      <c r="D199" s="104" t="str">
        <f t="shared" si="27"/>
        <v>×</v>
      </c>
      <c r="E199" s="104" t="str">
        <f t="shared" si="27"/>
        <v>○</v>
      </c>
      <c r="F199" s="104" t="str">
        <f t="shared" si="27"/>
        <v>×</v>
      </c>
      <c r="G199" s="103" t="s">
        <v>20</v>
      </c>
      <c r="H199" s="105"/>
      <c r="I199" s="105"/>
      <c r="J199" s="103" t="s">
        <v>58</v>
      </c>
      <c r="K199" s="103" t="s">
        <v>16</v>
      </c>
      <c r="L199" s="103" t="s">
        <v>88</v>
      </c>
      <c r="M199" s="108" t="str">
        <f t="shared" si="29"/>
        <v/>
      </c>
      <c r="N199" s="108" t="str">
        <f t="shared" si="29"/>
        <v>○</v>
      </c>
      <c r="O199" s="108" t="str">
        <f t="shared" si="29"/>
        <v/>
      </c>
      <c r="P199" s="108" t="str">
        <f t="shared" si="29"/>
        <v/>
      </c>
      <c r="Q199" s="108" t="str">
        <f t="shared" si="29"/>
        <v>○</v>
      </c>
      <c r="R199" s="103" t="str">
        <f t="shared" si="29"/>
        <v/>
      </c>
      <c r="S199" s="105"/>
      <c r="T199" s="103" t="s">
        <v>30</v>
      </c>
      <c r="U199" s="103" t="s">
        <v>18</v>
      </c>
      <c r="V199" s="105"/>
    </row>
    <row r="200" spans="1:22" ht="13.5">
      <c r="A200" s="102">
        <v>45628.623043645828</v>
      </c>
      <c r="B200" s="103" t="s">
        <v>817</v>
      </c>
      <c r="C200" s="104" t="str">
        <f t="shared" si="27"/>
        <v>×</v>
      </c>
      <c r="D200" s="104" t="str">
        <f t="shared" si="27"/>
        <v>○</v>
      </c>
      <c r="E200" s="104" t="str">
        <f t="shared" si="27"/>
        <v>○</v>
      </c>
      <c r="F200" s="104" t="str">
        <f t="shared" si="27"/>
        <v>×</v>
      </c>
      <c r="G200" s="103" t="s">
        <v>13</v>
      </c>
      <c r="H200" s="103" t="s">
        <v>32</v>
      </c>
      <c r="I200" s="103" t="s">
        <v>98</v>
      </c>
      <c r="J200" s="105"/>
      <c r="K200" s="103" t="s">
        <v>16</v>
      </c>
      <c r="L200" s="103" t="s">
        <v>107</v>
      </c>
      <c r="M200" s="108" t="str">
        <f t="shared" si="29"/>
        <v/>
      </c>
      <c r="N200" s="108" t="str">
        <f t="shared" si="29"/>
        <v/>
      </c>
      <c r="O200" s="108" t="str">
        <f t="shared" si="29"/>
        <v>○</v>
      </c>
      <c r="P200" s="108" t="str">
        <f t="shared" si="29"/>
        <v/>
      </c>
      <c r="Q200" s="108" t="str">
        <f t="shared" si="29"/>
        <v/>
      </c>
      <c r="R200" s="103" t="str">
        <f t="shared" si="29"/>
        <v/>
      </c>
      <c r="S200" s="105"/>
      <c r="T200" s="103" t="s">
        <v>35</v>
      </c>
      <c r="U200" s="103" t="s">
        <v>18</v>
      </c>
      <c r="V200" s="105"/>
    </row>
    <row r="201" spans="1:22" ht="13.5">
      <c r="A201" s="102">
        <v>45628.62470104167</v>
      </c>
      <c r="B201" s="103" t="s">
        <v>389</v>
      </c>
      <c r="C201" s="104" t="str">
        <f t="shared" si="27"/>
        <v>×</v>
      </c>
      <c r="D201" s="104" t="str">
        <f t="shared" si="27"/>
        <v>○</v>
      </c>
      <c r="E201" s="104" t="str">
        <f t="shared" si="27"/>
        <v>×</v>
      </c>
      <c r="F201" s="104" t="str">
        <f t="shared" si="27"/>
        <v>×</v>
      </c>
      <c r="G201" s="103" t="s">
        <v>13</v>
      </c>
      <c r="H201" s="103" t="s">
        <v>77</v>
      </c>
      <c r="I201" s="103" t="s">
        <v>924</v>
      </c>
      <c r="J201" s="105"/>
      <c r="K201" s="103" t="s">
        <v>34</v>
      </c>
      <c r="L201" s="105"/>
      <c r="M201" s="110" t="str">
        <f t="shared" si="29"/>
        <v/>
      </c>
      <c r="N201" s="110" t="str">
        <f t="shared" si="29"/>
        <v/>
      </c>
      <c r="O201" s="110" t="str">
        <f t="shared" si="29"/>
        <v/>
      </c>
      <c r="P201" s="110" t="str">
        <f t="shared" si="29"/>
        <v/>
      </c>
      <c r="Q201" s="110" t="str">
        <f t="shared" si="29"/>
        <v/>
      </c>
      <c r="R201" s="105" t="str">
        <f t="shared" si="29"/>
        <v/>
      </c>
      <c r="S201" s="105"/>
      <c r="T201" s="103" t="s">
        <v>61</v>
      </c>
      <c r="U201" s="103" t="s">
        <v>18</v>
      </c>
      <c r="V201" s="105"/>
    </row>
    <row r="202" spans="1:22" ht="13.5">
      <c r="A202" s="102">
        <v>45628.632315138893</v>
      </c>
      <c r="B202" s="103" t="s">
        <v>164</v>
      </c>
      <c r="C202" s="104" t="str">
        <f t="shared" ref="C202:F221" si="30">IF(ISERROR(FIND(C$1,$B202)),"×","○")</f>
        <v>×</v>
      </c>
      <c r="D202" s="104" t="str">
        <f t="shared" si="30"/>
        <v>○</v>
      </c>
      <c r="E202" s="104" t="str">
        <f t="shared" si="30"/>
        <v>×</v>
      </c>
      <c r="F202" s="104" t="str">
        <f t="shared" si="30"/>
        <v>×</v>
      </c>
      <c r="G202" s="103" t="s">
        <v>13</v>
      </c>
      <c r="H202" s="103" t="s">
        <v>77</v>
      </c>
      <c r="I202" s="103" t="s">
        <v>925</v>
      </c>
      <c r="J202" s="105"/>
      <c r="K202" s="103" t="s">
        <v>16</v>
      </c>
      <c r="L202" s="103" t="s">
        <v>926</v>
      </c>
      <c r="M202" s="108" t="str">
        <f t="shared" ref="M202:R211" si="31">IF(ISERROR(SEARCH(M$1,$L202)),"","○")</f>
        <v/>
      </c>
      <c r="N202" s="108" t="str">
        <f t="shared" si="31"/>
        <v/>
      </c>
      <c r="O202" s="108" t="str">
        <f t="shared" si="31"/>
        <v/>
      </c>
      <c r="P202" s="108" t="str">
        <f t="shared" si="31"/>
        <v/>
      </c>
      <c r="Q202" s="108" t="str">
        <f t="shared" si="31"/>
        <v/>
      </c>
      <c r="R202" s="103" t="str">
        <f t="shared" si="31"/>
        <v/>
      </c>
      <c r="S202" s="105"/>
      <c r="T202" s="103" t="s">
        <v>61</v>
      </c>
      <c r="U202" s="103" t="s">
        <v>18</v>
      </c>
      <c r="V202" s="105"/>
    </row>
    <row r="203" spans="1:22" ht="13.5">
      <c r="A203" s="102">
        <v>45628.637689085648</v>
      </c>
      <c r="B203" s="103" t="s">
        <v>57</v>
      </c>
      <c r="C203" s="104" t="str">
        <f t="shared" si="30"/>
        <v>×</v>
      </c>
      <c r="D203" s="104" t="str">
        <f t="shared" si="30"/>
        <v>○</v>
      </c>
      <c r="E203" s="104" t="str">
        <f t="shared" si="30"/>
        <v>×</v>
      </c>
      <c r="F203" s="104" t="str">
        <f t="shared" si="30"/>
        <v>×</v>
      </c>
      <c r="G203" s="103" t="s">
        <v>13</v>
      </c>
      <c r="H203" s="103" t="s">
        <v>32</v>
      </c>
      <c r="I203" s="103" t="s">
        <v>930</v>
      </c>
      <c r="J203" s="105"/>
      <c r="K203" s="103" t="s">
        <v>34</v>
      </c>
      <c r="L203" s="105"/>
      <c r="M203" s="110" t="str">
        <f t="shared" si="31"/>
        <v/>
      </c>
      <c r="N203" s="110" t="str">
        <f t="shared" si="31"/>
        <v/>
      </c>
      <c r="O203" s="110" t="str">
        <f t="shared" si="31"/>
        <v/>
      </c>
      <c r="P203" s="110" t="str">
        <f t="shared" si="31"/>
        <v/>
      </c>
      <c r="Q203" s="110" t="str">
        <f t="shared" si="31"/>
        <v/>
      </c>
      <c r="R203" s="105" t="str">
        <f t="shared" si="31"/>
        <v/>
      </c>
      <c r="S203" s="105"/>
      <c r="T203" s="103" t="s">
        <v>61</v>
      </c>
      <c r="U203" s="103" t="s">
        <v>18</v>
      </c>
      <c r="V203" s="105"/>
    </row>
    <row r="204" spans="1:22" ht="13.5">
      <c r="A204" s="102">
        <v>45628.645313298606</v>
      </c>
      <c r="B204" s="103" t="s">
        <v>49</v>
      </c>
      <c r="C204" s="104" t="str">
        <f t="shared" si="30"/>
        <v>×</v>
      </c>
      <c r="D204" s="104" t="str">
        <f t="shared" si="30"/>
        <v>○</v>
      </c>
      <c r="E204" s="104" t="str">
        <f t="shared" si="30"/>
        <v>×</v>
      </c>
      <c r="F204" s="104" t="str">
        <f t="shared" si="30"/>
        <v>×</v>
      </c>
      <c r="G204" s="103" t="s">
        <v>13</v>
      </c>
      <c r="H204" s="103" t="s">
        <v>27</v>
      </c>
      <c r="I204" s="103" t="s">
        <v>931</v>
      </c>
      <c r="J204" s="105"/>
      <c r="K204" s="103" t="s">
        <v>34</v>
      </c>
      <c r="L204" s="105"/>
      <c r="M204" s="110" t="str">
        <f t="shared" si="31"/>
        <v/>
      </c>
      <c r="N204" s="110" t="str">
        <f t="shared" si="31"/>
        <v/>
      </c>
      <c r="O204" s="110" t="str">
        <f t="shared" si="31"/>
        <v/>
      </c>
      <c r="P204" s="110" t="str">
        <f t="shared" si="31"/>
        <v/>
      </c>
      <c r="Q204" s="110" t="str">
        <f t="shared" si="31"/>
        <v/>
      </c>
      <c r="R204" s="105" t="str">
        <f t="shared" si="31"/>
        <v/>
      </c>
      <c r="S204" s="105"/>
      <c r="T204" s="103" t="s">
        <v>30</v>
      </c>
      <c r="U204" s="103" t="s">
        <v>18</v>
      </c>
      <c r="V204" s="105"/>
    </row>
    <row r="205" spans="1:22" ht="13.5">
      <c r="A205" s="102">
        <v>45628.651239837964</v>
      </c>
      <c r="B205" s="103" t="s">
        <v>164</v>
      </c>
      <c r="C205" s="104" t="str">
        <f t="shared" si="30"/>
        <v>×</v>
      </c>
      <c r="D205" s="104" t="str">
        <f t="shared" si="30"/>
        <v>○</v>
      </c>
      <c r="E205" s="104" t="str">
        <f t="shared" si="30"/>
        <v>×</v>
      </c>
      <c r="F205" s="104" t="str">
        <f t="shared" si="30"/>
        <v>×</v>
      </c>
      <c r="G205" s="103" t="s">
        <v>20</v>
      </c>
      <c r="H205" s="105"/>
      <c r="I205" s="105"/>
      <c r="J205" s="103" t="s">
        <v>58</v>
      </c>
      <c r="K205" s="103" t="s">
        <v>16</v>
      </c>
      <c r="L205" s="103" t="s">
        <v>68</v>
      </c>
      <c r="M205" s="108" t="str">
        <f t="shared" si="31"/>
        <v/>
      </c>
      <c r="N205" s="108" t="str">
        <f t="shared" si="31"/>
        <v/>
      </c>
      <c r="O205" s="108" t="str">
        <f t="shared" si="31"/>
        <v/>
      </c>
      <c r="P205" s="108" t="str">
        <f t="shared" si="31"/>
        <v/>
      </c>
      <c r="Q205" s="108" t="str">
        <f t="shared" si="31"/>
        <v>○</v>
      </c>
      <c r="R205" s="103" t="str">
        <f t="shared" si="31"/>
        <v/>
      </c>
      <c r="S205" s="103" t="s">
        <v>938</v>
      </c>
      <c r="T205" s="103" t="s">
        <v>35</v>
      </c>
      <c r="U205" s="103" t="s">
        <v>18</v>
      </c>
      <c r="V205" s="105"/>
    </row>
    <row r="206" spans="1:22" ht="13.5">
      <c r="A206" s="102">
        <v>45628.666801770829</v>
      </c>
      <c r="B206" s="103" t="s">
        <v>57</v>
      </c>
      <c r="C206" s="104" t="str">
        <f t="shared" si="30"/>
        <v>×</v>
      </c>
      <c r="D206" s="104" t="str">
        <f t="shared" si="30"/>
        <v>○</v>
      </c>
      <c r="E206" s="104" t="str">
        <f t="shared" si="30"/>
        <v>×</v>
      </c>
      <c r="F206" s="104" t="str">
        <f t="shared" si="30"/>
        <v>×</v>
      </c>
      <c r="G206" s="103" t="s">
        <v>13</v>
      </c>
      <c r="H206" s="103" t="s">
        <v>27</v>
      </c>
      <c r="I206" s="103" t="s">
        <v>943</v>
      </c>
      <c r="J206" s="105"/>
      <c r="K206" s="103" t="s">
        <v>34</v>
      </c>
      <c r="L206" s="105"/>
      <c r="M206" s="110" t="str">
        <f t="shared" si="31"/>
        <v/>
      </c>
      <c r="N206" s="110" t="str">
        <f t="shared" si="31"/>
        <v/>
      </c>
      <c r="O206" s="110" t="str">
        <f t="shared" si="31"/>
        <v/>
      </c>
      <c r="P206" s="110" t="str">
        <f t="shared" si="31"/>
        <v/>
      </c>
      <c r="Q206" s="110" t="str">
        <f t="shared" si="31"/>
        <v/>
      </c>
      <c r="R206" s="105" t="str">
        <f t="shared" si="31"/>
        <v/>
      </c>
      <c r="S206" s="105"/>
      <c r="T206" s="103" t="s">
        <v>35</v>
      </c>
      <c r="U206" s="103" t="s">
        <v>18</v>
      </c>
      <c r="V206" s="103" t="s">
        <v>944</v>
      </c>
    </row>
    <row r="207" spans="1:22" ht="13.5">
      <c r="A207" s="102">
        <v>45628.67320315972</v>
      </c>
      <c r="B207" s="103" t="s">
        <v>49</v>
      </c>
      <c r="C207" s="104" t="str">
        <f t="shared" si="30"/>
        <v>×</v>
      </c>
      <c r="D207" s="104" t="str">
        <f t="shared" si="30"/>
        <v>○</v>
      </c>
      <c r="E207" s="104" t="str">
        <f t="shared" si="30"/>
        <v>×</v>
      </c>
      <c r="F207" s="104" t="str">
        <f t="shared" si="30"/>
        <v>×</v>
      </c>
      <c r="G207" s="103" t="s">
        <v>13</v>
      </c>
      <c r="H207" s="103" t="s">
        <v>27</v>
      </c>
      <c r="I207" s="103" t="s">
        <v>954</v>
      </c>
      <c r="J207" s="105"/>
      <c r="K207" s="103" t="s">
        <v>16</v>
      </c>
      <c r="L207" s="103" t="s">
        <v>107</v>
      </c>
      <c r="M207" s="108" t="str">
        <f t="shared" si="31"/>
        <v/>
      </c>
      <c r="N207" s="108" t="str">
        <f t="shared" si="31"/>
        <v/>
      </c>
      <c r="O207" s="108" t="str">
        <f t="shared" si="31"/>
        <v>○</v>
      </c>
      <c r="P207" s="108" t="str">
        <f t="shared" si="31"/>
        <v/>
      </c>
      <c r="Q207" s="108" t="str">
        <f t="shared" si="31"/>
        <v/>
      </c>
      <c r="R207" s="103" t="str">
        <f t="shared" si="31"/>
        <v/>
      </c>
      <c r="S207" s="103" t="s">
        <v>955</v>
      </c>
      <c r="T207" s="103" t="s">
        <v>35</v>
      </c>
      <c r="U207" s="103" t="s">
        <v>18</v>
      </c>
      <c r="V207" s="105"/>
    </row>
    <row r="208" spans="1:22" ht="13.5">
      <c r="A208" s="102">
        <v>45628.678908587965</v>
      </c>
      <c r="B208" s="103" t="s">
        <v>199</v>
      </c>
      <c r="C208" s="104" t="str">
        <f t="shared" si="30"/>
        <v>×</v>
      </c>
      <c r="D208" s="104" t="str">
        <f t="shared" si="30"/>
        <v>○</v>
      </c>
      <c r="E208" s="104" t="str">
        <f t="shared" si="30"/>
        <v>×</v>
      </c>
      <c r="F208" s="104" t="str">
        <f t="shared" si="30"/>
        <v>×</v>
      </c>
      <c r="G208" s="103" t="s">
        <v>20</v>
      </c>
      <c r="H208" s="105"/>
      <c r="I208" s="105"/>
      <c r="J208" s="103" t="s">
        <v>58</v>
      </c>
      <c r="K208" s="103" t="s">
        <v>16</v>
      </c>
      <c r="L208" s="103" t="s">
        <v>59</v>
      </c>
      <c r="M208" s="108" t="str">
        <f t="shared" si="31"/>
        <v/>
      </c>
      <c r="N208" s="108" t="str">
        <f t="shared" si="31"/>
        <v/>
      </c>
      <c r="O208" s="108" t="str">
        <f t="shared" si="31"/>
        <v/>
      </c>
      <c r="P208" s="108" t="str">
        <f t="shared" si="31"/>
        <v>○</v>
      </c>
      <c r="Q208" s="108" t="str">
        <f t="shared" si="31"/>
        <v/>
      </c>
      <c r="R208" s="103" t="str">
        <f t="shared" si="31"/>
        <v/>
      </c>
      <c r="S208" s="103" t="s">
        <v>958</v>
      </c>
      <c r="T208" s="103" t="s">
        <v>35</v>
      </c>
      <c r="U208" s="103" t="s">
        <v>18</v>
      </c>
      <c r="V208" s="105"/>
    </row>
    <row r="209" spans="1:22" ht="13.5">
      <c r="A209" s="102">
        <v>45628.68388193287</v>
      </c>
      <c r="B209" s="103" t="s">
        <v>962</v>
      </c>
      <c r="C209" s="104" t="str">
        <f t="shared" si="30"/>
        <v>○</v>
      </c>
      <c r="D209" s="104" t="str">
        <f t="shared" si="30"/>
        <v>○</v>
      </c>
      <c r="E209" s="104" t="str">
        <f t="shared" si="30"/>
        <v>×</v>
      </c>
      <c r="F209" s="104" t="str">
        <f t="shared" si="30"/>
        <v>×</v>
      </c>
      <c r="G209" s="103" t="s">
        <v>20</v>
      </c>
      <c r="H209" s="105"/>
      <c r="I209" s="105"/>
      <c r="J209" s="103" t="s">
        <v>58</v>
      </c>
      <c r="K209" s="103" t="s">
        <v>16</v>
      </c>
      <c r="L209" s="103" t="s">
        <v>963</v>
      </c>
      <c r="M209" s="108" t="str">
        <f t="shared" si="31"/>
        <v/>
      </c>
      <c r="N209" s="108" t="str">
        <f t="shared" si="31"/>
        <v/>
      </c>
      <c r="O209" s="108" t="str">
        <f t="shared" si="31"/>
        <v/>
      </c>
      <c r="P209" s="108" t="str">
        <f t="shared" si="31"/>
        <v/>
      </c>
      <c r="Q209" s="108" t="str">
        <f t="shared" si="31"/>
        <v/>
      </c>
      <c r="R209" s="103" t="str">
        <f t="shared" si="31"/>
        <v/>
      </c>
      <c r="S209" s="105"/>
      <c r="T209" s="103" t="s">
        <v>35</v>
      </c>
      <c r="U209" s="103" t="s">
        <v>18</v>
      </c>
      <c r="V209" s="105"/>
    </row>
    <row r="210" spans="1:22" ht="13.5">
      <c r="A210" s="102">
        <v>45628.69381996528</v>
      </c>
      <c r="B210" s="103" t="s">
        <v>57</v>
      </c>
      <c r="C210" s="104" t="str">
        <f t="shared" si="30"/>
        <v>×</v>
      </c>
      <c r="D210" s="104" t="str">
        <f t="shared" si="30"/>
        <v>○</v>
      </c>
      <c r="E210" s="104" t="str">
        <f t="shared" si="30"/>
        <v>×</v>
      </c>
      <c r="F210" s="104" t="str">
        <f t="shared" si="30"/>
        <v>×</v>
      </c>
      <c r="G210" s="103" t="s">
        <v>13</v>
      </c>
      <c r="H210" s="103" t="s">
        <v>27</v>
      </c>
      <c r="I210" s="103" t="s">
        <v>964</v>
      </c>
      <c r="J210" s="105"/>
      <c r="K210" s="103" t="s">
        <v>34</v>
      </c>
      <c r="L210" s="105"/>
      <c r="M210" s="110" t="str">
        <f t="shared" si="31"/>
        <v/>
      </c>
      <c r="N210" s="110" t="str">
        <f t="shared" si="31"/>
        <v/>
      </c>
      <c r="O210" s="110" t="str">
        <f t="shared" si="31"/>
        <v/>
      </c>
      <c r="P210" s="110" t="str">
        <f t="shared" si="31"/>
        <v/>
      </c>
      <c r="Q210" s="110" t="str">
        <f t="shared" si="31"/>
        <v/>
      </c>
      <c r="R210" s="105" t="str">
        <f t="shared" si="31"/>
        <v/>
      </c>
      <c r="S210" s="105"/>
      <c r="T210" s="103" t="s">
        <v>35</v>
      </c>
      <c r="U210" s="103" t="s">
        <v>18</v>
      </c>
      <c r="V210" s="105"/>
    </row>
    <row r="211" spans="1:22" ht="13.5">
      <c r="A211" s="102">
        <v>45628.695254571758</v>
      </c>
      <c r="B211" s="103" t="s">
        <v>19</v>
      </c>
      <c r="C211" s="104" t="str">
        <f t="shared" si="30"/>
        <v>×</v>
      </c>
      <c r="D211" s="104" t="str">
        <f t="shared" si="30"/>
        <v>○</v>
      </c>
      <c r="E211" s="104" t="str">
        <f t="shared" si="30"/>
        <v>×</v>
      </c>
      <c r="F211" s="104" t="str">
        <f t="shared" si="30"/>
        <v>×</v>
      </c>
      <c r="G211" s="103" t="s">
        <v>20</v>
      </c>
      <c r="H211" s="105"/>
      <c r="I211" s="105"/>
      <c r="J211" s="103" t="s">
        <v>58</v>
      </c>
      <c r="K211" s="103" t="s">
        <v>16</v>
      </c>
      <c r="L211" s="103" t="s">
        <v>965</v>
      </c>
      <c r="M211" s="108" t="str">
        <f t="shared" si="31"/>
        <v/>
      </c>
      <c r="N211" s="108" t="str">
        <f t="shared" si="31"/>
        <v/>
      </c>
      <c r="O211" s="108" t="str">
        <f t="shared" si="31"/>
        <v/>
      </c>
      <c r="P211" s="108" t="str">
        <f t="shared" si="31"/>
        <v/>
      </c>
      <c r="Q211" s="108" t="str">
        <f t="shared" si="31"/>
        <v/>
      </c>
      <c r="R211" s="103" t="str">
        <f t="shared" si="31"/>
        <v/>
      </c>
      <c r="S211" s="105"/>
      <c r="T211" s="103" t="s">
        <v>35</v>
      </c>
      <c r="U211" s="103" t="s">
        <v>18</v>
      </c>
      <c r="V211" s="103" t="s">
        <v>966</v>
      </c>
    </row>
    <row r="212" spans="1:22" ht="13.5">
      <c r="A212" s="102">
        <v>45628.699672997682</v>
      </c>
      <c r="B212" s="103" t="s">
        <v>41</v>
      </c>
      <c r="C212" s="104" t="str">
        <f t="shared" si="30"/>
        <v>×</v>
      </c>
      <c r="D212" s="104" t="str">
        <f t="shared" si="30"/>
        <v>○</v>
      </c>
      <c r="E212" s="104" t="str">
        <f t="shared" si="30"/>
        <v>×</v>
      </c>
      <c r="F212" s="104" t="str">
        <f t="shared" si="30"/>
        <v>×</v>
      </c>
      <c r="G212" s="103" t="s">
        <v>13</v>
      </c>
      <c r="H212" s="103" t="s">
        <v>27</v>
      </c>
      <c r="I212" s="103" t="s">
        <v>967</v>
      </c>
      <c r="J212" s="105"/>
      <c r="K212" s="103" t="s">
        <v>34</v>
      </c>
      <c r="L212" s="105"/>
      <c r="M212" s="110" t="str">
        <f t="shared" ref="M212:R221" si="32">IF(ISERROR(SEARCH(M$1,$L212)),"","○")</f>
        <v/>
      </c>
      <c r="N212" s="110" t="str">
        <f t="shared" si="32"/>
        <v/>
      </c>
      <c r="O212" s="110" t="str">
        <f t="shared" si="32"/>
        <v/>
      </c>
      <c r="P212" s="110" t="str">
        <f t="shared" si="32"/>
        <v/>
      </c>
      <c r="Q212" s="110" t="str">
        <f t="shared" si="32"/>
        <v/>
      </c>
      <c r="R212" s="105" t="str">
        <f t="shared" si="32"/>
        <v/>
      </c>
      <c r="S212" s="105"/>
      <c r="T212" s="103" t="s">
        <v>35</v>
      </c>
      <c r="U212" s="103" t="s">
        <v>18</v>
      </c>
      <c r="V212" s="103" t="s">
        <v>968</v>
      </c>
    </row>
    <row r="213" spans="1:22" ht="13.5">
      <c r="A213" s="102">
        <v>45628.700114236111</v>
      </c>
      <c r="B213" s="103" t="s">
        <v>564</v>
      </c>
      <c r="C213" s="104" t="str">
        <f t="shared" si="30"/>
        <v>×</v>
      </c>
      <c r="D213" s="104" t="str">
        <f t="shared" si="30"/>
        <v>○</v>
      </c>
      <c r="E213" s="104" t="str">
        <f t="shared" si="30"/>
        <v>○</v>
      </c>
      <c r="F213" s="104" t="str">
        <f t="shared" si="30"/>
        <v>×</v>
      </c>
      <c r="G213" s="103" t="s">
        <v>13</v>
      </c>
      <c r="H213" s="103" t="s">
        <v>27</v>
      </c>
      <c r="I213" s="103" t="s">
        <v>969</v>
      </c>
      <c r="J213" s="105"/>
      <c r="K213" s="103" t="s">
        <v>34</v>
      </c>
      <c r="L213" s="105"/>
      <c r="M213" s="110" t="str">
        <f t="shared" si="32"/>
        <v/>
      </c>
      <c r="N213" s="110" t="str">
        <f t="shared" si="32"/>
        <v/>
      </c>
      <c r="O213" s="110" t="str">
        <f t="shared" si="32"/>
        <v/>
      </c>
      <c r="P213" s="110" t="str">
        <f t="shared" si="32"/>
        <v/>
      </c>
      <c r="Q213" s="110" t="str">
        <f t="shared" si="32"/>
        <v/>
      </c>
      <c r="R213" s="105" t="str">
        <f t="shared" si="32"/>
        <v/>
      </c>
      <c r="S213" s="105"/>
      <c r="T213" s="103" t="s">
        <v>24</v>
      </c>
      <c r="U213" s="103" t="s">
        <v>18</v>
      </c>
      <c r="V213" s="103" t="s">
        <v>970</v>
      </c>
    </row>
    <row r="214" spans="1:22" ht="13.5">
      <c r="A214" s="102">
        <v>45628.704697118053</v>
      </c>
      <c r="B214" s="103" t="s">
        <v>41</v>
      </c>
      <c r="C214" s="104" t="str">
        <f t="shared" si="30"/>
        <v>×</v>
      </c>
      <c r="D214" s="104" t="str">
        <f t="shared" si="30"/>
        <v>○</v>
      </c>
      <c r="E214" s="104" t="str">
        <f t="shared" si="30"/>
        <v>×</v>
      </c>
      <c r="F214" s="104" t="str">
        <f t="shared" si="30"/>
        <v>×</v>
      </c>
      <c r="G214" s="103" t="s">
        <v>13</v>
      </c>
      <c r="H214" s="103" t="s">
        <v>77</v>
      </c>
      <c r="I214" s="103" t="s">
        <v>972</v>
      </c>
      <c r="J214" s="105"/>
      <c r="K214" s="103" t="s">
        <v>16</v>
      </c>
      <c r="L214" s="103" t="s">
        <v>59</v>
      </c>
      <c r="M214" s="108" t="str">
        <f t="shared" si="32"/>
        <v/>
      </c>
      <c r="N214" s="108" t="str">
        <f t="shared" si="32"/>
        <v/>
      </c>
      <c r="O214" s="108" t="str">
        <f t="shared" si="32"/>
        <v/>
      </c>
      <c r="P214" s="108" t="str">
        <f t="shared" si="32"/>
        <v>○</v>
      </c>
      <c r="Q214" s="108" t="str">
        <f t="shared" si="32"/>
        <v/>
      </c>
      <c r="R214" s="103" t="str">
        <f t="shared" si="32"/>
        <v/>
      </c>
      <c r="S214" s="103" t="s">
        <v>945</v>
      </c>
      <c r="T214" s="103" t="s">
        <v>973</v>
      </c>
      <c r="U214" s="103" t="s">
        <v>18</v>
      </c>
      <c r="V214" s="103" t="s">
        <v>974</v>
      </c>
    </row>
    <row r="215" spans="1:22" ht="13.5">
      <c r="A215" s="102">
        <v>45628.706050243054</v>
      </c>
      <c r="B215" s="103" t="s">
        <v>164</v>
      </c>
      <c r="C215" s="104" t="str">
        <f t="shared" si="30"/>
        <v>×</v>
      </c>
      <c r="D215" s="104" t="str">
        <f t="shared" si="30"/>
        <v>○</v>
      </c>
      <c r="E215" s="104" t="str">
        <f t="shared" si="30"/>
        <v>×</v>
      </c>
      <c r="F215" s="104" t="str">
        <f t="shared" si="30"/>
        <v>×</v>
      </c>
      <c r="G215" s="103" t="s">
        <v>13</v>
      </c>
      <c r="H215" s="103" t="s">
        <v>32</v>
      </c>
      <c r="I215" s="103" t="s">
        <v>975</v>
      </c>
      <c r="J215" s="105"/>
      <c r="K215" s="103" t="s">
        <v>16</v>
      </c>
      <c r="L215" s="103" t="s">
        <v>976</v>
      </c>
      <c r="M215" s="108" t="str">
        <f t="shared" si="32"/>
        <v/>
      </c>
      <c r="N215" s="108" t="str">
        <f t="shared" si="32"/>
        <v/>
      </c>
      <c r="O215" s="108" t="str">
        <f t="shared" si="32"/>
        <v/>
      </c>
      <c r="P215" s="108" t="str">
        <f t="shared" si="32"/>
        <v/>
      </c>
      <c r="Q215" s="108" t="str">
        <f t="shared" si="32"/>
        <v/>
      </c>
      <c r="R215" s="103" t="str">
        <f t="shared" si="32"/>
        <v/>
      </c>
      <c r="S215" s="105"/>
      <c r="T215" s="103" t="s">
        <v>61</v>
      </c>
      <c r="U215" s="103" t="s">
        <v>18</v>
      </c>
      <c r="V215" s="103" t="s">
        <v>977</v>
      </c>
    </row>
    <row r="216" spans="1:22" ht="13.5">
      <c r="A216" s="102">
        <v>45628.716630844909</v>
      </c>
      <c r="B216" s="103" t="s">
        <v>67</v>
      </c>
      <c r="C216" s="104" t="str">
        <f t="shared" si="30"/>
        <v>×</v>
      </c>
      <c r="D216" s="104" t="str">
        <f t="shared" si="30"/>
        <v>○</v>
      </c>
      <c r="E216" s="104" t="str">
        <f t="shared" si="30"/>
        <v>×</v>
      </c>
      <c r="F216" s="104" t="str">
        <f t="shared" si="30"/>
        <v>×</v>
      </c>
      <c r="G216" s="103" t="s">
        <v>13</v>
      </c>
      <c r="H216" s="103" t="s">
        <v>32</v>
      </c>
      <c r="I216" s="103" t="s">
        <v>978</v>
      </c>
      <c r="J216" s="105"/>
      <c r="K216" s="103" t="s">
        <v>34</v>
      </c>
      <c r="L216" s="105"/>
      <c r="M216" s="110" t="str">
        <f t="shared" si="32"/>
        <v/>
      </c>
      <c r="N216" s="110" t="str">
        <f t="shared" si="32"/>
        <v/>
      </c>
      <c r="O216" s="110" t="str">
        <f t="shared" si="32"/>
        <v/>
      </c>
      <c r="P216" s="110" t="str">
        <f t="shared" si="32"/>
        <v/>
      </c>
      <c r="Q216" s="110" t="str">
        <f t="shared" si="32"/>
        <v/>
      </c>
      <c r="R216" s="105" t="str">
        <f t="shared" si="32"/>
        <v/>
      </c>
      <c r="S216" s="105"/>
      <c r="T216" s="103" t="s">
        <v>35</v>
      </c>
      <c r="U216" s="103" t="s">
        <v>18</v>
      </c>
      <c r="V216" s="105"/>
    </row>
    <row r="217" spans="1:22" ht="13.5">
      <c r="A217" s="102">
        <v>45628.720786979167</v>
      </c>
      <c r="B217" s="103" t="s">
        <v>105</v>
      </c>
      <c r="C217" s="104" t="str">
        <f t="shared" si="30"/>
        <v>×</v>
      </c>
      <c r="D217" s="104" t="str">
        <f t="shared" si="30"/>
        <v>×</v>
      </c>
      <c r="E217" s="104" t="str">
        <f t="shared" si="30"/>
        <v>○</v>
      </c>
      <c r="F217" s="104" t="str">
        <f t="shared" si="30"/>
        <v>×</v>
      </c>
      <c r="G217" s="103" t="s">
        <v>13</v>
      </c>
      <c r="H217" s="103" t="s">
        <v>32</v>
      </c>
      <c r="I217" s="103" t="s">
        <v>979</v>
      </c>
      <c r="J217" s="105"/>
      <c r="K217" s="103" t="s">
        <v>16</v>
      </c>
      <c r="L217" s="103" t="s">
        <v>107</v>
      </c>
      <c r="M217" s="108" t="str">
        <f t="shared" si="32"/>
        <v/>
      </c>
      <c r="N217" s="108" t="str">
        <f t="shared" si="32"/>
        <v/>
      </c>
      <c r="O217" s="108" t="str">
        <f t="shared" si="32"/>
        <v>○</v>
      </c>
      <c r="P217" s="108" t="str">
        <f t="shared" si="32"/>
        <v/>
      </c>
      <c r="Q217" s="108" t="str">
        <f t="shared" si="32"/>
        <v/>
      </c>
      <c r="R217" s="103" t="str">
        <f t="shared" si="32"/>
        <v/>
      </c>
      <c r="S217" s="105"/>
      <c r="T217" s="103" t="s">
        <v>35</v>
      </c>
      <c r="U217" s="103" t="s">
        <v>18</v>
      </c>
      <c r="V217" s="105"/>
    </row>
    <row r="218" spans="1:22" ht="13.5">
      <c r="A218" s="102">
        <v>45628.722354097219</v>
      </c>
      <c r="B218" s="103" t="s">
        <v>57</v>
      </c>
      <c r="C218" s="104" t="str">
        <f t="shared" si="30"/>
        <v>×</v>
      </c>
      <c r="D218" s="104" t="str">
        <f t="shared" si="30"/>
        <v>○</v>
      </c>
      <c r="E218" s="104" t="str">
        <f t="shared" si="30"/>
        <v>×</v>
      </c>
      <c r="F218" s="104" t="str">
        <f t="shared" si="30"/>
        <v>×</v>
      </c>
      <c r="G218" s="103" t="s">
        <v>13</v>
      </c>
      <c r="H218" s="103" t="s">
        <v>32</v>
      </c>
      <c r="I218" s="103" t="s">
        <v>980</v>
      </c>
      <c r="J218" s="105"/>
      <c r="K218" s="103" t="s">
        <v>16</v>
      </c>
      <c r="L218" s="103" t="s">
        <v>981</v>
      </c>
      <c r="M218" s="108" t="str">
        <f t="shared" si="32"/>
        <v/>
      </c>
      <c r="N218" s="108" t="str">
        <f t="shared" si="32"/>
        <v/>
      </c>
      <c r="O218" s="108" t="str">
        <f t="shared" si="32"/>
        <v/>
      </c>
      <c r="P218" s="108" t="str">
        <f t="shared" si="32"/>
        <v/>
      </c>
      <c r="Q218" s="108" t="str">
        <f t="shared" si="32"/>
        <v/>
      </c>
      <c r="R218" s="103" t="str">
        <f t="shared" si="32"/>
        <v/>
      </c>
      <c r="S218" s="105"/>
      <c r="T218" s="103" t="s">
        <v>35</v>
      </c>
      <c r="U218" s="103" t="s">
        <v>18</v>
      </c>
      <c r="V218" s="103" t="s">
        <v>982</v>
      </c>
    </row>
    <row r="219" spans="1:22" ht="13.5">
      <c r="A219" s="102">
        <v>45628.730416863429</v>
      </c>
      <c r="B219" s="103" t="s">
        <v>181</v>
      </c>
      <c r="C219" s="104" t="str">
        <f t="shared" si="30"/>
        <v>×</v>
      </c>
      <c r="D219" s="104" t="str">
        <f t="shared" si="30"/>
        <v>○</v>
      </c>
      <c r="E219" s="104" t="str">
        <f t="shared" si="30"/>
        <v>×</v>
      </c>
      <c r="F219" s="104" t="str">
        <f t="shared" si="30"/>
        <v>×</v>
      </c>
      <c r="G219" s="103" t="s">
        <v>13</v>
      </c>
      <c r="H219" s="103" t="s">
        <v>32</v>
      </c>
      <c r="I219" s="103" t="s">
        <v>986</v>
      </c>
      <c r="J219" s="105"/>
      <c r="K219" s="103" t="s">
        <v>16</v>
      </c>
      <c r="L219" s="103" t="s">
        <v>987</v>
      </c>
      <c r="M219" s="108" t="str">
        <f t="shared" si="32"/>
        <v/>
      </c>
      <c r="N219" s="108" t="str">
        <f t="shared" si="32"/>
        <v/>
      </c>
      <c r="O219" s="108" t="str">
        <f t="shared" si="32"/>
        <v/>
      </c>
      <c r="P219" s="108" t="str">
        <f t="shared" si="32"/>
        <v/>
      </c>
      <c r="Q219" s="108" t="str">
        <f t="shared" si="32"/>
        <v/>
      </c>
      <c r="R219" s="103" t="str">
        <f t="shared" si="32"/>
        <v/>
      </c>
      <c r="S219" s="105"/>
      <c r="T219" s="103" t="s">
        <v>988</v>
      </c>
      <c r="U219" s="103" t="s">
        <v>18</v>
      </c>
      <c r="V219" s="103" t="s">
        <v>989</v>
      </c>
    </row>
    <row r="220" spans="1:22" ht="13.5">
      <c r="A220" s="102">
        <v>45628.731057037032</v>
      </c>
      <c r="B220" s="103" t="s">
        <v>41</v>
      </c>
      <c r="C220" s="104" t="str">
        <f t="shared" si="30"/>
        <v>×</v>
      </c>
      <c r="D220" s="104" t="str">
        <f t="shared" si="30"/>
        <v>○</v>
      </c>
      <c r="E220" s="104" t="str">
        <f t="shared" si="30"/>
        <v>×</v>
      </c>
      <c r="F220" s="104" t="str">
        <f t="shared" si="30"/>
        <v>×</v>
      </c>
      <c r="G220" s="103" t="s">
        <v>13</v>
      </c>
      <c r="H220" s="103" t="s">
        <v>27</v>
      </c>
      <c r="I220" s="103" t="s">
        <v>85</v>
      </c>
      <c r="J220" s="105"/>
      <c r="K220" s="103" t="s">
        <v>34</v>
      </c>
      <c r="L220" s="105"/>
      <c r="M220" s="110" t="str">
        <f t="shared" si="32"/>
        <v/>
      </c>
      <c r="N220" s="110" t="str">
        <f t="shared" si="32"/>
        <v/>
      </c>
      <c r="O220" s="110" t="str">
        <f t="shared" si="32"/>
        <v/>
      </c>
      <c r="P220" s="110" t="str">
        <f t="shared" si="32"/>
        <v/>
      </c>
      <c r="Q220" s="110" t="str">
        <f t="shared" si="32"/>
        <v/>
      </c>
      <c r="R220" s="105" t="str">
        <f t="shared" si="32"/>
        <v/>
      </c>
      <c r="S220" s="105"/>
      <c r="T220" s="103" t="s">
        <v>35</v>
      </c>
      <c r="U220" s="103" t="s">
        <v>18</v>
      </c>
      <c r="V220" s="105"/>
    </row>
    <row r="221" spans="1:22" ht="13.5">
      <c r="A221" s="102">
        <v>45628.732746747686</v>
      </c>
      <c r="B221" s="103" t="s">
        <v>12</v>
      </c>
      <c r="C221" s="104" t="str">
        <f t="shared" si="30"/>
        <v>○</v>
      </c>
      <c r="D221" s="104" t="str">
        <f t="shared" si="30"/>
        <v>○</v>
      </c>
      <c r="E221" s="104" t="str">
        <f t="shared" si="30"/>
        <v>×</v>
      </c>
      <c r="F221" s="104" t="str">
        <f t="shared" si="30"/>
        <v>×</v>
      </c>
      <c r="G221" s="103" t="s">
        <v>13</v>
      </c>
      <c r="H221" s="103" t="s">
        <v>27</v>
      </c>
      <c r="I221" s="103" t="s">
        <v>998</v>
      </c>
      <c r="J221" s="105"/>
      <c r="K221" s="103" t="s">
        <v>34</v>
      </c>
      <c r="L221" s="105"/>
      <c r="M221" s="110" t="str">
        <f t="shared" si="32"/>
        <v/>
      </c>
      <c r="N221" s="110" t="str">
        <f t="shared" si="32"/>
        <v/>
      </c>
      <c r="O221" s="110" t="str">
        <f t="shared" si="32"/>
        <v/>
      </c>
      <c r="P221" s="110" t="str">
        <f t="shared" si="32"/>
        <v/>
      </c>
      <c r="Q221" s="110" t="str">
        <f t="shared" si="32"/>
        <v/>
      </c>
      <c r="R221" s="105" t="str">
        <f t="shared" si="32"/>
        <v/>
      </c>
      <c r="S221" s="105"/>
      <c r="T221" s="103" t="s">
        <v>35</v>
      </c>
      <c r="U221" s="103" t="s">
        <v>18</v>
      </c>
      <c r="V221" s="105"/>
    </row>
    <row r="222" spans="1:22" ht="13.5">
      <c r="A222" s="102">
        <v>45628.737747858795</v>
      </c>
      <c r="B222" s="103" t="s">
        <v>93</v>
      </c>
      <c r="C222" s="104" t="str">
        <f t="shared" ref="C222:F241" si="33">IF(ISERROR(FIND(C$1,$B222)),"×","○")</f>
        <v>×</v>
      </c>
      <c r="D222" s="104" t="str">
        <f t="shared" si="33"/>
        <v>×</v>
      </c>
      <c r="E222" s="104" t="str">
        <f t="shared" si="33"/>
        <v>○</v>
      </c>
      <c r="F222" s="104" t="str">
        <f t="shared" si="33"/>
        <v>×</v>
      </c>
      <c r="G222" s="103" t="s">
        <v>13</v>
      </c>
      <c r="H222" s="103" t="s">
        <v>77</v>
      </c>
      <c r="I222" s="103" t="s">
        <v>1003</v>
      </c>
      <c r="J222" s="105"/>
      <c r="K222" s="103" t="s">
        <v>34</v>
      </c>
      <c r="L222" s="105"/>
      <c r="M222" s="110" t="str">
        <f t="shared" ref="M222:R231" si="34">IF(ISERROR(SEARCH(M$1,$L222)),"","○")</f>
        <v/>
      </c>
      <c r="N222" s="110" t="str">
        <f t="shared" si="34"/>
        <v/>
      </c>
      <c r="O222" s="110" t="str">
        <f t="shared" si="34"/>
        <v/>
      </c>
      <c r="P222" s="110" t="str">
        <f t="shared" si="34"/>
        <v/>
      </c>
      <c r="Q222" s="110" t="str">
        <f t="shared" si="34"/>
        <v/>
      </c>
      <c r="R222" s="105" t="str">
        <f t="shared" si="34"/>
        <v/>
      </c>
      <c r="S222" s="105"/>
      <c r="T222" s="103" t="s">
        <v>35</v>
      </c>
      <c r="U222" s="103" t="s">
        <v>18</v>
      </c>
      <c r="V222" s="103" t="s">
        <v>1004</v>
      </c>
    </row>
    <row r="223" spans="1:22" ht="13.5">
      <c r="A223" s="102">
        <v>45628.742256435187</v>
      </c>
      <c r="B223" s="103" t="s">
        <v>181</v>
      </c>
      <c r="C223" s="104" t="str">
        <f t="shared" si="33"/>
        <v>×</v>
      </c>
      <c r="D223" s="104" t="str">
        <f t="shared" si="33"/>
        <v>○</v>
      </c>
      <c r="E223" s="104" t="str">
        <f t="shared" si="33"/>
        <v>×</v>
      </c>
      <c r="F223" s="104" t="str">
        <f t="shared" si="33"/>
        <v>×</v>
      </c>
      <c r="G223" s="103" t="s">
        <v>20</v>
      </c>
      <c r="H223" s="105"/>
      <c r="I223" s="105"/>
      <c r="J223" s="103" t="s">
        <v>21</v>
      </c>
      <c r="K223" s="103" t="s">
        <v>16</v>
      </c>
      <c r="L223" s="103" t="s">
        <v>68</v>
      </c>
      <c r="M223" s="108" t="str">
        <f t="shared" si="34"/>
        <v/>
      </c>
      <c r="N223" s="108" t="str">
        <f t="shared" si="34"/>
        <v/>
      </c>
      <c r="O223" s="108" t="str">
        <f t="shared" si="34"/>
        <v/>
      </c>
      <c r="P223" s="108" t="str">
        <f t="shared" si="34"/>
        <v/>
      </c>
      <c r="Q223" s="108" t="str">
        <f t="shared" si="34"/>
        <v>○</v>
      </c>
      <c r="R223" s="103" t="str">
        <f t="shared" si="34"/>
        <v/>
      </c>
      <c r="S223" s="103" t="s">
        <v>1005</v>
      </c>
      <c r="T223" s="103" t="s">
        <v>30</v>
      </c>
      <c r="U223" s="103" t="s">
        <v>18</v>
      </c>
      <c r="V223" s="103" t="s">
        <v>1006</v>
      </c>
    </row>
    <row r="224" spans="1:22" ht="13.5">
      <c r="A224" s="102">
        <v>45628.743296284723</v>
      </c>
      <c r="B224" s="103" t="s">
        <v>181</v>
      </c>
      <c r="C224" s="104" t="str">
        <f t="shared" si="33"/>
        <v>×</v>
      </c>
      <c r="D224" s="104" t="str">
        <f t="shared" si="33"/>
        <v>○</v>
      </c>
      <c r="E224" s="104" t="str">
        <f t="shared" si="33"/>
        <v>×</v>
      </c>
      <c r="F224" s="104" t="str">
        <f t="shared" si="33"/>
        <v>×</v>
      </c>
      <c r="G224" s="103" t="s">
        <v>13</v>
      </c>
      <c r="H224" s="103" t="s">
        <v>77</v>
      </c>
      <c r="I224" s="103" t="s">
        <v>1008</v>
      </c>
      <c r="J224" s="105"/>
      <c r="K224" s="103" t="s">
        <v>34</v>
      </c>
      <c r="L224" s="105"/>
      <c r="M224" s="110" t="str">
        <f t="shared" si="34"/>
        <v/>
      </c>
      <c r="N224" s="110" t="str">
        <f t="shared" si="34"/>
        <v/>
      </c>
      <c r="O224" s="110" t="str">
        <f t="shared" si="34"/>
        <v/>
      </c>
      <c r="P224" s="110" t="str">
        <f t="shared" si="34"/>
        <v/>
      </c>
      <c r="Q224" s="110" t="str">
        <f t="shared" si="34"/>
        <v/>
      </c>
      <c r="R224" s="105" t="str">
        <f t="shared" si="34"/>
        <v/>
      </c>
      <c r="S224" s="105"/>
      <c r="T224" s="103" t="s">
        <v>30</v>
      </c>
      <c r="U224" s="103" t="s">
        <v>18</v>
      </c>
      <c r="V224" s="103" t="s">
        <v>1009</v>
      </c>
    </row>
    <row r="225" spans="1:22" ht="13.5">
      <c r="A225" s="102">
        <v>45628.747698888888</v>
      </c>
      <c r="B225" s="103" t="s">
        <v>19</v>
      </c>
      <c r="C225" s="104" t="str">
        <f t="shared" si="33"/>
        <v>×</v>
      </c>
      <c r="D225" s="104" t="str">
        <f t="shared" si="33"/>
        <v>○</v>
      </c>
      <c r="E225" s="104" t="str">
        <f t="shared" si="33"/>
        <v>×</v>
      </c>
      <c r="F225" s="104" t="str">
        <f t="shared" si="33"/>
        <v>×</v>
      </c>
      <c r="G225" s="103" t="s">
        <v>13</v>
      </c>
      <c r="H225" s="103" t="s">
        <v>32</v>
      </c>
      <c r="I225" s="103" t="s">
        <v>1013</v>
      </c>
      <c r="J225" s="105"/>
      <c r="K225" s="103" t="s">
        <v>34</v>
      </c>
      <c r="L225" s="105"/>
      <c r="M225" s="110" t="str">
        <f t="shared" si="34"/>
        <v/>
      </c>
      <c r="N225" s="110" t="str">
        <f t="shared" si="34"/>
        <v/>
      </c>
      <c r="O225" s="110" t="str">
        <f t="shared" si="34"/>
        <v/>
      </c>
      <c r="P225" s="110" t="str">
        <f t="shared" si="34"/>
        <v/>
      </c>
      <c r="Q225" s="110" t="str">
        <f t="shared" si="34"/>
        <v/>
      </c>
      <c r="R225" s="105" t="str">
        <f t="shared" si="34"/>
        <v/>
      </c>
      <c r="S225" s="105"/>
      <c r="T225" s="103" t="s">
        <v>35</v>
      </c>
      <c r="U225" s="103" t="s">
        <v>18</v>
      </c>
      <c r="V225" s="105"/>
    </row>
    <row r="226" spans="1:22" ht="13.5">
      <c r="A226" s="102">
        <v>45628.748144965277</v>
      </c>
      <c r="B226" s="103" t="s">
        <v>49</v>
      </c>
      <c r="C226" s="104" t="str">
        <f t="shared" si="33"/>
        <v>×</v>
      </c>
      <c r="D226" s="104" t="str">
        <f t="shared" si="33"/>
        <v>○</v>
      </c>
      <c r="E226" s="104" t="str">
        <f t="shared" si="33"/>
        <v>×</v>
      </c>
      <c r="F226" s="104" t="str">
        <f t="shared" si="33"/>
        <v>×</v>
      </c>
      <c r="G226" s="103" t="s">
        <v>13</v>
      </c>
      <c r="H226" s="103" t="s">
        <v>32</v>
      </c>
      <c r="I226" s="103" t="s">
        <v>1016</v>
      </c>
      <c r="J226" s="105"/>
      <c r="K226" s="103" t="s">
        <v>34</v>
      </c>
      <c r="L226" s="105"/>
      <c r="M226" s="110" t="str">
        <f t="shared" si="34"/>
        <v/>
      </c>
      <c r="N226" s="110" t="str">
        <f t="shared" si="34"/>
        <v/>
      </c>
      <c r="O226" s="110" t="str">
        <f t="shared" si="34"/>
        <v/>
      </c>
      <c r="P226" s="110" t="str">
        <f t="shared" si="34"/>
        <v/>
      </c>
      <c r="Q226" s="110" t="str">
        <f t="shared" si="34"/>
        <v/>
      </c>
      <c r="R226" s="105" t="str">
        <f t="shared" si="34"/>
        <v/>
      </c>
      <c r="S226" s="105"/>
      <c r="T226" s="103" t="s">
        <v>35</v>
      </c>
      <c r="U226" s="103" t="s">
        <v>18</v>
      </c>
      <c r="V226" s="105"/>
    </row>
    <row r="227" spans="1:22" ht="13.5">
      <c r="A227" s="102">
        <v>45628.749431805554</v>
      </c>
      <c r="B227" s="103" t="s">
        <v>181</v>
      </c>
      <c r="C227" s="104" t="str">
        <f t="shared" si="33"/>
        <v>×</v>
      </c>
      <c r="D227" s="104" t="str">
        <f t="shared" si="33"/>
        <v>○</v>
      </c>
      <c r="E227" s="104" t="str">
        <f t="shared" si="33"/>
        <v>×</v>
      </c>
      <c r="F227" s="104" t="str">
        <f t="shared" si="33"/>
        <v>×</v>
      </c>
      <c r="G227" s="103" t="s">
        <v>13</v>
      </c>
      <c r="H227" s="103" t="s">
        <v>47</v>
      </c>
      <c r="I227" s="103" t="s">
        <v>1017</v>
      </c>
      <c r="J227" s="105"/>
      <c r="K227" s="103" t="s">
        <v>34</v>
      </c>
      <c r="L227" s="105"/>
      <c r="M227" s="110" t="str">
        <f t="shared" si="34"/>
        <v/>
      </c>
      <c r="N227" s="110" t="str">
        <f t="shared" si="34"/>
        <v/>
      </c>
      <c r="O227" s="110" t="str">
        <f t="shared" si="34"/>
        <v/>
      </c>
      <c r="P227" s="110" t="str">
        <f t="shared" si="34"/>
        <v/>
      </c>
      <c r="Q227" s="110" t="str">
        <f t="shared" si="34"/>
        <v/>
      </c>
      <c r="R227" s="105" t="str">
        <f t="shared" si="34"/>
        <v/>
      </c>
      <c r="S227" s="105"/>
      <c r="T227" s="103" t="s">
        <v>30</v>
      </c>
      <c r="U227" s="103" t="s">
        <v>18</v>
      </c>
      <c r="V227" s="103" t="s">
        <v>1018</v>
      </c>
    </row>
    <row r="228" spans="1:22" ht="13.5">
      <c r="A228" s="102">
        <v>45628.75365510417</v>
      </c>
      <c r="B228" s="103" t="s">
        <v>64</v>
      </c>
      <c r="C228" s="104" t="str">
        <f t="shared" si="33"/>
        <v>○</v>
      </c>
      <c r="D228" s="104" t="str">
        <f t="shared" si="33"/>
        <v>○</v>
      </c>
      <c r="E228" s="104" t="str">
        <f t="shared" si="33"/>
        <v>×</v>
      </c>
      <c r="F228" s="104" t="str">
        <f t="shared" si="33"/>
        <v>×</v>
      </c>
      <c r="G228" s="103" t="s">
        <v>13</v>
      </c>
      <c r="H228" s="103" t="s">
        <v>27</v>
      </c>
      <c r="I228" s="103" t="s">
        <v>1019</v>
      </c>
      <c r="J228" s="105"/>
      <c r="K228" s="103" t="s">
        <v>34</v>
      </c>
      <c r="L228" s="105"/>
      <c r="M228" s="110" t="str">
        <f t="shared" si="34"/>
        <v/>
      </c>
      <c r="N228" s="110" t="str">
        <f t="shared" si="34"/>
        <v/>
      </c>
      <c r="O228" s="110" t="str">
        <f t="shared" si="34"/>
        <v/>
      </c>
      <c r="P228" s="110" t="str">
        <f t="shared" si="34"/>
        <v/>
      </c>
      <c r="Q228" s="110" t="str">
        <f t="shared" si="34"/>
        <v/>
      </c>
      <c r="R228" s="105" t="str">
        <f t="shared" si="34"/>
        <v/>
      </c>
      <c r="S228" s="105"/>
      <c r="T228" s="103" t="s">
        <v>35</v>
      </c>
      <c r="U228" s="103" t="s">
        <v>18</v>
      </c>
      <c r="V228" s="103" t="s">
        <v>1020</v>
      </c>
    </row>
    <row r="229" spans="1:22" ht="13.5">
      <c r="A229" s="102">
        <v>45628.753887071754</v>
      </c>
      <c r="B229" s="103" t="s">
        <v>41</v>
      </c>
      <c r="C229" s="104" t="str">
        <f t="shared" si="33"/>
        <v>×</v>
      </c>
      <c r="D229" s="104" t="str">
        <f t="shared" si="33"/>
        <v>○</v>
      </c>
      <c r="E229" s="104" t="str">
        <f t="shared" si="33"/>
        <v>×</v>
      </c>
      <c r="F229" s="104" t="str">
        <f t="shared" si="33"/>
        <v>×</v>
      </c>
      <c r="G229" s="103" t="s">
        <v>20</v>
      </c>
      <c r="H229" s="105"/>
      <c r="I229" s="105"/>
      <c r="J229" s="103" t="s">
        <v>38</v>
      </c>
      <c r="K229" s="103" t="s">
        <v>16</v>
      </c>
      <c r="L229" s="103" t="s">
        <v>68</v>
      </c>
      <c r="M229" s="108" t="str">
        <f t="shared" si="34"/>
        <v/>
      </c>
      <c r="N229" s="108" t="str">
        <f t="shared" si="34"/>
        <v/>
      </c>
      <c r="O229" s="108" t="str">
        <f t="shared" si="34"/>
        <v/>
      </c>
      <c r="P229" s="108" t="str">
        <f t="shared" si="34"/>
        <v/>
      </c>
      <c r="Q229" s="108" t="str">
        <f t="shared" si="34"/>
        <v>○</v>
      </c>
      <c r="R229" s="103" t="str">
        <f t="shared" si="34"/>
        <v/>
      </c>
      <c r="S229" s="103" t="s">
        <v>1021</v>
      </c>
      <c r="T229" s="103" t="s">
        <v>30</v>
      </c>
      <c r="U229" s="103" t="s">
        <v>18</v>
      </c>
      <c r="V229" s="105"/>
    </row>
    <row r="230" spans="1:22" ht="13.5">
      <c r="A230" s="102">
        <v>45628.757730358797</v>
      </c>
      <c r="B230" s="103" t="s">
        <v>19</v>
      </c>
      <c r="C230" s="104" t="str">
        <f t="shared" si="33"/>
        <v>×</v>
      </c>
      <c r="D230" s="104" t="str">
        <f t="shared" si="33"/>
        <v>○</v>
      </c>
      <c r="E230" s="104" t="str">
        <f t="shared" si="33"/>
        <v>×</v>
      </c>
      <c r="F230" s="104" t="str">
        <f t="shared" si="33"/>
        <v>×</v>
      </c>
      <c r="G230" s="103" t="s">
        <v>20</v>
      </c>
      <c r="H230" s="105"/>
      <c r="I230" s="105"/>
      <c r="J230" s="103" t="s">
        <v>1029</v>
      </c>
      <c r="K230" s="103" t="s">
        <v>16</v>
      </c>
      <c r="L230" s="103" t="s">
        <v>935</v>
      </c>
      <c r="M230" s="108" t="str">
        <f t="shared" si="34"/>
        <v/>
      </c>
      <c r="N230" s="108" t="str">
        <f t="shared" si="34"/>
        <v/>
      </c>
      <c r="O230" s="108" t="str">
        <f t="shared" si="34"/>
        <v/>
      </c>
      <c r="P230" s="108" t="str">
        <f t="shared" si="34"/>
        <v/>
      </c>
      <c r="Q230" s="108" t="str">
        <f t="shared" si="34"/>
        <v/>
      </c>
      <c r="R230" s="103" t="str">
        <f t="shared" si="34"/>
        <v/>
      </c>
      <c r="S230" s="105"/>
      <c r="T230" s="103" t="s">
        <v>61</v>
      </c>
      <c r="U230" s="103" t="s">
        <v>18</v>
      </c>
      <c r="V230" s="105"/>
    </row>
    <row r="231" spans="1:22" ht="13.5">
      <c r="A231" s="102">
        <v>45628.76016907407</v>
      </c>
      <c r="B231" s="103" t="s">
        <v>314</v>
      </c>
      <c r="C231" s="104" t="str">
        <f t="shared" si="33"/>
        <v>×</v>
      </c>
      <c r="D231" s="104" t="str">
        <f t="shared" si="33"/>
        <v>○</v>
      </c>
      <c r="E231" s="104" t="str">
        <f t="shared" si="33"/>
        <v>×</v>
      </c>
      <c r="F231" s="104" t="str">
        <f t="shared" si="33"/>
        <v>×</v>
      </c>
      <c r="G231" s="103" t="s">
        <v>20</v>
      </c>
      <c r="H231" s="105"/>
      <c r="I231" s="105"/>
      <c r="J231" s="103" t="s">
        <v>21</v>
      </c>
      <c r="K231" s="103" t="s">
        <v>16</v>
      </c>
      <c r="L231" s="103" t="s">
        <v>39</v>
      </c>
      <c r="M231" s="108" t="str">
        <f t="shared" si="34"/>
        <v/>
      </c>
      <c r="N231" s="108" t="str">
        <f t="shared" si="34"/>
        <v>○</v>
      </c>
      <c r="O231" s="108" t="str">
        <f t="shared" si="34"/>
        <v/>
      </c>
      <c r="P231" s="108" t="str">
        <f t="shared" si="34"/>
        <v/>
      </c>
      <c r="Q231" s="108" t="str">
        <f t="shared" si="34"/>
        <v/>
      </c>
      <c r="R231" s="103" t="str">
        <f t="shared" si="34"/>
        <v/>
      </c>
      <c r="S231" s="105"/>
      <c r="T231" s="103" t="s">
        <v>24</v>
      </c>
      <c r="U231" s="103" t="s">
        <v>18</v>
      </c>
      <c r="V231" s="105"/>
    </row>
    <row r="232" spans="1:22" ht="13.5">
      <c r="A232" s="102">
        <v>45628.763922465281</v>
      </c>
      <c r="B232" s="103" t="s">
        <v>49</v>
      </c>
      <c r="C232" s="104" t="str">
        <f t="shared" si="33"/>
        <v>×</v>
      </c>
      <c r="D232" s="104" t="str">
        <f t="shared" si="33"/>
        <v>○</v>
      </c>
      <c r="E232" s="104" t="str">
        <f t="shared" si="33"/>
        <v>×</v>
      </c>
      <c r="F232" s="104" t="str">
        <f t="shared" si="33"/>
        <v>×</v>
      </c>
      <c r="G232" s="103" t="s">
        <v>20</v>
      </c>
      <c r="H232" s="105"/>
      <c r="I232" s="105"/>
      <c r="J232" s="103" t="s">
        <v>21</v>
      </c>
      <c r="K232" s="103" t="s">
        <v>16</v>
      </c>
      <c r="L232" s="103" t="s">
        <v>59</v>
      </c>
      <c r="M232" s="108" t="str">
        <f t="shared" ref="M232:R241" si="35">IF(ISERROR(SEARCH(M$1,$L232)),"","○")</f>
        <v/>
      </c>
      <c r="N232" s="108" t="str">
        <f t="shared" si="35"/>
        <v/>
      </c>
      <c r="O232" s="108" t="str">
        <f t="shared" si="35"/>
        <v/>
      </c>
      <c r="P232" s="108" t="str">
        <f t="shared" si="35"/>
        <v>○</v>
      </c>
      <c r="Q232" s="108" t="str">
        <f t="shared" si="35"/>
        <v/>
      </c>
      <c r="R232" s="103" t="str">
        <f t="shared" si="35"/>
        <v/>
      </c>
      <c r="S232" s="103" t="s">
        <v>1037</v>
      </c>
      <c r="T232" s="103" t="s">
        <v>24</v>
      </c>
      <c r="U232" s="103" t="s">
        <v>18</v>
      </c>
      <c r="V232" s="105"/>
    </row>
    <row r="233" spans="1:22" ht="13.5">
      <c r="A233" s="102">
        <v>45628.766289340274</v>
      </c>
      <c r="B233" s="103" t="s">
        <v>49</v>
      </c>
      <c r="C233" s="104" t="str">
        <f t="shared" si="33"/>
        <v>×</v>
      </c>
      <c r="D233" s="104" t="str">
        <f t="shared" si="33"/>
        <v>○</v>
      </c>
      <c r="E233" s="104" t="str">
        <f t="shared" si="33"/>
        <v>×</v>
      </c>
      <c r="F233" s="104" t="str">
        <f t="shared" si="33"/>
        <v>×</v>
      </c>
      <c r="G233" s="103" t="s">
        <v>13</v>
      </c>
      <c r="H233" s="103" t="s">
        <v>27</v>
      </c>
      <c r="I233" s="103" t="s">
        <v>1038</v>
      </c>
      <c r="J233" s="105"/>
      <c r="K233" s="103" t="s">
        <v>34</v>
      </c>
      <c r="L233" s="105"/>
      <c r="M233" s="110" t="str">
        <f t="shared" si="35"/>
        <v/>
      </c>
      <c r="N233" s="110" t="str">
        <f t="shared" si="35"/>
        <v/>
      </c>
      <c r="O233" s="110" t="str">
        <f t="shared" si="35"/>
        <v/>
      </c>
      <c r="P233" s="110" t="str">
        <f t="shared" si="35"/>
        <v/>
      </c>
      <c r="Q233" s="110" t="str">
        <f t="shared" si="35"/>
        <v/>
      </c>
      <c r="R233" s="105" t="str">
        <f t="shared" si="35"/>
        <v/>
      </c>
      <c r="S233" s="105"/>
      <c r="T233" s="103" t="s">
        <v>30</v>
      </c>
      <c r="U233" s="103" t="s">
        <v>18</v>
      </c>
      <c r="V233" s="105"/>
    </row>
    <row r="234" spans="1:22" ht="13.5">
      <c r="A234" s="102">
        <v>45628.76760284722</v>
      </c>
      <c r="B234" s="103" t="s">
        <v>41</v>
      </c>
      <c r="C234" s="104" t="str">
        <f t="shared" si="33"/>
        <v>×</v>
      </c>
      <c r="D234" s="104" t="str">
        <f t="shared" si="33"/>
        <v>○</v>
      </c>
      <c r="E234" s="104" t="str">
        <f t="shared" si="33"/>
        <v>×</v>
      </c>
      <c r="F234" s="104" t="str">
        <f t="shared" si="33"/>
        <v>×</v>
      </c>
      <c r="G234" s="103" t="s">
        <v>20</v>
      </c>
      <c r="H234" s="105"/>
      <c r="I234" s="105"/>
      <c r="J234" s="103" t="s">
        <v>38</v>
      </c>
      <c r="K234" s="103" t="s">
        <v>16</v>
      </c>
      <c r="L234" s="103" t="s">
        <v>1039</v>
      </c>
      <c r="M234" s="108" t="str">
        <f t="shared" si="35"/>
        <v/>
      </c>
      <c r="N234" s="108" t="str">
        <f t="shared" si="35"/>
        <v/>
      </c>
      <c r="O234" s="108" t="str">
        <f t="shared" si="35"/>
        <v/>
      </c>
      <c r="P234" s="108" t="str">
        <f t="shared" si="35"/>
        <v/>
      </c>
      <c r="Q234" s="108" t="str">
        <f t="shared" si="35"/>
        <v/>
      </c>
      <c r="R234" s="103" t="str">
        <f t="shared" si="35"/>
        <v/>
      </c>
      <c r="S234" s="105"/>
      <c r="T234" s="103" t="s">
        <v>35</v>
      </c>
      <c r="U234" s="103" t="s">
        <v>18</v>
      </c>
      <c r="V234" s="103" t="s">
        <v>1040</v>
      </c>
    </row>
    <row r="235" spans="1:22" ht="13.5">
      <c r="A235" s="102">
        <v>45628.772912395834</v>
      </c>
      <c r="B235" s="103" t="s">
        <v>49</v>
      </c>
      <c r="C235" s="104" t="str">
        <f t="shared" si="33"/>
        <v>×</v>
      </c>
      <c r="D235" s="104" t="str">
        <f t="shared" si="33"/>
        <v>○</v>
      </c>
      <c r="E235" s="104" t="str">
        <f t="shared" si="33"/>
        <v>×</v>
      </c>
      <c r="F235" s="104" t="str">
        <f t="shared" si="33"/>
        <v>×</v>
      </c>
      <c r="G235" s="103" t="s">
        <v>13</v>
      </c>
      <c r="H235" s="103" t="s">
        <v>27</v>
      </c>
      <c r="I235" s="103" t="s">
        <v>1049</v>
      </c>
      <c r="J235" s="105"/>
      <c r="K235" s="103" t="s">
        <v>34</v>
      </c>
      <c r="L235" s="105"/>
      <c r="M235" s="110" t="str">
        <f t="shared" si="35"/>
        <v/>
      </c>
      <c r="N235" s="110" t="str">
        <f t="shared" si="35"/>
        <v/>
      </c>
      <c r="O235" s="110" t="str">
        <f t="shared" si="35"/>
        <v/>
      </c>
      <c r="P235" s="110" t="str">
        <f t="shared" si="35"/>
        <v/>
      </c>
      <c r="Q235" s="110" t="str">
        <f t="shared" si="35"/>
        <v/>
      </c>
      <c r="R235" s="105" t="str">
        <f t="shared" si="35"/>
        <v/>
      </c>
      <c r="S235" s="105"/>
      <c r="T235" s="103" t="s">
        <v>61</v>
      </c>
      <c r="U235" s="103" t="s">
        <v>18</v>
      </c>
      <c r="V235" s="103" t="s">
        <v>1050</v>
      </c>
    </row>
    <row r="236" spans="1:22" ht="13.5">
      <c r="A236" s="102">
        <v>45628.787830381945</v>
      </c>
      <c r="B236" s="103" t="s">
        <v>1060</v>
      </c>
      <c r="C236" s="104" t="str">
        <f t="shared" si="33"/>
        <v>×</v>
      </c>
      <c r="D236" s="104" t="str">
        <f t="shared" si="33"/>
        <v>○</v>
      </c>
      <c r="E236" s="104" t="str">
        <f t="shared" si="33"/>
        <v>×</v>
      </c>
      <c r="F236" s="104" t="str">
        <f t="shared" si="33"/>
        <v>×</v>
      </c>
      <c r="G236" s="103" t="s">
        <v>20</v>
      </c>
      <c r="H236" s="105"/>
      <c r="I236" s="105"/>
      <c r="J236" s="103" t="s">
        <v>21</v>
      </c>
      <c r="K236" s="103" t="s">
        <v>16</v>
      </c>
      <c r="L236" s="103" t="s">
        <v>88</v>
      </c>
      <c r="M236" s="108" t="str">
        <f t="shared" si="35"/>
        <v/>
      </c>
      <c r="N236" s="108" t="str">
        <f t="shared" si="35"/>
        <v>○</v>
      </c>
      <c r="O236" s="108" t="str">
        <f t="shared" si="35"/>
        <v/>
      </c>
      <c r="P236" s="108" t="str">
        <f t="shared" si="35"/>
        <v/>
      </c>
      <c r="Q236" s="108" t="str">
        <f t="shared" si="35"/>
        <v>○</v>
      </c>
      <c r="R236" s="103" t="str">
        <f t="shared" si="35"/>
        <v/>
      </c>
      <c r="S236" s="105"/>
      <c r="T236" s="103" t="s">
        <v>35</v>
      </c>
      <c r="U236" s="103" t="s">
        <v>18</v>
      </c>
      <c r="V236" s="105"/>
    </row>
    <row r="237" spans="1:22" ht="13.5">
      <c r="A237" s="102">
        <v>45628.791470972224</v>
      </c>
      <c r="B237" s="103" t="s">
        <v>90</v>
      </c>
      <c r="C237" s="104" t="str">
        <f t="shared" si="33"/>
        <v>×</v>
      </c>
      <c r="D237" s="104" t="str">
        <f t="shared" si="33"/>
        <v>×</v>
      </c>
      <c r="E237" s="104" t="str">
        <f t="shared" si="33"/>
        <v>○</v>
      </c>
      <c r="F237" s="104" t="str">
        <f t="shared" si="33"/>
        <v>×</v>
      </c>
      <c r="G237" s="103" t="s">
        <v>13</v>
      </c>
      <c r="H237" s="103" t="s">
        <v>32</v>
      </c>
      <c r="I237" s="103" t="s">
        <v>1064</v>
      </c>
      <c r="J237" s="105"/>
      <c r="K237" s="103" t="s">
        <v>34</v>
      </c>
      <c r="L237" s="105"/>
      <c r="M237" s="110" t="str">
        <f t="shared" si="35"/>
        <v/>
      </c>
      <c r="N237" s="110" t="str">
        <f t="shared" si="35"/>
        <v/>
      </c>
      <c r="O237" s="110" t="str">
        <f t="shared" si="35"/>
        <v/>
      </c>
      <c r="P237" s="110" t="str">
        <f t="shared" si="35"/>
        <v/>
      </c>
      <c r="Q237" s="110" t="str">
        <f t="shared" si="35"/>
        <v/>
      </c>
      <c r="R237" s="105" t="str">
        <f t="shared" si="35"/>
        <v/>
      </c>
      <c r="S237" s="105"/>
      <c r="T237" s="103" t="s">
        <v>30</v>
      </c>
      <c r="U237" s="103" t="s">
        <v>18</v>
      </c>
      <c r="V237" s="105"/>
    </row>
    <row r="238" spans="1:22" ht="13.5">
      <c r="A238" s="102">
        <v>45628.799817766208</v>
      </c>
      <c r="B238" s="103" t="s">
        <v>315</v>
      </c>
      <c r="C238" s="104" t="str">
        <f t="shared" si="33"/>
        <v>×</v>
      </c>
      <c r="D238" s="104" t="str">
        <f t="shared" si="33"/>
        <v>○</v>
      </c>
      <c r="E238" s="104" t="str">
        <f t="shared" si="33"/>
        <v>×</v>
      </c>
      <c r="F238" s="104" t="str">
        <f t="shared" si="33"/>
        <v>×</v>
      </c>
      <c r="G238" s="103" t="s">
        <v>13</v>
      </c>
      <c r="H238" s="103" t="s">
        <v>27</v>
      </c>
      <c r="I238" s="103" t="s">
        <v>1070</v>
      </c>
      <c r="J238" s="105"/>
      <c r="K238" s="103" t="s">
        <v>34</v>
      </c>
      <c r="L238" s="105"/>
      <c r="M238" s="110" t="str">
        <f t="shared" si="35"/>
        <v/>
      </c>
      <c r="N238" s="110" t="str">
        <f t="shared" si="35"/>
        <v/>
      </c>
      <c r="O238" s="110" t="str">
        <f t="shared" si="35"/>
        <v/>
      </c>
      <c r="P238" s="110" t="str">
        <f t="shared" si="35"/>
        <v/>
      </c>
      <c r="Q238" s="110" t="str">
        <f t="shared" si="35"/>
        <v/>
      </c>
      <c r="R238" s="105" t="str">
        <f t="shared" si="35"/>
        <v/>
      </c>
      <c r="S238" s="105"/>
      <c r="T238" s="103" t="s">
        <v>30</v>
      </c>
      <c r="U238" s="103" t="s">
        <v>18</v>
      </c>
      <c r="V238" s="105"/>
    </row>
    <row r="239" spans="1:22" ht="13.5">
      <c r="A239" s="102">
        <v>45628.811931331016</v>
      </c>
      <c r="B239" s="103" t="s">
        <v>90</v>
      </c>
      <c r="C239" s="104" t="str">
        <f t="shared" si="33"/>
        <v>×</v>
      </c>
      <c r="D239" s="104" t="str">
        <f t="shared" si="33"/>
        <v>×</v>
      </c>
      <c r="E239" s="104" t="str">
        <f t="shared" si="33"/>
        <v>○</v>
      </c>
      <c r="F239" s="104" t="str">
        <f t="shared" si="33"/>
        <v>×</v>
      </c>
      <c r="G239" s="103" t="s">
        <v>20</v>
      </c>
      <c r="H239" s="105"/>
      <c r="I239" s="105"/>
      <c r="J239" s="103" t="s">
        <v>58</v>
      </c>
      <c r="K239" s="103" t="s">
        <v>16</v>
      </c>
      <c r="L239" s="103" t="s">
        <v>68</v>
      </c>
      <c r="M239" s="108" t="str">
        <f t="shared" si="35"/>
        <v/>
      </c>
      <c r="N239" s="108" t="str">
        <f t="shared" si="35"/>
        <v/>
      </c>
      <c r="O239" s="108" t="str">
        <f t="shared" si="35"/>
        <v/>
      </c>
      <c r="P239" s="108" t="str">
        <f t="shared" si="35"/>
        <v/>
      </c>
      <c r="Q239" s="108" t="str">
        <f t="shared" si="35"/>
        <v>○</v>
      </c>
      <c r="R239" s="103" t="str">
        <f t="shared" si="35"/>
        <v/>
      </c>
      <c r="S239" s="103" t="s">
        <v>1079</v>
      </c>
      <c r="T239" s="103" t="s">
        <v>30</v>
      </c>
      <c r="U239" s="103" t="s">
        <v>18</v>
      </c>
      <c r="V239" s="105"/>
    </row>
    <row r="240" spans="1:22" ht="13.5">
      <c r="A240" s="102">
        <v>45628.811979050923</v>
      </c>
      <c r="B240" s="103" t="s">
        <v>181</v>
      </c>
      <c r="C240" s="104" t="str">
        <f t="shared" si="33"/>
        <v>×</v>
      </c>
      <c r="D240" s="104" t="str">
        <f t="shared" si="33"/>
        <v>○</v>
      </c>
      <c r="E240" s="104" t="str">
        <f t="shared" si="33"/>
        <v>×</v>
      </c>
      <c r="F240" s="104" t="str">
        <f t="shared" si="33"/>
        <v>×</v>
      </c>
      <c r="G240" s="103" t="s">
        <v>13</v>
      </c>
      <c r="H240" s="103" t="s">
        <v>47</v>
      </c>
      <c r="I240" s="103" t="s">
        <v>1080</v>
      </c>
      <c r="J240" s="105"/>
      <c r="K240" s="103" t="s">
        <v>34</v>
      </c>
      <c r="L240" s="105"/>
      <c r="M240" s="110" t="str">
        <f t="shared" si="35"/>
        <v/>
      </c>
      <c r="N240" s="110" t="str">
        <f t="shared" si="35"/>
        <v/>
      </c>
      <c r="O240" s="110" t="str">
        <f t="shared" si="35"/>
        <v/>
      </c>
      <c r="P240" s="110" t="str">
        <f t="shared" si="35"/>
        <v/>
      </c>
      <c r="Q240" s="110" t="str">
        <f t="shared" si="35"/>
        <v/>
      </c>
      <c r="R240" s="105" t="str">
        <f t="shared" si="35"/>
        <v/>
      </c>
      <c r="S240" s="105"/>
      <c r="T240" s="103" t="s">
        <v>24</v>
      </c>
      <c r="U240" s="103" t="s">
        <v>18</v>
      </c>
      <c r="V240" s="105"/>
    </row>
    <row r="241" spans="1:22" ht="13.5">
      <c r="A241" s="102">
        <v>45628.813003599542</v>
      </c>
      <c r="B241" s="103" t="s">
        <v>315</v>
      </c>
      <c r="C241" s="104" t="str">
        <f t="shared" si="33"/>
        <v>×</v>
      </c>
      <c r="D241" s="104" t="str">
        <f t="shared" si="33"/>
        <v>○</v>
      </c>
      <c r="E241" s="104" t="str">
        <f t="shared" si="33"/>
        <v>×</v>
      </c>
      <c r="F241" s="104" t="str">
        <f t="shared" si="33"/>
        <v>×</v>
      </c>
      <c r="G241" s="103" t="s">
        <v>13</v>
      </c>
      <c r="H241" s="103" t="s">
        <v>32</v>
      </c>
      <c r="I241" s="103" t="s">
        <v>1085</v>
      </c>
      <c r="J241" s="105"/>
      <c r="K241" s="103" t="s">
        <v>34</v>
      </c>
      <c r="L241" s="105"/>
      <c r="M241" s="110" t="str">
        <f t="shared" si="35"/>
        <v/>
      </c>
      <c r="N241" s="110" t="str">
        <f t="shared" si="35"/>
        <v/>
      </c>
      <c r="O241" s="110" t="str">
        <f t="shared" si="35"/>
        <v/>
      </c>
      <c r="P241" s="110" t="str">
        <f t="shared" si="35"/>
        <v/>
      </c>
      <c r="Q241" s="110" t="str">
        <f t="shared" si="35"/>
        <v/>
      </c>
      <c r="R241" s="105" t="str">
        <f t="shared" si="35"/>
        <v/>
      </c>
      <c r="S241" s="105"/>
      <c r="T241" s="103" t="s">
        <v>61</v>
      </c>
      <c r="U241" s="103" t="s">
        <v>18</v>
      </c>
      <c r="V241" s="105"/>
    </row>
    <row r="242" spans="1:22" ht="13.5">
      <c r="A242" s="102">
        <v>45628.816282025466</v>
      </c>
      <c r="B242" s="103" t="s">
        <v>164</v>
      </c>
      <c r="C242" s="104" t="str">
        <f t="shared" ref="C242:F261" si="36">IF(ISERROR(FIND(C$1,$B242)),"×","○")</f>
        <v>×</v>
      </c>
      <c r="D242" s="104" t="str">
        <f t="shared" si="36"/>
        <v>○</v>
      </c>
      <c r="E242" s="104" t="str">
        <f t="shared" si="36"/>
        <v>×</v>
      </c>
      <c r="F242" s="104" t="str">
        <f t="shared" si="36"/>
        <v>×</v>
      </c>
      <c r="G242" s="103" t="s">
        <v>20</v>
      </c>
      <c r="H242" s="105"/>
      <c r="I242" s="105"/>
      <c r="J242" s="103" t="s">
        <v>1089</v>
      </c>
      <c r="K242" s="103" t="s">
        <v>16</v>
      </c>
      <c r="L242" s="103" t="s">
        <v>68</v>
      </c>
      <c r="M242" s="108" t="str">
        <f t="shared" ref="M242:R251" si="37">IF(ISERROR(SEARCH(M$1,$L242)),"","○")</f>
        <v/>
      </c>
      <c r="N242" s="108" t="str">
        <f t="shared" si="37"/>
        <v/>
      </c>
      <c r="O242" s="108" t="str">
        <f t="shared" si="37"/>
        <v/>
      </c>
      <c r="P242" s="108" t="str">
        <f t="shared" si="37"/>
        <v/>
      </c>
      <c r="Q242" s="108" t="str">
        <f t="shared" si="37"/>
        <v>○</v>
      </c>
      <c r="R242" s="103" t="str">
        <f t="shared" si="37"/>
        <v/>
      </c>
      <c r="S242" s="103" t="s">
        <v>1090</v>
      </c>
      <c r="T242" s="103" t="s">
        <v>30</v>
      </c>
      <c r="U242" s="103" t="s">
        <v>18</v>
      </c>
      <c r="V242" s="103" t="s">
        <v>1091</v>
      </c>
    </row>
    <row r="243" spans="1:22" ht="13.5">
      <c r="A243" s="102">
        <v>45628.821836296294</v>
      </c>
      <c r="B243" s="103" t="s">
        <v>1075</v>
      </c>
      <c r="C243" s="104" t="str">
        <f t="shared" si="36"/>
        <v>×</v>
      </c>
      <c r="D243" s="104" t="str">
        <f t="shared" si="36"/>
        <v>○</v>
      </c>
      <c r="E243" s="104" t="str">
        <f t="shared" si="36"/>
        <v>×</v>
      </c>
      <c r="F243" s="104" t="str">
        <f t="shared" si="36"/>
        <v>×</v>
      </c>
      <c r="G243" s="103" t="s">
        <v>13</v>
      </c>
      <c r="H243" s="103" t="s">
        <v>32</v>
      </c>
      <c r="I243" s="103" t="s">
        <v>1093</v>
      </c>
      <c r="J243" s="105"/>
      <c r="K243" s="103" t="s">
        <v>34</v>
      </c>
      <c r="L243" s="105"/>
      <c r="M243" s="110" t="str">
        <f t="shared" si="37"/>
        <v/>
      </c>
      <c r="N243" s="110" t="str">
        <f t="shared" si="37"/>
        <v/>
      </c>
      <c r="O243" s="110" t="str">
        <f t="shared" si="37"/>
        <v/>
      </c>
      <c r="P243" s="110" t="str">
        <f t="shared" si="37"/>
        <v/>
      </c>
      <c r="Q243" s="110" t="str">
        <f t="shared" si="37"/>
        <v/>
      </c>
      <c r="R243" s="105" t="str">
        <f t="shared" si="37"/>
        <v/>
      </c>
      <c r="S243" s="105"/>
      <c r="T243" s="103" t="s">
        <v>35</v>
      </c>
      <c r="U243" s="103" t="s">
        <v>18</v>
      </c>
      <c r="V243" s="105"/>
    </row>
    <row r="244" spans="1:22" ht="13.5">
      <c r="A244" s="102">
        <v>45628.822211192135</v>
      </c>
      <c r="B244" s="103" t="s">
        <v>407</v>
      </c>
      <c r="C244" s="104" t="str">
        <f t="shared" si="36"/>
        <v>×</v>
      </c>
      <c r="D244" s="104" t="str">
        <f t="shared" si="36"/>
        <v>○</v>
      </c>
      <c r="E244" s="104" t="str">
        <f t="shared" si="36"/>
        <v>○</v>
      </c>
      <c r="F244" s="104" t="str">
        <f t="shared" si="36"/>
        <v>×</v>
      </c>
      <c r="G244" s="103" t="s">
        <v>13</v>
      </c>
      <c r="H244" s="103" t="s">
        <v>32</v>
      </c>
      <c r="I244" s="103" t="s">
        <v>1094</v>
      </c>
      <c r="J244" s="105"/>
      <c r="K244" s="103" t="s">
        <v>16</v>
      </c>
      <c r="L244" s="103" t="s">
        <v>107</v>
      </c>
      <c r="M244" s="108" t="str">
        <f t="shared" si="37"/>
        <v/>
      </c>
      <c r="N244" s="108" t="str">
        <f t="shared" si="37"/>
        <v/>
      </c>
      <c r="O244" s="108" t="str">
        <f t="shared" si="37"/>
        <v>○</v>
      </c>
      <c r="P244" s="108" t="str">
        <f t="shared" si="37"/>
        <v/>
      </c>
      <c r="Q244" s="108" t="str">
        <f t="shared" si="37"/>
        <v/>
      </c>
      <c r="R244" s="103" t="str">
        <f t="shared" si="37"/>
        <v/>
      </c>
      <c r="S244" s="105"/>
      <c r="T244" s="103" t="s">
        <v>35</v>
      </c>
      <c r="U244" s="103" t="s">
        <v>18</v>
      </c>
      <c r="V244" s="105"/>
    </row>
    <row r="245" spans="1:22" ht="13.5">
      <c r="A245" s="102">
        <v>45628.823297071758</v>
      </c>
      <c r="B245" s="103" t="s">
        <v>888</v>
      </c>
      <c r="C245" s="104" t="str">
        <f t="shared" si="36"/>
        <v>○</v>
      </c>
      <c r="D245" s="104" t="str">
        <f t="shared" si="36"/>
        <v>×</v>
      </c>
      <c r="E245" s="104" t="str">
        <f t="shared" si="36"/>
        <v>○</v>
      </c>
      <c r="F245" s="104" t="str">
        <f t="shared" si="36"/>
        <v>×</v>
      </c>
      <c r="G245" s="103" t="s">
        <v>13</v>
      </c>
      <c r="H245" s="103" t="s">
        <v>27</v>
      </c>
      <c r="I245" s="103" t="s">
        <v>1100</v>
      </c>
      <c r="J245" s="105"/>
      <c r="K245" s="103" t="s">
        <v>34</v>
      </c>
      <c r="L245" s="105"/>
      <c r="M245" s="110" t="str">
        <f t="shared" si="37"/>
        <v/>
      </c>
      <c r="N245" s="110" t="str">
        <f t="shared" si="37"/>
        <v/>
      </c>
      <c r="O245" s="110" t="str">
        <f t="shared" si="37"/>
        <v/>
      </c>
      <c r="P245" s="110" t="str">
        <f t="shared" si="37"/>
        <v/>
      </c>
      <c r="Q245" s="110" t="str">
        <f t="shared" si="37"/>
        <v/>
      </c>
      <c r="R245" s="105" t="str">
        <f t="shared" si="37"/>
        <v/>
      </c>
      <c r="S245" s="105"/>
      <c r="T245" s="103" t="s">
        <v>35</v>
      </c>
      <c r="U245" s="103" t="s">
        <v>18</v>
      </c>
      <c r="V245" s="105"/>
    </row>
    <row r="246" spans="1:22" ht="13.5">
      <c r="A246" s="102">
        <v>45628.82389728009</v>
      </c>
      <c r="B246" s="103" t="s">
        <v>105</v>
      </c>
      <c r="C246" s="104" t="str">
        <f t="shared" si="36"/>
        <v>×</v>
      </c>
      <c r="D246" s="104" t="str">
        <f t="shared" si="36"/>
        <v>×</v>
      </c>
      <c r="E246" s="104" t="str">
        <f t="shared" si="36"/>
        <v>○</v>
      </c>
      <c r="F246" s="104" t="str">
        <f t="shared" si="36"/>
        <v>×</v>
      </c>
      <c r="G246" s="103" t="s">
        <v>13</v>
      </c>
      <c r="H246" s="103" t="s">
        <v>77</v>
      </c>
      <c r="I246" s="103" t="s">
        <v>1101</v>
      </c>
      <c r="J246" s="105"/>
      <c r="K246" s="103" t="s">
        <v>34</v>
      </c>
      <c r="L246" s="105"/>
      <c r="M246" s="110" t="str">
        <f t="shared" si="37"/>
        <v/>
      </c>
      <c r="N246" s="110" t="str">
        <f t="shared" si="37"/>
        <v/>
      </c>
      <c r="O246" s="110" t="str">
        <f t="shared" si="37"/>
        <v/>
      </c>
      <c r="P246" s="110" t="str">
        <f t="shared" si="37"/>
        <v/>
      </c>
      <c r="Q246" s="110" t="str">
        <f t="shared" si="37"/>
        <v/>
      </c>
      <c r="R246" s="105" t="str">
        <f t="shared" si="37"/>
        <v/>
      </c>
      <c r="S246" s="105"/>
      <c r="T246" s="103" t="s">
        <v>30</v>
      </c>
      <c r="U246" s="103" t="s">
        <v>18</v>
      </c>
      <c r="V246" s="103" t="s">
        <v>1102</v>
      </c>
    </row>
    <row r="247" spans="1:22" ht="13.5">
      <c r="A247" s="102">
        <v>45628.824148530097</v>
      </c>
      <c r="B247" s="103" t="s">
        <v>164</v>
      </c>
      <c r="C247" s="104" t="str">
        <f t="shared" si="36"/>
        <v>×</v>
      </c>
      <c r="D247" s="104" t="str">
        <f t="shared" si="36"/>
        <v>○</v>
      </c>
      <c r="E247" s="104" t="str">
        <f t="shared" si="36"/>
        <v>×</v>
      </c>
      <c r="F247" s="104" t="str">
        <f t="shared" si="36"/>
        <v>×</v>
      </c>
      <c r="G247" s="103" t="s">
        <v>20</v>
      </c>
      <c r="H247" s="105"/>
      <c r="I247" s="105"/>
      <c r="J247" s="103" t="s">
        <v>38</v>
      </c>
      <c r="K247" s="103" t="s">
        <v>16</v>
      </c>
      <c r="L247" s="103" t="s">
        <v>39</v>
      </c>
      <c r="M247" s="108" t="str">
        <f t="shared" si="37"/>
        <v/>
      </c>
      <c r="N247" s="108" t="str">
        <f t="shared" si="37"/>
        <v>○</v>
      </c>
      <c r="O247" s="108" t="str">
        <f t="shared" si="37"/>
        <v/>
      </c>
      <c r="P247" s="108" t="str">
        <f t="shared" si="37"/>
        <v/>
      </c>
      <c r="Q247" s="108" t="str">
        <f t="shared" si="37"/>
        <v/>
      </c>
      <c r="R247" s="103" t="str">
        <f t="shared" si="37"/>
        <v/>
      </c>
      <c r="S247" s="105"/>
      <c r="T247" s="103" t="s">
        <v>30</v>
      </c>
      <c r="U247" s="103" t="s">
        <v>18</v>
      </c>
      <c r="V247" s="105"/>
    </row>
    <row r="248" spans="1:22" ht="13.5">
      <c r="A248" s="102">
        <v>45628.826163923615</v>
      </c>
      <c r="B248" s="103" t="s">
        <v>93</v>
      </c>
      <c r="C248" s="104" t="str">
        <f t="shared" si="36"/>
        <v>×</v>
      </c>
      <c r="D248" s="104" t="str">
        <f t="shared" si="36"/>
        <v>×</v>
      </c>
      <c r="E248" s="104" t="str">
        <f t="shared" si="36"/>
        <v>○</v>
      </c>
      <c r="F248" s="104" t="str">
        <f t="shared" si="36"/>
        <v>×</v>
      </c>
      <c r="G248" s="103" t="s">
        <v>20</v>
      </c>
      <c r="H248" s="105"/>
      <c r="I248" s="105"/>
      <c r="J248" s="103" t="s">
        <v>58</v>
      </c>
      <c r="K248" s="103" t="s">
        <v>16</v>
      </c>
      <c r="L248" s="103" t="s">
        <v>255</v>
      </c>
      <c r="M248" s="108" t="str">
        <f t="shared" si="37"/>
        <v/>
      </c>
      <c r="N248" s="108" t="str">
        <f t="shared" si="37"/>
        <v>○</v>
      </c>
      <c r="O248" s="108" t="str">
        <f t="shared" si="37"/>
        <v/>
      </c>
      <c r="P248" s="108" t="str">
        <f t="shared" si="37"/>
        <v>○</v>
      </c>
      <c r="Q248" s="108" t="str">
        <f t="shared" si="37"/>
        <v/>
      </c>
      <c r="R248" s="103" t="str">
        <f t="shared" si="37"/>
        <v/>
      </c>
      <c r="S248" s="103" t="s">
        <v>1108</v>
      </c>
      <c r="T248" s="103" t="s">
        <v>30</v>
      </c>
      <c r="U248" s="103" t="s">
        <v>18</v>
      </c>
      <c r="V248" s="105"/>
    </row>
    <row r="249" spans="1:22" ht="13.5">
      <c r="A249" s="102">
        <v>45628.826704930558</v>
      </c>
      <c r="B249" s="103" t="s">
        <v>217</v>
      </c>
      <c r="C249" s="104" t="str">
        <f t="shared" si="36"/>
        <v>○</v>
      </c>
      <c r="D249" s="104" t="str">
        <f t="shared" si="36"/>
        <v>○</v>
      </c>
      <c r="E249" s="104" t="str">
        <f t="shared" si="36"/>
        <v>×</v>
      </c>
      <c r="F249" s="104" t="str">
        <f t="shared" si="36"/>
        <v>×</v>
      </c>
      <c r="G249" s="103" t="s">
        <v>13</v>
      </c>
      <c r="H249" s="103" t="s">
        <v>14</v>
      </c>
      <c r="I249" s="103" t="s">
        <v>1112</v>
      </c>
      <c r="J249" s="105"/>
      <c r="K249" s="103" t="s">
        <v>34</v>
      </c>
      <c r="L249" s="105"/>
      <c r="M249" s="110" t="str">
        <f t="shared" si="37"/>
        <v/>
      </c>
      <c r="N249" s="110" t="str">
        <f t="shared" si="37"/>
        <v/>
      </c>
      <c r="O249" s="110" t="str">
        <f t="shared" si="37"/>
        <v/>
      </c>
      <c r="P249" s="110" t="str">
        <f t="shared" si="37"/>
        <v/>
      </c>
      <c r="Q249" s="110" t="str">
        <f t="shared" si="37"/>
        <v/>
      </c>
      <c r="R249" s="105" t="str">
        <f t="shared" si="37"/>
        <v/>
      </c>
      <c r="S249" s="105"/>
      <c r="T249" s="103" t="s">
        <v>35</v>
      </c>
      <c r="U249" s="103" t="s">
        <v>18</v>
      </c>
      <c r="V249" s="105"/>
    </row>
    <row r="250" spans="1:22" ht="13.5">
      <c r="A250" s="102">
        <v>45628.827394108797</v>
      </c>
      <c r="B250" s="103" t="s">
        <v>41</v>
      </c>
      <c r="C250" s="104" t="str">
        <f t="shared" si="36"/>
        <v>×</v>
      </c>
      <c r="D250" s="104" t="str">
        <f t="shared" si="36"/>
        <v>○</v>
      </c>
      <c r="E250" s="104" t="str">
        <f t="shared" si="36"/>
        <v>×</v>
      </c>
      <c r="F250" s="104" t="str">
        <f t="shared" si="36"/>
        <v>×</v>
      </c>
      <c r="G250" s="103" t="s">
        <v>13</v>
      </c>
      <c r="H250" s="103" t="s">
        <v>27</v>
      </c>
      <c r="I250" s="103" t="s">
        <v>229</v>
      </c>
      <c r="J250" s="105"/>
      <c r="K250" s="103" t="s">
        <v>34</v>
      </c>
      <c r="L250" s="105"/>
      <c r="M250" s="110" t="str">
        <f t="shared" si="37"/>
        <v/>
      </c>
      <c r="N250" s="110" t="str">
        <f t="shared" si="37"/>
        <v/>
      </c>
      <c r="O250" s="110" t="str">
        <f t="shared" si="37"/>
        <v/>
      </c>
      <c r="P250" s="110" t="str">
        <f t="shared" si="37"/>
        <v/>
      </c>
      <c r="Q250" s="110" t="str">
        <f t="shared" si="37"/>
        <v/>
      </c>
      <c r="R250" s="105" t="str">
        <f t="shared" si="37"/>
        <v/>
      </c>
      <c r="S250" s="105"/>
      <c r="T250" s="103" t="s">
        <v>35</v>
      </c>
      <c r="U250" s="103" t="s">
        <v>18</v>
      </c>
      <c r="V250" s="105"/>
    </row>
    <row r="251" spans="1:22" ht="13.5">
      <c r="A251" s="102">
        <v>45628.834985532405</v>
      </c>
      <c r="B251" s="103" t="s">
        <v>164</v>
      </c>
      <c r="C251" s="104" t="str">
        <f t="shared" si="36"/>
        <v>×</v>
      </c>
      <c r="D251" s="104" t="str">
        <f t="shared" si="36"/>
        <v>○</v>
      </c>
      <c r="E251" s="104" t="str">
        <f t="shared" si="36"/>
        <v>×</v>
      </c>
      <c r="F251" s="104" t="str">
        <f t="shared" si="36"/>
        <v>×</v>
      </c>
      <c r="G251" s="103" t="s">
        <v>13</v>
      </c>
      <c r="H251" s="103" t="s">
        <v>27</v>
      </c>
      <c r="I251" s="103" t="s">
        <v>1127</v>
      </c>
      <c r="J251" s="105"/>
      <c r="K251" s="103" t="s">
        <v>34</v>
      </c>
      <c r="L251" s="105"/>
      <c r="M251" s="110" t="str">
        <f t="shared" si="37"/>
        <v/>
      </c>
      <c r="N251" s="110" t="str">
        <f t="shared" si="37"/>
        <v/>
      </c>
      <c r="O251" s="110" t="str">
        <f t="shared" si="37"/>
        <v/>
      </c>
      <c r="P251" s="110" t="str">
        <f t="shared" si="37"/>
        <v/>
      </c>
      <c r="Q251" s="110" t="str">
        <f t="shared" si="37"/>
        <v/>
      </c>
      <c r="R251" s="105" t="str">
        <f t="shared" si="37"/>
        <v/>
      </c>
      <c r="S251" s="105"/>
      <c r="T251" s="103" t="s">
        <v>1128</v>
      </c>
      <c r="U251" s="103" t="s">
        <v>18</v>
      </c>
      <c r="V251" s="105"/>
    </row>
    <row r="252" spans="1:22" ht="13.5">
      <c r="A252" s="102">
        <v>45628.836439675928</v>
      </c>
      <c r="B252" s="103" t="s">
        <v>19</v>
      </c>
      <c r="C252" s="104" t="str">
        <f t="shared" si="36"/>
        <v>×</v>
      </c>
      <c r="D252" s="104" t="str">
        <f t="shared" si="36"/>
        <v>○</v>
      </c>
      <c r="E252" s="104" t="str">
        <f t="shared" si="36"/>
        <v>×</v>
      </c>
      <c r="F252" s="104" t="str">
        <f t="shared" si="36"/>
        <v>×</v>
      </c>
      <c r="G252" s="103" t="s">
        <v>20</v>
      </c>
      <c r="H252" s="105"/>
      <c r="I252" s="105"/>
      <c r="J252" s="103" t="s">
        <v>58</v>
      </c>
      <c r="K252" s="103" t="s">
        <v>16</v>
      </c>
      <c r="L252" s="103" t="s">
        <v>39</v>
      </c>
      <c r="M252" s="108" t="str">
        <f t="shared" ref="M252:R261" si="38">IF(ISERROR(SEARCH(M$1,$L252)),"","○")</f>
        <v/>
      </c>
      <c r="N252" s="108" t="str">
        <f t="shared" si="38"/>
        <v>○</v>
      </c>
      <c r="O252" s="108" t="str">
        <f t="shared" si="38"/>
        <v/>
      </c>
      <c r="P252" s="108" t="str">
        <f t="shared" si="38"/>
        <v/>
      </c>
      <c r="Q252" s="108" t="str">
        <f t="shared" si="38"/>
        <v/>
      </c>
      <c r="R252" s="103" t="str">
        <f t="shared" si="38"/>
        <v/>
      </c>
      <c r="S252" s="105"/>
      <c r="T252" s="103" t="s">
        <v>30</v>
      </c>
      <c r="U252" s="103" t="s">
        <v>18</v>
      </c>
      <c r="V252" s="103" t="s">
        <v>1131</v>
      </c>
    </row>
    <row r="253" spans="1:22" ht="13.5">
      <c r="A253" s="102">
        <v>45628.840156493054</v>
      </c>
      <c r="B253" s="103" t="s">
        <v>57</v>
      </c>
      <c r="C253" s="104" t="str">
        <f t="shared" si="36"/>
        <v>×</v>
      </c>
      <c r="D253" s="104" t="str">
        <f t="shared" si="36"/>
        <v>○</v>
      </c>
      <c r="E253" s="104" t="str">
        <f t="shared" si="36"/>
        <v>×</v>
      </c>
      <c r="F253" s="104" t="str">
        <f t="shared" si="36"/>
        <v>×</v>
      </c>
      <c r="G253" s="103" t="s">
        <v>13</v>
      </c>
      <c r="H253" s="103" t="s">
        <v>32</v>
      </c>
      <c r="I253" s="103" t="s">
        <v>1134</v>
      </c>
      <c r="J253" s="105"/>
      <c r="K253" s="103" t="s">
        <v>16</v>
      </c>
      <c r="L253" s="103" t="s">
        <v>272</v>
      </c>
      <c r="M253" s="108" t="str">
        <f t="shared" si="38"/>
        <v/>
      </c>
      <c r="N253" s="108" t="str">
        <f t="shared" si="38"/>
        <v/>
      </c>
      <c r="O253" s="108" t="str">
        <f t="shared" si="38"/>
        <v/>
      </c>
      <c r="P253" s="108" t="str">
        <f t="shared" si="38"/>
        <v/>
      </c>
      <c r="Q253" s="108" t="str">
        <f t="shared" si="38"/>
        <v>○</v>
      </c>
      <c r="R253" s="103" t="str">
        <f t="shared" si="38"/>
        <v/>
      </c>
      <c r="S253" s="103" t="s">
        <v>1135</v>
      </c>
      <c r="T253" s="103" t="s">
        <v>35</v>
      </c>
      <c r="U253" s="103" t="s">
        <v>18</v>
      </c>
      <c r="V253" s="105"/>
    </row>
    <row r="254" spans="1:22" ht="13.5">
      <c r="A254" s="102">
        <v>45628.840790150462</v>
      </c>
      <c r="B254" s="103" t="s">
        <v>227</v>
      </c>
      <c r="C254" s="104" t="str">
        <f t="shared" si="36"/>
        <v>×</v>
      </c>
      <c r="D254" s="104" t="str">
        <f t="shared" si="36"/>
        <v>○</v>
      </c>
      <c r="E254" s="104" t="str">
        <f t="shared" si="36"/>
        <v>×</v>
      </c>
      <c r="F254" s="104" t="str">
        <f t="shared" si="36"/>
        <v>×</v>
      </c>
      <c r="G254" s="103" t="s">
        <v>13</v>
      </c>
      <c r="H254" s="103" t="s">
        <v>27</v>
      </c>
      <c r="I254" s="103" t="s">
        <v>1137</v>
      </c>
      <c r="J254" s="105"/>
      <c r="K254" s="103" t="s">
        <v>34</v>
      </c>
      <c r="L254" s="105"/>
      <c r="M254" s="110" t="str">
        <f t="shared" si="38"/>
        <v/>
      </c>
      <c r="N254" s="110" t="str">
        <f t="shared" si="38"/>
        <v/>
      </c>
      <c r="O254" s="110" t="str">
        <f t="shared" si="38"/>
        <v/>
      </c>
      <c r="P254" s="110" t="str">
        <f t="shared" si="38"/>
        <v/>
      </c>
      <c r="Q254" s="110" t="str">
        <f t="shared" si="38"/>
        <v/>
      </c>
      <c r="R254" s="105" t="str">
        <f t="shared" si="38"/>
        <v/>
      </c>
      <c r="S254" s="105"/>
      <c r="T254" s="103" t="s">
        <v>61</v>
      </c>
      <c r="U254" s="103" t="s">
        <v>18</v>
      </c>
      <c r="V254" s="105"/>
    </row>
    <row r="255" spans="1:22" ht="13.5">
      <c r="A255" s="102">
        <v>45628.841571793979</v>
      </c>
      <c r="B255" s="103" t="s">
        <v>181</v>
      </c>
      <c r="C255" s="104" t="str">
        <f t="shared" si="36"/>
        <v>×</v>
      </c>
      <c r="D255" s="104" t="str">
        <f t="shared" si="36"/>
        <v>○</v>
      </c>
      <c r="E255" s="104" t="str">
        <f t="shared" si="36"/>
        <v>×</v>
      </c>
      <c r="F255" s="104" t="str">
        <f t="shared" si="36"/>
        <v>×</v>
      </c>
      <c r="G255" s="103" t="s">
        <v>13</v>
      </c>
      <c r="H255" s="103" t="s">
        <v>14</v>
      </c>
      <c r="I255" s="103" t="s">
        <v>1141</v>
      </c>
      <c r="J255" s="105"/>
      <c r="K255" s="103" t="s">
        <v>34</v>
      </c>
      <c r="L255" s="105"/>
      <c r="M255" s="110" t="str">
        <f t="shared" si="38"/>
        <v/>
      </c>
      <c r="N255" s="110" t="str">
        <f t="shared" si="38"/>
        <v/>
      </c>
      <c r="O255" s="110" t="str">
        <f t="shared" si="38"/>
        <v/>
      </c>
      <c r="P255" s="110" t="str">
        <f t="shared" si="38"/>
        <v/>
      </c>
      <c r="Q255" s="110" t="str">
        <f t="shared" si="38"/>
        <v/>
      </c>
      <c r="R255" s="105" t="str">
        <f t="shared" si="38"/>
        <v/>
      </c>
      <c r="S255" s="105"/>
      <c r="T255" s="103" t="s">
        <v>35</v>
      </c>
      <c r="U255" s="103" t="s">
        <v>18</v>
      </c>
      <c r="V255" s="103" t="s">
        <v>1142</v>
      </c>
    </row>
    <row r="256" spans="1:22" ht="13.5">
      <c r="A256" s="102">
        <v>45628.843357141202</v>
      </c>
      <c r="B256" s="103" t="s">
        <v>19</v>
      </c>
      <c r="C256" s="104" t="str">
        <f t="shared" si="36"/>
        <v>×</v>
      </c>
      <c r="D256" s="104" t="str">
        <f t="shared" si="36"/>
        <v>○</v>
      </c>
      <c r="E256" s="104" t="str">
        <f t="shared" si="36"/>
        <v>×</v>
      </c>
      <c r="F256" s="104" t="str">
        <f t="shared" si="36"/>
        <v>×</v>
      </c>
      <c r="G256" s="103" t="s">
        <v>13</v>
      </c>
      <c r="H256" s="103" t="s">
        <v>14</v>
      </c>
      <c r="I256" s="103" t="s">
        <v>1143</v>
      </c>
      <c r="J256" s="105"/>
      <c r="K256" s="103" t="s">
        <v>34</v>
      </c>
      <c r="L256" s="105"/>
      <c r="M256" s="110" t="str">
        <f t="shared" si="38"/>
        <v/>
      </c>
      <c r="N256" s="110" t="str">
        <f t="shared" si="38"/>
        <v/>
      </c>
      <c r="O256" s="110" t="str">
        <f t="shared" si="38"/>
        <v/>
      </c>
      <c r="P256" s="110" t="str">
        <f t="shared" si="38"/>
        <v/>
      </c>
      <c r="Q256" s="110" t="str">
        <f t="shared" si="38"/>
        <v/>
      </c>
      <c r="R256" s="105" t="str">
        <f t="shared" si="38"/>
        <v/>
      </c>
      <c r="S256" s="105"/>
      <c r="T256" s="103" t="s">
        <v>35</v>
      </c>
      <c r="U256" s="103" t="s">
        <v>18</v>
      </c>
      <c r="V256" s="103" t="s">
        <v>1144</v>
      </c>
    </row>
    <row r="257" spans="1:22" ht="13.5">
      <c r="A257" s="102">
        <v>45628.84986855324</v>
      </c>
      <c r="B257" s="103" t="s">
        <v>181</v>
      </c>
      <c r="C257" s="104" t="str">
        <f t="shared" si="36"/>
        <v>×</v>
      </c>
      <c r="D257" s="104" t="str">
        <f t="shared" si="36"/>
        <v>○</v>
      </c>
      <c r="E257" s="104" t="str">
        <f t="shared" si="36"/>
        <v>×</v>
      </c>
      <c r="F257" s="104" t="str">
        <f t="shared" si="36"/>
        <v>×</v>
      </c>
      <c r="G257" s="103" t="s">
        <v>20</v>
      </c>
      <c r="H257" s="105"/>
      <c r="I257" s="105"/>
      <c r="J257" s="103" t="s">
        <v>58</v>
      </c>
      <c r="K257" s="103" t="s">
        <v>16</v>
      </c>
      <c r="L257" s="103" t="s">
        <v>39</v>
      </c>
      <c r="M257" s="108" t="str">
        <f t="shared" si="38"/>
        <v/>
      </c>
      <c r="N257" s="108" t="str">
        <f t="shared" si="38"/>
        <v>○</v>
      </c>
      <c r="O257" s="108" t="str">
        <f t="shared" si="38"/>
        <v/>
      </c>
      <c r="P257" s="108" t="str">
        <f t="shared" si="38"/>
        <v/>
      </c>
      <c r="Q257" s="108" t="str">
        <f t="shared" si="38"/>
        <v/>
      </c>
      <c r="R257" s="103" t="str">
        <f t="shared" si="38"/>
        <v/>
      </c>
      <c r="S257" s="105"/>
      <c r="T257" s="103" t="s">
        <v>24</v>
      </c>
      <c r="U257" s="103" t="s">
        <v>18</v>
      </c>
      <c r="V257" s="105"/>
    </row>
    <row r="258" spans="1:22" ht="13.5">
      <c r="A258" s="102">
        <v>45628.851633680555</v>
      </c>
      <c r="B258" s="103" t="s">
        <v>49</v>
      </c>
      <c r="C258" s="104" t="str">
        <f t="shared" si="36"/>
        <v>×</v>
      </c>
      <c r="D258" s="104" t="str">
        <f t="shared" si="36"/>
        <v>○</v>
      </c>
      <c r="E258" s="104" t="str">
        <f t="shared" si="36"/>
        <v>×</v>
      </c>
      <c r="F258" s="104" t="str">
        <f t="shared" si="36"/>
        <v>×</v>
      </c>
      <c r="G258" s="103" t="s">
        <v>20</v>
      </c>
      <c r="H258" s="105"/>
      <c r="I258" s="105"/>
      <c r="J258" s="103" t="s">
        <v>38</v>
      </c>
      <c r="K258" s="103" t="s">
        <v>16</v>
      </c>
      <c r="L258" s="103" t="s">
        <v>39</v>
      </c>
      <c r="M258" s="108" t="str">
        <f t="shared" si="38"/>
        <v/>
      </c>
      <c r="N258" s="108" t="str">
        <f t="shared" si="38"/>
        <v>○</v>
      </c>
      <c r="O258" s="108" t="str">
        <f t="shared" si="38"/>
        <v/>
      </c>
      <c r="P258" s="108" t="str">
        <f t="shared" si="38"/>
        <v/>
      </c>
      <c r="Q258" s="108" t="str">
        <f t="shared" si="38"/>
        <v/>
      </c>
      <c r="R258" s="103" t="str">
        <f t="shared" si="38"/>
        <v/>
      </c>
      <c r="S258" s="105"/>
      <c r="T258" s="103" t="s">
        <v>30</v>
      </c>
      <c r="U258" s="103" t="s">
        <v>18</v>
      </c>
      <c r="V258" s="105"/>
    </row>
    <row r="259" spans="1:22" ht="13.5">
      <c r="A259" s="102">
        <v>45628.852944918981</v>
      </c>
      <c r="B259" s="103" t="s">
        <v>1153</v>
      </c>
      <c r="C259" s="104" t="str">
        <f t="shared" si="36"/>
        <v>×</v>
      </c>
      <c r="D259" s="104" t="str">
        <f t="shared" si="36"/>
        <v>○</v>
      </c>
      <c r="E259" s="104" t="str">
        <f t="shared" si="36"/>
        <v>○</v>
      </c>
      <c r="F259" s="104" t="str">
        <f t="shared" si="36"/>
        <v>○</v>
      </c>
      <c r="G259" s="103" t="s">
        <v>13</v>
      </c>
      <c r="H259" s="103" t="s">
        <v>27</v>
      </c>
      <c r="I259" s="103" t="s">
        <v>1154</v>
      </c>
      <c r="J259" s="105"/>
      <c r="K259" s="103" t="s">
        <v>34</v>
      </c>
      <c r="L259" s="105"/>
      <c r="M259" s="110" t="str">
        <f t="shared" si="38"/>
        <v/>
      </c>
      <c r="N259" s="110" t="str">
        <f t="shared" si="38"/>
        <v/>
      </c>
      <c r="O259" s="110" t="str">
        <f t="shared" si="38"/>
        <v/>
      </c>
      <c r="P259" s="110" t="str">
        <f t="shared" si="38"/>
        <v/>
      </c>
      <c r="Q259" s="110" t="str">
        <f t="shared" si="38"/>
        <v/>
      </c>
      <c r="R259" s="105" t="str">
        <f t="shared" si="38"/>
        <v/>
      </c>
      <c r="S259" s="105"/>
      <c r="T259" s="103" t="s">
        <v>35</v>
      </c>
      <c r="U259" s="103" t="s">
        <v>18</v>
      </c>
      <c r="V259" s="105"/>
    </row>
    <row r="260" spans="1:22" ht="13.5">
      <c r="A260" s="102">
        <v>45628.854704571757</v>
      </c>
      <c r="B260" s="103" t="s">
        <v>41</v>
      </c>
      <c r="C260" s="104" t="str">
        <f t="shared" si="36"/>
        <v>×</v>
      </c>
      <c r="D260" s="104" t="str">
        <f t="shared" si="36"/>
        <v>○</v>
      </c>
      <c r="E260" s="104" t="str">
        <f t="shared" si="36"/>
        <v>×</v>
      </c>
      <c r="F260" s="104" t="str">
        <f t="shared" si="36"/>
        <v>×</v>
      </c>
      <c r="G260" s="103" t="s">
        <v>13</v>
      </c>
      <c r="H260" s="103" t="s">
        <v>27</v>
      </c>
      <c r="I260" s="103" t="s">
        <v>1156</v>
      </c>
      <c r="J260" s="105"/>
      <c r="K260" s="103" t="s">
        <v>34</v>
      </c>
      <c r="L260" s="105"/>
      <c r="M260" s="110" t="str">
        <f t="shared" si="38"/>
        <v/>
      </c>
      <c r="N260" s="110" t="str">
        <f t="shared" si="38"/>
        <v/>
      </c>
      <c r="O260" s="110" t="str">
        <f t="shared" si="38"/>
        <v/>
      </c>
      <c r="P260" s="110" t="str">
        <f t="shared" si="38"/>
        <v/>
      </c>
      <c r="Q260" s="110" t="str">
        <f t="shared" si="38"/>
        <v/>
      </c>
      <c r="R260" s="105" t="str">
        <f t="shared" si="38"/>
        <v/>
      </c>
      <c r="S260" s="105"/>
      <c r="T260" s="103" t="s">
        <v>35</v>
      </c>
      <c r="U260" s="103" t="s">
        <v>18</v>
      </c>
      <c r="V260" s="105"/>
    </row>
    <row r="261" spans="1:22" ht="13.5">
      <c r="A261" s="102">
        <v>45628.854960335651</v>
      </c>
      <c r="B261" s="103" t="s">
        <v>312</v>
      </c>
      <c r="C261" s="104" t="str">
        <f t="shared" si="36"/>
        <v>×</v>
      </c>
      <c r="D261" s="104" t="str">
        <f t="shared" si="36"/>
        <v>○</v>
      </c>
      <c r="E261" s="104" t="str">
        <f t="shared" si="36"/>
        <v>×</v>
      </c>
      <c r="F261" s="104" t="str">
        <f t="shared" si="36"/>
        <v>×</v>
      </c>
      <c r="G261" s="103" t="s">
        <v>13</v>
      </c>
      <c r="H261" s="103" t="s">
        <v>27</v>
      </c>
      <c r="I261" s="103" t="s">
        <v>1157</v>
      </c>
      <c r="J261" s="105"/>
      <c r="K261" s="103" t="s">
        <v>34</v>
      </c>
      <c r="L261" s="105"/>
      <c r="M261" s="110" t="str">
        <f t="shared" si="38"/>
        <v/>
      </c>
      <c r="N261" s="110" t="str">
        <f t="shared" si="38"/>
        <v/>
      </c>
      <c r="O261" s="110" t="str">
        <f t="shared" si="38"/>
        <v/>
      </c>
      <c r="P261" s="110" t="str">
        <f t="shared" si="38"/>
        <v/>
      </c>
      <c r="Q261" s="110" t="str">
        <f t="shared" si="38"/>
        <v/>
      </c>
      <c r="R261" s="105" t="str">
        <f t="shared" si="38"/>
        <v/>
      </c>
      <c r="S261" s="105"/>
      <c r="T261" s="103" t="s">
        <v>35</v>
      </c>
      <c r="U261" s="103" t="s">
        <v>18</v>
      </c>
      <c r="V261" s="103" t="s">
        <v>1158</v>
      </c>
    </row>
    <row r="262" spans="1:22" ht="13.5">
      <c r="A262" s="102">
        <v>45628.855204398147</v>
      </c>
      <c r="B262" s="103" t="s">
        <v>181</v>
      </c>
      <c r="C262" s="104" t="str">
        <f t="shared" ref="C262:F281" si="39">IF(ISERROR(FIND(C$1,$B262)),"×","○")</f>
        <v>×</v>
      </c>
      <c r="D262" s="104" t="str">
        <f t="shared" si="39"/>
        <v>○</v>
      </c>
      <c r="E262" s="104" t="str">
        <f t="shared" si="39"/>
        <v>×</v>
      </c>
      <c r="F262" s="104" t="str">
        <f t="shared" si="39"/>
        <v>×</v>
      </c>
      <c r="G262" s="103" t="s">
        <v>13</v>
      </c>
      <c r="H262" s="103" t="s">
        <v>27</v>
      </c>
      <c r="I262" s="103" t="s">
        <v>1159</v>
      </c>
      <c r="J262" s="105"/>
      <c r="K262" s="103" t="s">
        <v>34</v>
      </c>
      <c r="L262" s="105"/>
      <c r="M262" s="110" t="str">
        <f t="shared" ref="M262:R271" si="40">IF(ISERROR(SEARCH(M$1,$L262)),"","○")</f>
        <v/>
      </c>
      <c r="N262" s="110" t="str">
        <f t="shared" si="40"/>
        <v/>
      </c>
      <c r="O262" s="110" t="str">
        <f t="shared" si="40"/>
        <v/>
      </c>
      <c r="P262" s="110" t="str">
        <f t="shared" si="40"/>
        <v/>
      </c>
      <c r="Q262" s="110" t="str">
        <f t="shared" si="40"/>
        <v/>
      </c>
      <c r="R262" s="105" t="str">
        <f t="shared" si="40"/>
        <v/>
      </c>
      <c r="S262" s="105"/>
      <c r="T262" s="103" t="s">
        <v>30</v>
      </c>
      <c r="U262" s="103" t="s">
        <v>18</v>
      </c>
      <c r="V262" s="103" t="s">
        <v>1160</v>
      </c>
    </row>
    <row r="263" spans="1:22" ht="13.5">
      <c r="A263" s="102">
        <v>45628.865274664349</v>
      </c>
      <c r="B263" s="103" t="s">
        <v>164</v>
      </c>
      <c r="C263" s="104" t="str">
        <f t="shared" si="39"/>
        <v>×</v>
      </c>
      <c r="D263" s="104" t="str">
        <f t="shared" si="39"/>
        <v>○</v>
      </c>
      <c r="E263" s="104" t="str">
        <f t="shared" si="39"/>
        <v>×</v>
      </c>
      <c r="F263" s="104" t="str">
        <f t="shared" si="39"/>
        <v>×</v>
      </c>
      <c r="G263" s="103" t="s">
        <v>13</v>
      </c>
      <c r="H263" s="103" t="s">
        <v>32</v>
      </c>
      <c r="I263" s="103" t="s">
        <v>1167</v>
      </c>
      <c r="J263" s="105"/>
      <c r="K263" s="103" t="s">
        <v>34</v>
      </c>
      <c r="L263" s="105"/>
      <c r="M263" s="110" t="str">
        <f t="shared" si="40"/>
        <v/>
      </c>
      <c r="N263" s="110" t="str">
        <f t="shared" si="40"/>
        <v/>
      </c>
      <c r="O263" s="110" t="str">
        <f t="shared" si="40"/>
        <v/>
      </c>
      <c r="P263" s="110" t="str">
        <f t="shared" si="40"/>
        <v/>
      </c>
      <c r="Q263" s="110" t="str">
        <f t="shared" si="40"/>
        <v/>
      </c>
      <c r="R263" s="105" t="str">
        <f t="shared" si="40"/>
        <v/>
      </c>
      <c r="S263" s="105"/>
      <c r="T263" s="103" t="s">
        <v>30</v>
      </c>
      <c r="U263" s="103" t="s">
        <v>18</v>
      </c>
      <c r="V263" s="105"/>
    </row>
    <row r="264" spans="1:22" ht="13.5">
      <c r="A264" s="102">
        <v>45628.867088136569</v>
      </c>
      <c r="B264" s="103" t="s">
        <v>49</v>
      </c>
      <c r="C264" s="104" t="str">
        <f t="shared" si="39"/>
        <v>×</v>
      </c>
      <c r="D264" s="104" t="str">
        <f t="shared" si="39"/>
        <v>○</v>
      </c>
      <c r="E264" s="104" t="str">
        <f t="shared" si="39"/>
        <v>×</v>
      </c>
      <c r="F264" s="104" t="str">
        <f t="shared" si="39"/>
        <v>×</v>
      </c>
      <c r="G264" s="103" t="s">
        <v>20</v>
      </c>
      <c r="H264" s="105"/>
      <c r="I264" s="105"/>
      <c r="J264" s="103" t="s">
        <v>38</v>
      </c>
      <c r="K264" s="103" t="s">
        <v>16</v>
      </c>
      <c r="L264" s="103" t="s">
        <v>59</v>
      </c>
      <c r="M264" s="108" t="str">
        <f t="shared" si="40"/>
        <v/>
      </c>
      <c r="N264" s="108" t="str">
        <f t="shared" si="40"/>
        <v/>
      </c>
      <c r="O264" s="108" t="str">
        <f t="shared" si="40"/>
        <v/>
      </c>
      <c r="P264" s="108" t="str">
        <f t="shared" si="40"/>
        <v>○</v>
      </c>
      <c r="Q264" s="108" t="str">
        <f t="shared" si="40"/>
        <v/>
      </c>
      <c r="R264" s="103" t="str">
        <f t="shared" si="40"/>
        <v/>
      </c>
      <c r="S264" s="105"/>
      <c r="T264" s="103" t="s">
        <v>30</v>
      </c>
      <c r="U264" s="103" t="s">
        <v>18</v>
      </c>
      <c r="V264" s="103" t="s">
        <v>1168</v>
      </c>
    </row>
    <row r="265" spans="1:22" ht="13.5">
      <c r="A265" s="102">
        <v>45628.870636724532</v>
      </c>
      <c r="B265" s="103" t="s">
        <v>49</v>
      </c>
      <c r="C265" s="104" t="str">
        <f t="shared" si="39"/>
        <v>×</v>
      </c>
      <c r="D265" s="104" t="str">
        <f t="shared" si="39"/>
        <v>○</v>
      </c>
      <c r="E265" s="104" t="str">
        <f t="shared" si="39"/>
        <v>×</v>
      </c>
      <c r="F265" s="104" t="str">
        <f t="shared" si="39"/>
        <v>×</v>
      </c>
      <c r="G265" s="103" t="s">
        <v>13</v>
      </c>
      <c r="H265" s="103" t="s">
        <v>27</v>
      </c>
      <c r="I265" s="103" t="s">
        <v>1172</v>
      </c>
      <c r="J265" s="105"/>
      <c r="K265" s="103" t="s">
        <v>34</v>
      </c>
      <c r="L265" s="105"/>
      <c r="M265" s="110" t="str">
        <f t="shared" si="40"/>
        <v/>
      </c>
      <c r="N265" s="110" t="str">
        <f t="shared" si="40"/>
        <v/>
      </c>
      <c r="O265" s="110" t="str">
        <f t="shared" si="40"/>
        <v/>
      </c>
      <c r="P265" s="110" t="str">
        <f t="shared" si="40"/>
        <v/>
      </c>
      <c r="Q265" s="110" t="str">
        <f t="shared" si="40"/>
        <v/>
      </c>
      <c r="R265" s="105" t="str">
        <f t="shared" si="40"/>
        <v/>
      </c>
      <c r="S265" s="105"/>
      <c r="T265" s="103" t="s">
        <v>35</v>
      </c>
      <c r="U265" s="103" t="s">
        <v>18</v>
      </c>
      <c r="V265" s="103" t="s">
        <v>1173</v>
      </c>
    </row>
    <row r="266" spans="1:22" ht="13.5">
      <c r="A266" s="102">
        <v>45628.871992476852</v>
      </c>
      <c r="B266" s="103" t="s">
        <v>315</v>
      </c>
      <c r="C266" s="104" t="str">
        <f t="shared" si="39"/>
        <v>×</v>
      </c>
      <c r="D266" s="104" t="str">
        <f t="shared" si="39"/>
        <v>○</v>
      </c>
      <c r="E266" s="104" t="str">
        <f t="shared" si="39"/>
        <v>×</v>
      </c>
      <c r="F266" s="104" t="str">
        <f t="shared" si="39"/>
        <v>×</v>
      </c>
      <c r="G266" s="103" t="s">
        <v>13</v>
      </c>
      <c r="H266" s="103" t="s">
        <v>77</v>
      </c>
      <c r="I266" s="103" t="s">
        <v>1174</v>
      </c>
      <c r="J266" s="105"/>
      <c r="K266" s="103" t="s">
        <v>34</v>
      </c>
      <c r="L266" s="105"/>
      <c r="M266" s="110" t="str">
        <f t="shared" si="40"/>
        <v/>
      </c>
      <c r="N266" s="110" t="str">
        <f t="shared" si="40"/>
        <v/>
      </c>
      <c r="O266" s="110" t="str">
        <f t="shared" si="40"/>
        <v/>
      </c>
      <c r="P266" s="110" t="str">
        <f t="shared" si="40"/>
        <v/>
      </c>
      <c r="Q266" s="110" t="str">
        <f t="shared" si="40"/>
        <v/>
      </c>
      <c r="R266" s="105" t="str">
        <f t="shared" si="40"/>
        <v/>
      </c>
      <c r="S266" s="105"/>
      <c r="T266" s="103" t="s">
        <v>30</v>
      </c>
      <c r="U266" s="103" t="s">
        <v>18</v>
      </c>
      <c r="V266" s="103" t="s">
        <v>1175</v>
      </c>
    </row>
    <row r="267" spans="1:22" ht="13.5">
      <c r="A267" s="102">
        <v>45628.872945902782</v>
      </c>
      <c r="B267" s="103" t="s">
        <v>1075</v>
      </c>
      <c r="C267" s="104" t="str">
        <f t="shared" si="39"/>
        <v>×</v>
      </c>
      <c r="D267" s="104" t="str">
        <f t="shared" si="39"/>
        <v>○</v>
      </c>
      <c r="E267" s="104" t="str">
        <f t="shared" si="39"/>
        <v>×</v>
      </c>
      <c r="F267" s="104" t="str">
        <f t="shared" si="39"/>
        <v>×</v>
      </c>
      <c r="G267" s="103" t="s">
        <v>13</v>
      </c>
      <c r="H267" s="103" t="s">
        <v>32</v>
      </c>
      <c r="I267" s="103" t="s">
        <v>1177</v>
      </c>
      <c r="J267" s="105"/>
      <c r="K267" s="103" t="s">
        <v>34</v>
      </c>
      <c r="L267" s="105"/>
      <c r="M267" s="110" t="str">
        <f t="shared" si="40"/>
        <v/>
      </c>
      <c r="N267" s="110" t="str">
        <f t="shared" si="40"/>
        <v/>
      </c>
      <c r="O267" s="110" t="str">
        <f t="shared" si="40"/>
        <v/>
      </c>
      <c r="P267" s="110" t="str">
        <f t="shared" si="40"/>
        <v/>
      </c>
      <c r="Q267" s="110" t="str">
        <f t="shared" si="40"/>
        <v/>
      </c>
      <c r="R267" s="105" t="str">
        <f t="shared" si="40"/>
        <v/>
      </c>
      <c r="S267" s="105"/>
      <c r="T267" s="103" t="s">
        <v>35</v>
      </c>
      <c r="U267" s="103" t="s">
        <v>18</v>
      </c>
      <c r="V267" s="105"/>
    </row>
    <row r="268" spans="1:22" ht="13.5">
      <c r="A268" s="102">
        <v>45628.873890706018</v>
      </c>
      <c r="B268" s="103" t="s">
        <v>49</v>
      </c>
      <c r="C268" s="104" t="str">
        <f t="shared" si="39"/>
        <v>×</v>
      </c>
      <c r="D268" s="104" t="str">
        <f t="shared" si="39"/>
        <v>○</v>
      </c>
      <c r="E268" s="104" t="str">
        <f t="shared" si="39"/>
        <v>×</v>
      </c>
      <c r="F268" s="104" t="str">
        <f t="shared" si="39"/>
        <v>×</v>
      </c>
      <c r="G268" s="103" t="s">
        <v>13</v>
      </c>
      <c r="H268" s="103" t="s">
        <v>27</v>
      </c>
      <c r="I268" s="103" t="s">
        <v>245</v>
      </c>
      <c r="J268" s="105"/>
      <c r="K268" s="103" t="s">
        <v>34</v>
      </c>
      <c r="L268" s="105"/>
      <c r="M268" s="110" t="str">
        <f t="shared" si="40"/>
        <v/>
      </c>
      <c r="N268" s="110" t="str">
        <f t="shared" si="40"/>
        <v/>
      </c>
      <c r="O268" s="110" t="str">
        <f t="shared" si="40"/>
        <v/>
      </c>
      <c r="P268" s="110" t="str">
        <f t="shared" si="40"/>
        <v/>
      </c>
      <c r="Q268" s="110" t="str">
        <f t="shared" si="40"/>
        <v/>
      </c>
      <c r="R268" s="105" t="str">
        <f t="shared" si="40"/>
        <v/>
      </c>
      <c r="S268" s="105"/>
      <c r="T268" s="103" t="s">
        <v>35</v>
      </c>
      <c r="U268" s="103" t="s">
        <v>18</v>
      </c>
      <c r="V268" s="105"/>
    </row>
    <row r="269" spans="1:22" ht="13.5">
      <c r="A269" s="102">
        <v>45628.878488206014</v>
      </c>
      <c r="B269" s="103" t="s">
        <v>90</v>
      </c>
      <c r="C269" s="104" t="str">
        <f t="shared" si="39"/>
        <v>×</v>
      </c>
      <c r="D269" s="104" t="str">
        <f t="shared" si="39"/>
        <v>×</v>
      </c>
      <c r="E269" s="104" t="str">
        <f t="shared" si="39"/>
        <v>○</v>
      </c>
      <c r="F269" s="104" t="str">
        <f t="shared" si="39"/>
        <v>×</v>
      </c>
      <c r="G269" s="103" t="s">
        <v>20</v>
      </c>
      <c r="H269" s="105"/>
      <c r="I269" s="105"/>
      <c r="J269" s="103" t="s">
        <v>58</v>
      </c>
      <c r="K269" s="103" t="s">
        <v>16</v>
      </c>
      <c r="L269" s="103" t="s">
        <v>88</v>
      </c>
      <c r="M269" s="108" t="str">
        <f t="shared" si="40"/>
        <v/>
      </c>
      <c r="N269" s="108" t="str">
        <f t="shared" si="40"/>
        <v>○</v>
      </c>
      <c r="O269" s="108" t="str">
        <f t="shared" si="40"/>
        <v/>
      </c>
      <c r="P269" s="108" t="str">
        <f t="shared" si="40"/>
        <v/>
      </c>
      <c r="Q269" s="108" t="str">
        <f t="shared" si="40"/>
        <v>○</v>
      </c>
      <c r="R269" s="103" t="str">
        <f t="shared" si="40"/>
        <v/>
      </c>
      <c r="S269" s="103" t="s">
        <v>1181</v>
      </c>
      <c r="T269" s="103" t="s">
        <v>30</v>
      </c>
      <c r="U269" s="103" t="s">
        <v>18</v>
      </c>
      <c r="V269" s="103" t="s">
        <v>1182</v>
      </c>
    </row>
    <row r="270" spans="1:22" ht="13.5">
      <c r="A270" s="102">
        <v>45628.880185127317</v>
      </c>
      <c r="B270" s="103" t="s">
        <v>57</v>
      </c>
      <c r="C270" s="104" t="str">
        <f t="shared" si="39"/>
        <v>×</v>
      </c>
      <c r="D270" s="104" t="str">
        <f t="shared" si="39"/>
        <v>○</v>
      </c>
      <c r="E270" s="104" t="str">
        <f t="shared" si="39"/>
        <v>×</v>
      </c>
      <c r="F270" s="104" t="str">
        <f t="shared" si="39"/>
        <v>×</v>
      </c>
      <c r="G270" s="103" t="s">
        <v>20</v>
      </c>
      <c r="H270" s="105"/>
      <c r="I270" s="105"/>
      <c r="J270" s="103" t="s">
        <v>21</v>
      </c>
      <c r="K270" s="103" t="s">
        <v>16</v>
      </c>
      <c r="L270" s="103" t="s">
        <v>1183</v>
      </c>
      <c r="M270" s="108" t="str">
        <f t="shared" si="40"/>
        <v/>
      </c>
      <c r="N270" s="108" t="str">
        <f t="shared" si="40"/>
        <v/>
      </c>
      <c r="O270" s="108" t="str">
        <f t="shared" si="40"/>
        <v/>
      </c>
      <c r="P270" s="108" t="str">
        <f t="shared" si="40"/>
        <v/>
      </c>
      <c r="Q270" s="108" t="str">
        <f t="shared" si="40"/>
        <v/>
      </c>
      <c r="R270" s="103" t="str">
        <f t="shared" si="40"/>
        <v/>
      </c>
      <c r="S270" s="105"/>
      <c r="T270" s="103" t="s">
        <v>35</v>
      </c>
      <c r="U270" s="103" t="s">
        <v>18</v>
      </c>
      <c r="V270" s="103" t="s">
        <v>1184</v>
      </c>
    </row>
    <row r="271" spans="1:22" ht="13.5">
      <c r="A271" s="102">
        <v>45628.882632106484</v>
      </c>
      <c r="B271" s="103" t="s">
        <v>57</v>
      </c>
      <c r="C271" s="104" t="str">
        <f t="shared" si="39"/>
        <v>×</v>
      </c>
      <c r="D271" s="104" t="str">
        <f t="shared" si="39"/>
        <v>○</v>
      </c>
      <c r="E271" s="104" t="str">
        <f t="shared" si="39"/>
        <v>×</v>
      </c>
      <c r="F271" s="104" t="str">
        <f t="shared" si="39"/>
        <v>×</v>
      </c>
      <c r="G271" s="103" t="s">
        <v>13</v>
      </c>
      <c r="H271" s="103" t="s">
        <v>32</v>
      </c>
      <c r="I271" s="103" t="s">
        <v>1186</v>
      </c>
      <c r="J271" s="105"/>
      <c r="K271" s="103" t="s">
        <v>34</v>
      </c>
      <c r="L271" s="105"/>
      <c r="M271" s="110" t="str">
        <f t="shared" si="40"/>
        <v/>
      </c>
      <c r="N271" s="110" t="str">
        <f t="shared" si="40"/>
        <v/>
      </c>
      <c r="O271" s="110" t="str">
        <f t="shared" si="40"/>
        <v/>
      </c>
      <c r="P271" s="110" t="str">
        <f t="shared" si="40"/>
        <v/>
      </c>
      <c r="Q271" s="110" t="str">
        <f t="shared" si="40"/>
        <v/>
      </c>
      <c r="R271" s="105" t="str">
        <f t="shared" si="40"/>
        <v/>
      </c>
      <c r="S271" s="105"/>
      <c r="T271" s="103" t="s">
        <v>30</v>
      </c>
      <c r="U271" s="103" t="s">
        <v>18</v>
      </c>
      <c r="V271" s="105"/>
    </row>
    <row r="272" spans="1:22" ht="13.5">
      <c r="A272" s="102">
        <v>45628.889926053242</v>
      </c>
      <c r="B272" s="103" t="s">
        <v>19</v>
      </c>
      <c r="C272" s="104" t="str">
        <f t="shared" si="39"/>
        <v>×</v>
      </c>
      <c r="D272" s="104" t="str">
        <f t="shared" si="39"/>
        <v>○</v>
      </c>
      <c r="E272" s="104" t="str">
        <f t="shared" si="39"/>
        <v>×</v>
      </c>
      <c r="F272" s="104" t="str">
        <f t="shared" si="39"/>
        <v>×</v>
      </c>
      <c r="G272" s="103" t="s">
        <v>20</v>
      </c>
      <c r="H272" s="105"/>
      <c r="I272" s="105"/>
      <c r="J272" s="103" t="s">
        <v>58</v>
      </c>
      <c r="K272" s="103" t="s">
        <v>16</v>
      </c>
      <c r="L272" s="103" t="s">
        <v>39</v>
      </c>
      <c r="M272" s="108" t="str">
        <f t="shared" ref="M272:R281" si="41">IF(ISERROR(SEARCH(M$1,$L272)),"","○")</f>
        <v/>
      </c>
      <c r="N272" s="108" t="str">
        <f t="shared" si="41"/>
        <v>○</v>
      </c>
      <c r="O272" s="108" t="str">
        <f t="shared" si="41"/>
        <v/>
      </c>
      <c r="P272" s="108" t="str">
        <f t="shared" si="41"/>
        <v/>
      </c>
      <c r="Q272" s="108" t="str">
        <f t="shared" si="41"/>
        <v/>
      </c>
      <c r="R272" s="103" t="str">
        <f t="shared" si="41"/>
        <v/>
      </c>
      <c r="S272" s="105"/>
      <c r="T272" s="103" t="s">
        <v>35</v>
      </c>
      <c r="U272" s="103" t="s">
        <v>18</v>
      </c>
      <c r="V272" s="103" t="s">
        <v>1196</v>
      </c>
    </row>
    <row r="273" spans="1:22" ht="13.5">
      <c r="A273" s="102">
        <v>45628.892681597223</v>
      </c>
      <c r="B273" s="103" t="s">
        <v>181</v>
      </c>
      <c r="C273" s="104" t="str">
        <f t="shared" si="39"/>
        <v>×</v>
      </c>
      <c r="D273" s="104" t="str">
        <f t="shared" si="39"/>
        <v>○</v>
      </c>
      <c r="E273" s="104" t="str">
        <f t="shared" si="39"/>
        <v>×</v>
      </c>
      <c r="F273" s="104" t="str">
        <f t="shared" si="39"/>
        <v>×</v>
      </c>
      <c r="G273" s="103" t="s">
        <v>13</v>
      </c>
      <c r="H273" s="103" t="s">
        <v>27</v>
      </c>
      <c r="I273" s="103" t="s">
        <v>1202</v>
      </c>
      <c r="J273" s="105"/>
      <c r="K273" s="103" t="s">
        <v>34</v>
      </c>
      <c r="L273" s="105"/>
      <c r="M273" s="110" t="str">
        <f t="shared" si="41"/>
        <v/>
      </c>
      <c r="N273" s="110" t="str">
        <f t="shared" si="41"/>
        <v/>
      </c>
      <c r="O273" s="110" t="str">
        <f t="shared" si="41"/>
        <v/>
      </c>
      <c r="P273" s="110" t="str">
        <f t="shared" si="41"/>
        <v/>
      </c>
      <c r="Q273" s="110" t="str">
        <f t="shared" si="41"/>
        <v/>
      </c>
      <c r="R273" s="105" t="str">
        <f t="shared" si="41"/>
        <v/>
      </c>
      <c r="S273" s="105"/>
      <c r="T273" s="103" t="s">
        <v>35</v>
      </c>
      <c r="U273" s="103" t="s">
        <v>18</v>
      </c>
      <c r="V273" s="103" t="s">
        <v>1203</v>
      </c>
    </row>
    <row r="274" spans="1:22" ht="13.5">
      <c r="A274" s="102">
        <v>45628.893615185181</v>
      </c>
      <c r="B274" s="103" t="s">
        <v>57</v>
      </c>
      <c r="C274" s="104" t="str">
        <f t="shared" si="39"/>
        <v>×</v>
      </c>
      <c r="D274" s="104" t="str">
        <f t="shared" si="39"/>
        <v>○</v>
      </c>
      <c r="E274" s="104" t="str">
        <f t="shared" si="39"/>
        <v>×</v>
      </c>
      <c r="F274" s="104" t="str">
        <f t="shared" si="39"/>
        <v>×</v>
      </c>
      <c r="G274" s="103" t="s">
        <v>13</v>
      </c>
      <c r="H274" s="103" t="s">
        <v>27</v>
      </c>
      <c r="I274" s="103" t="s">
        <v>1204</v>
      </c>
      <c r="J274" s="105"/>
      <c r="K274" s="103" t="s">
        <v>34</v>
      </c>
      <c r="L274" s="105"/>
      <c r="M274" s="110" t="str">
        <f t="shared" si="41"/>
        <v/>
      </c>
      <c r="N274" s="110" t="str">
        <f t="shared" si="41"/>
        <v/>
      </c>
      <c r="O274" s="110" t="str">
        <f t="shared" si="41"/>
        <v/>
      </c>
      <c r="P274" s="110" t="str">
        <f t="shared" si="41"/>
        <v/>
      </c>
      <c r="Q274" s="110" t="str">
        <f t="shared" si="41"/>
        <v/>
      </c>
      <c r="R274" s="105" t="str">
        <f t="shared" si="41"/>
        <v/>
      </c>
      <c r="S274" s="105"/>
      <c r="T274" s="103" t="s">
        <v>35</v>
      </c>
      <c r="U274" s="103" t="s">
        <v>18</v>
      </c>
      <c r="V274" s="103" t="s">
        <v>1205</v>
      </c>
    </row>
    <row r="275" spans="1:22" ht="13.5">
      <c r="A275" s="102">
        <v>45628.895170532407</v>
      </c>
      <c r="B275" s="103" t="s">
        <v>164</v>
      </c>
      <c r="C275" s="104" t="str">
        <f t="shared" si="39"/>
        <v>×</v>
      </c>
      <c r="D275" s="104" t="str">
        <f t="shared" si="39"/>
        <v>○</v>
      </c>
      <c r="E275" s="104" t="str">
        <f t="shared" si="39"/>
        <v>×</v>
      </c>
      <c r="F275" s="104" t="str">
        <f t="shared" si="39"/>
        <v>×</v>
      </c>
      <c r="G275" s="103" t="s">
        <v>13</v>
      </c>
      <c r="H275" s="103" t="s">
        <v>32</v>
      </c>
      <c r="I275" s="103" t="s">
        <v>1208</v>
      </c>
      <c r="J275" s="105"/>
      <c r="K275" s="103" t="s">
        <v>34</v>
      </c>
      <c r="L275" s="105"/>
      <c r="M275" s="110" t="str">
        <f t="shared" si="41"/>
        <v/>
      </c>
      <c r="N275" s="110" t="str">
        <f t="shared" si="41"/>
        <v/>
      </c>
      <c r="O275" s="110" t="str">
        <f t="shared" si="41"/>
        <v/>
      </c>
      <c r="P275" s="110" t="str">
        <f t="shared" si="41"/>
        <v/>
      </c>
      <c r="Q275" s="110" t="str">
        <f t="shared" si="41"/>
        <v/>
      </c>
      <c r="R275" s="105" t="str">
        <f t="shared" si="41"/>
        <v/>
      </c>
      <c r="S275" s="105"/>
      <c r="T275" s="103" t="s">
        <v>35</v>
      </c>
      <c r="U275" s="103" t="s">
        <v>18</v>
      </c>
      <c r="V275" s="103" t="s">
        <v>1209</v>
      </c>
    </row>
    <row r="276" spans="1:22" ht="13.5">
      <c r="A276" s="102">
        <v>45628.895879386575</v>
      </c>
      <c r="B276" s="103" t="s">
        <v>57</v>
      </c>
      <c r="C276" s="104" t="str">
        <f t="shared" si="39"/>
        <v>×</v>
      </c>
      <c r="D276" s="104" t="str">
        <f t="shared" si="39"/>
        <v>○</v>
      </c>
      <c r="E276" s="104" t="str">
        <f t="shared" si="39"/>
        <v>×</v>
      </c>
      <c r="F276" s="104" t="str">
        <f t="shared" si="39"/>
        <v>×</v>
      </c>
      <c r="G276" s="103" t="s">
        <v>13</v>
      </c>
      <c r="H276" s="103" t="s">
        <v>27</v>
      </c>
      <c r="I276" s="103" t="s">
        <v>1210</v>
      </c>
      <c r="J276" s="105"/>
      <c r="K276" s="103" t="s">
        <v>34</v>
      </c>
      <c r="L276" s="105"/>
      <c r="M276" s="110" t="str">
        <f t="shared" si="41"/>
        <v/>
      </c>
      <c r="N276" s="110" t="str">
        <f t="shared" si="41"/>
        <v/>
      </c>
      <c r="O276" s="110" t="str">
        <f t="shared" si="41"/>
        <v/>
      </c>
      <c r="P276" s="110" t="str">
        <f t="shared" si="41"/>
        <v/>
      </c>
      <c r="Q276" s="110" t="str">
        <f t="shared" si="41"/>
        <v/>
      </c>
      <c r="R276" s="105" t="str">
        <f t="shared" si="41"/>
        <v/>
      </c>
      <c r="S276" s="105"/>
      <c r="T276" s="103" t="s">
        <v>35</v>
      </c>
      <c r="U276" s="103" t="s">
        <v>18</v>
      </c>
      <c r="V276" s="105"/>
    </row>
    <row r="277" spans="1:22" ht="13.5">
      <c r="A277" s="102">
        <v>45628.898755972223</v>
      </c>
      <c r="B277" s="103" t="s">
        <v>1213</v>
      </c>
      <c r="C277" s="104" t="str">
        <f t="shared" si="39"/>
        <v>×</v>
      </c>
      <c r="D277" s="104" t="str">
        <f t="shared" si="39"/>
        <v>○</v>
      </c>
      <c r="E277" s="104" t="str">
        <f t="shared" si="39"/>
        <v>×</v>
      </c>
      <c r="F277" s="104" t="str">
        <f t="shared" si="39"/>
        <v>×</v>
      </c>
      <c r="G277" s="103" t="s">
        <v>13</v>
      </c>
      <c r="H277" s="103" t="s">
        <v>27</v>
      </c>
      <c r="I277" s="103" t="s">
        <v>1214</v>
      </c>
      <c r="J277" s="105"/>
      <c r="K277" s="103" t="s">
        <v>34</v>
      </c>
      <c r="L277" s="105"/>
      <c r="M277" s="110" t="str">
        <f t="shared" si="41"/>
        <v/>
      </c>
      <c r="N277" s="110" t="str">
        <f t="shared" si="41"/>
        <v/>
      </c>
      <c r="O277" s="110" t="str">
        <f t="shared" si="41"/>
        <v/>
      </c>
      <c r="P277" s="110" t="str">
        <f t="shared" si="41"/>
        <v/>
      </c>
      <c r="Q277" s="110" t="str">
        <f t="shared" si="41"/>
        <v/>
      </c>
      <c r="R277" s="105" t="str">
        <f t="shared" si="41"/>
        <v/>
      </c>
      <c r="S277" s="105"/>
      <c r="T277" s="103" t="s">
        <v>61</v>
      </c>
      <c r="U277" s="103" t="s">
        <v>18</v>
      </c>
      <c r="V277" s="105"/>
    </row>
    <row r="278" spans="1:22" ht="13.5">
      <c r="A278" s="102">
        <v>45628.899854861113</v>
      </c>
      <c r="B278" s="103" t="s">
        <v>19</v>
      </c>
      <c r="C278" s="104" t="str">
        <f t="shared" si="39"/>
        <v>×</v>
      </c>
      <c r="D278" s="104" t="str">
        <f t="shared" si="39"/>
        <v>○</v>
      </c>
      <c r="E278" s="104" t="str">
        <f t="shared" si="39"/>
        <v>×</v>
      </c>
      <c r="F278" s="104" t="str">
        <f t="shared" si="39"/>
        <v>×</v>
      </c>
      <c r="G278" s="103" t="s">
        <v>20</v>
      </c>
      <c r="H278" s="105"/>
      <c r="I278" s="105"/>
      <c r="J278" s="103" t="s">
        <v>58</v>
      </c>
      <c r="K278" s="103" t="s">
        <v>16</v>
      </c>
      <c r="L278" s="103" t="s">
        <v>59</v>
      </c>
      <c r="M278" s="108" t="str">
        <f t="shared" si="41"/>
        <v/>
      </c>
      <c r="N278" s="108" t="str">
        <f t="shared" si="41"/>
        <v/>
      </c>
      <c r="O278" s="108" t="str">
        <f t="shared" si="41"/>
        <v/>
      </c>
      <c r="P278" s="108" t="str">
        <f t="shared" si="41"/>
        <v>○</v>
      </c>
      <c r="Q278" s="108" t="str">
        <f t="shared" si="41"/>
        <v/>
      </c>
      <c r="R278" s="103" t="str">
        <f t="shared" si="41"/>
        <v/>
      </c>
      <c r="S278" s="103" t="s">
        <v>1215</v>
      </c>
      <c r="T278" s="103" t="s">
        <v>30</v>
      </c>
      <c r="U278" s="103" t="s">
        <v>18</v>
      </c>
      <c r="V278" s="105"/>
    </row>
    <row r="279" spans="1:22" ht="13.5">
      <c r="A279" s="102">
        <v>45628.900357453706</v>
      </c>
      <c r="B279" s="103" t="s">
        <v>49</v>
      </c>
      <c r="C279" s="104" t="str">
        <f t="shared" si="39"/>
        <v>×</v>
      </c>
      <c r="D279" s="104" t="str">
        <f t="shared" si="39"/>
        <v>○</v>
      </c>
      <c r="E279" s="104" t="str">
        <f t="shared" si="39"/>
        <v>×</v>
      </c>
      <c r="F279" s="104" t="str">
        <f t="shared" si="39"/>
        <v>×</v>
      </c>
      <c r="G279" s="103" t="s">
        <v>20</v>
      </c>
      <c r="H279" s="105"/>
      <c r="I279" s="105"/>
      <c r="J279" s="103" t="s">
        <v>38</v>
      </c>
      <c r="K279" s="103" t="s">
        <v>16</v>
      </c>
      <c r="L279" s="103" t="s">
        <v>68</v>
      </c>
      <c r="M279" s="108" t="str">
        <f t="shared" si="41"/>
        <v/>
      </c>
      <c r="N279" s="108" t="str">
        <f t="shared" si="41"/>
        <v/>
      </c>
      <c r="O279" s="108" t="str">
        <f t="shared" si="41"/>
        <v/>
      </c>
      <c r="P279" s="108" t="str">
        <f t="shared" si="41"/>
        <v/>
      </c>
      <c r="Q279" s="108" t="str">
        <f t="shared" si="41"/>
        <v>○</v>
      </c>
      <c r="R279" s="103" t="str">
        <f t="shared" si="41"/>
        <v/>
      </c>
      <c r="S279" s="103" t="s">
        <v>1216</v>
      </c>
      <c r="T279" s="103" t="s">
        <v>35</v>
      </c>
      <c r="U279" s="103" t="s">
        <v>18</v>
      </c>
      <c r="V279" s="103" t="s">
        <v>1217</v>
      </c>
    </row>
    <row r="280" spans="1:22" ht="13.5">
      <c r="A280" s="102">
        <v>45628.902239710646</v>
      </c>
      <c r="B280" s="103" t="s">
        <v>239</v>
      </c>
      <c r="C280" s="104" t="str">
        <f t="shared" si="39"/>
        <v>×</v>
      </c>
      <c r="D280" s="104" t="str">
        <f t="shared" si="39"/>
        <v>○</v>
      </c>
      <c r="E280" s="104" t="str">
        <f t="shared" si="39"/>
        <v>×</v>
      </c>
      <c r="F280" s="104" t="str">
        <f t="shared" si="39"/>
        <v>×</v>
      </c>
      <c r="G280" s="103" t="s">
        <v>20</v>
      </c>
      <c r="H280" s="105"/>
      <c r="I280" s="105"/>
      <c r="J280" s="103" t="s">
        <v>38</v>
      </c>
      <c r="K280" s="103" t="s">
        <v>16</v>
      </c>
      <c r="L280" s="103" t="s">
        <v>88</v>
      </c>
      <c r="M280" s="108" t="str">
        <f t="shared" si="41"/>
        <v/>
      </c>
      <c r="N280" s="108" t="str">
        <f t="shared" si="41"/>
        <v>○</v>
      </c>
      <c r="O280" s="108" t="str">
        <f t="shared" si="41"/>
        <v/>
      </c>
      <c r="P280" s="108" t="str">
        <f t="shared" si="41"/>
        <v/>
      </c>
      <c r="Q280" s="108" t="str">
        <f t="shared" si="41"/>
        <v>○</v>
      </c>
      <c r="R280" s="103" t="str">
        <f t="shared" si="41"/>
        <v/>
      </c>
      <c r="S280" s="103" t="s">
        <v>1221</v>
      </c>
      <c r="T280" s="103" t="s">
        <v>30</v>
      </c>
      <c r="U280" s="103" t="s">
        <v>18</v>
      </c>
      <c r="V280" s="103" t="s">
        <v>1222</v>
      </c>
    </row>
    <row r="281" spans="1:22" ht="13.5">
      <c r="A281" s="102">
        <v>45628.902538877315</v>
      </c>
      <c r="B281" s="103" t="s">
        <v>181</v>
      </c>
      <c r="C281" s="104" t="str">
        <f t="shared" si="39"/>
        <v>×</v>
      </c>
      <c r="D281" s="104" t="str">
        <f t="shared" si="39"/>
        <v>○</v>
      </c>
      <c r="E281" s="104" t="str">
        <f t="shared" si="39"/>
        <v>×</v>
      </c>
      <c r="F281" s="104" t="str">
        <f t="shared" si="39"/>
        <v>×</v>
      </c>
      <c r="G281" s="103" t="s">
        <v>20</v>
      </c>
      <c r="H281" s="105"/>
      <c r="I281" s="105"/>
      <c r="J281" s="103" t="s">
        <v>21</v>
      </c>
      <c r="K281" s="103" t="s">
        <v>16</v>
      </c>
      <c r="L281" s="103" t="s">
        <v>68</v>
      </c>
      <c r="M281" s="108" t="str">
        <f t="shared" si="41"/>
        <v/>
      </c>
      <c r="N281" s="108" t="str">
        <f t="shared" si="41"/>
        <v/>
      </c>
      <c r="O281" s="108" t="str">
        <f t="shared" si="41"/>
        <v/>
      </c>
      <c r="P281" s="108" t="str">
        <f t="shared" si="41"/>
        <v/>
      </c>
      <c r="Q281" s="108" t="str">
        <f t="shared" si="41"/>
        <v>○</v>
      </c>
      <c r="R281" s="103" t="str">
        <f t="shared" si="41"/>
        <v/>
      </c>
      <c r="S281" s="105"/>
      <c r="T281" s="103" t="s">
        <v>30</v>
      </c>
      <c r="U281" s="103" t="s">
        <v>18</v>
      </c>
      <c r="V281" s="105"/>
    </row>
    <row r="282" spans="1:22" ht="13.5">
      <c r="A282" s="102">
        <v>45628.90544717593</v>
      </c>
      <c r="B282" s="103" t="s">
        <v>131</v>
      </c>
      <c r="C282" s="104" t="str">
        <f t="shared" ref="C282:F301" si="42">IF(ISERROR(FIND(C$1,$B282)),"×","○")</f>
        <v>×</v>
      </c>
      <c r="D282" s="104" t="str">
        <f t="shared" si="42"/>
        <v>○</v>
      </c>
      <c r="E282" s="104" t="str">
        <f t="shared" si="42"/>
        <v>○</v>
      </c>
      <c r="F282" s="104" t="str">
        <f t="shared" si="42"/>
        <v>×</v>
      </c>
      <c r="G282" s="103" t="s">
        <v>20</v>
      </c>
      <c r="H282" s="105"/>
      <c r="I282" s="105"/>
      <c r="J282" s="103" t="s">
        <v>21</v>
      </c>
      <c r="K282" s="103" t="s">
        <v>16</v>
      </c>
      <c r="L282" s="103" t="s">
        <v>88</v>
      </c>
      <c r="M282" s="108" t="str">
        <f t="shared" ref="M282:R291" si="43">IF(ISERROR(SEARCH(M$1,$L282)),"","○")</f>
        <v/>
      </c>
      <c r="N282" s="108" t="str">
        <f t="shared" si="43"/>
        <v>○</v>
      </c>
      <c r="O282" s="108" t="str">
        <f t="shared" si="43"/>
        <v/>
      </c>
      <c r="P282" s="108" t="str">
        <f t="shared" si="43"/>
        <v/>
      </c>
      <c r="Q282" s="108" t="str">
        <f t="shared" si="43"/>
        <v>○</v>
      </c>
      <c r="R282" s="103" t="str">
        <f t="shared" si="43"/>
        <v/>
      </c>
      <c r="S282" s="105"/>
      <c r="T282" s="103" t="s">
        <v>30</v>
      </c>
      <c r="U282" s="103" t="s">
        <v>18</v>
      </c>
      <c r="V282" s="105"/>
    </row>
    <row r="283" spans="1:22" ht="13.5">
      <c r="A283" s="102">
        <v>45628.919364270834</v>
      </c>
      <c r="B283" s="103" t="s">
        <v>49</v>
      </c>
      <c r="C283" s="104" t="str">
        <f t="shared" si="42"/>
        <v>×</v>
      </c>
      <c r="D283" s="104" t="str">
        <f t="shared" si="42"/>
        <v>○</v>
      </c>
      <c r="E283" s="104" t="str">
        <f t="shared" si="42"/>
        <v>×</v>
      </c>
      <c r="F283" s="104" t="str">
        <f t="shared" si="42"/>
        <v>×</v>
      </c>
      <c r="G283" s="103" t="s">
        <v>13</v>
      </c>
      <c r="H283" s="103" t="s">
        <v>27</v>
      </c>
      <c r="I283" s="103" t="s">
        <v>1256</v>
      </c>
      <c r="J283" s="105"/>
      <c r="K283" s="103" t="s">
        <v>34</v>
      </c>
      <c r="L283" s="105"/>
      <c r="M283" s="110" t="str">
        <f t="shared" si="43"/>
        <v/>
      </c>
      <c r="N283" s="110" t="str">
        <f t="shared" si="43"/>
        <v/>
      </c>
      <c r="O283" s="110" t="str">
        <f t="shared" si="43"/>
        <v/>
      </c>
      <c r="P283" s="110" t="str">
        <f t="shared" si="43"/>
        <v/>
      </c>
      <c r="Q283" s="110" t="str">
        <f t="shared" si="43"/>
        <v/>
      </c>
      <c r="R283" s="105" t="str">
        <f t="shared" si="43"/>
        <v/>
      </c>
      <c r="S283" s="105"/>
      <c r="T283" s="103" t="s">
        <v>35</v>
      </c>
      <c r="U283" s="103" t="s">
        <v>18</v>
      </c>
      <c r="V283" s="105"/>
    </row>
    <row r="284" spans="1:22" ht="13.5">
      <c r="A284" s="102">
        <v>45628.937705231481</v>
      </c>
      <c r="B284" s="103" t="s">
        <v>825</v>
      </c>
      <c r="C284" s="104" t="str">
        <f t="shared" si="42"/>
        <v>×</v>
      </c>
      <c r="D284" s="104" t="str">
        <f t="shared" si="42"/>
        <v>○</v>
      </c>
      <c r="E284" s="104" t="str">
        <f t="shared" si="42"/>
        <v>○</v>
      </c>
      <c r="F284" s="104" t="str">
        <f t="shared" si="42"/>
        <v>×</v>
      </c>
      <c r="G284" s="103" t="s">
        <v>20</v>
      </c>
      <c r="H284" s="105"/>
      <c r="I284" s="105"/>
      <c r="J284" s="103" t="s">
        <v>58</v>
      </c>
      <c r="K284" s="103" t="s">
        <v>16</v>
      </c>
      <c r="L284" s="103" t="s">
        <v>68</v>
      </c>
      <c r="M284" s="108" t="str">
        <f t="shared" si="43"/>
        <v/>
      </c>
      <c r="N284" s="108" t="str">
        <f t="shared" si="43"/>
        <v/>
      </c>
      <c r="O284" s="108" t="str">
        <f t="shared" si="43"/>
        <v/>
      </c>
      <c r="P284" s="108" t="str">
        <f t="shared" si="43"/>
        <v/>
      </c>
      <c r="Q284" s="108" t="str">
        <f t="shared" si="43"/>
        <v>○</v>
      </c>
      <c r="R284" s="103" t="str">
        <f t="shared" si="43"/>
        <v/>
      </c>
      <c r="S284" s="105"/>
      <c r="T284" s="103" t="s">
        <v>30</v>
      </c>
      <c r="U284" s="103" t="s">
        <v>18</v>
      </c>
      <c r="V284" s="105"/>
    </row>
    <row r="285" spans="1:22" ht="13.5">
      <c r="A285" s="102">
        <v>45628.941779224537</v>
      </c>
      <c r="B285" s="103" t="s">
        <v>455</v>
      </c>
      <c r="C285" s="104" t="str">
        <f t="shared" si="42"/>
        <v>○</v>
      </c>
      <c r="D285" s="104" t="str">
        <f t="shared" si="42"/>
        <v>○</v>
      </c>
      <c r="E285" s="104" t="str">
        <f t="shared" si="42"/>
        <v>×</v>
      </c>
      <c r="F285" s="104" t="str">
        <f t="shared" si="42"/>
        <v>×</v>
      </c>
      <c r="G285" s="103" t="s">
        <v>20</v>
      </c>
      <c r="H285" s="105"/>
      <c r="I285" s="105"/>
      <c r="J285" s="103" t="s">
        <v>58</v>
      </c>
      <c r="K285" s="103" t="s">
        <v>16</v>
      </c>
      <c r="L285" s="103" t="s">
        <v>1270</v>
      </c>
      <c r="M285" s="108" t="str">
        <f t="shared" si="43"/>
        <v/>
      </c>
      <c r="N285" s="108" t="str">
        <f t="shared" si="43"/>
        <v/>
      </c>
      <c r="O285" s="108" t="str">
        <f t="shared" si="43"/>
        <v/>
      </c>
      <c r="P285" s="108" t="str">
        <f t="shared" si="43"/>
        <v/>
      </c>
      <c r="Q285" s="108" t="str">
        <f t="shared" si="43"/>
        <v/>
      </c>
      <c r="R285" s="103" t="str">
        <f t="shared" si="43"/>
        <v/>
      </c>
      <c r="S285" s="103" t="s">
        <v>1271</v>
      </c>
      <c r="T285" s="103" t="s">
        <v>1272</v>
      </c>
      <c r="U285" s="103" t="s">
        <v>18</v>
      </c>
      <c r="V285" s="103" t="s">
        <v>1272</v>
      </c>
    </row>
    <row r="286" spans="1:22" ht="13.5">
      <c r="A286" s="102">
        <v>45628.943541527777</v>
      </c>
      <c r="B286" s="103" t="s">
        <v>93</v>
      </c>
      <c r="C286" s="104" t="str">
        <f t="shared" si="42"/>
        <v>×</v>
      </c>
      <c r="D286" s="104" t="str">
        <f t="shared" si="42"/>
        <v>×</v>
      </c>
      <c r="E286" s="104" t="str">
        <f t="shared" si="42"/>
        <v>○</v>
      </c>
      <c r="F286" s="104" t="str">
        <f t="shared" si="42"/>
        <v>×</v>
      </c>
      <c r="G286" s="103" t="s">
        <v>13</v>
      </c>
      <c r="H286" s="103" t="s">
        <v>27</v>
      </c>
      <c r="I286" s="103" t="s">
        <v>85</v>
      </c>
      <c r="J286" s="105"/>
      <c r="K286" s="103" t="s">
        <v>34</v>
      </c>
      <c r="L286" s="105"/>
      <c r="M286" s="110" t="str">
        <f t="shared" si="43"/>
        <v/>
      </c>
      <c r="N286" s="110" t="str">
        <f t="shared" si="43"/>
        <v/>
      </c>
      <c r="O286" s="110" t="str">
        <f t="shared" si="43"/>
        <v/>
      </c>
      <c r="P286" s="110" t="str">
        <f t="shared" si="43"/>
        <v/>
      </c>
      <c r="Q286" s="110" t="str">
        <f t="shared" si="43"/>
        <v/>
      </c>
      <c r="R286" s="105" t="str">
        <f t="shared" si="43"/>
        <v/>
      </c>
      <c r="S286" s="105"/>
      <c r="T286" s="103" t="s">
        <v>35</v>
      </c>
      <c r="U286" s="103" t="s">
        <v>18</v>
      </c>
      <c r="V286" s="105"/>
    </row>
    <row r="287" spans="1:22" ht="13.5">
      <c r="A287" s="102">
        <v>45628.94606170139</v>
      </c>
      <c r="B287" s="103" t="s">
        <v>64</v>
      </c>
      <c r="C287" s="104" t="str">
        <f t="shared" si="42"/>
        <v>○</v>
      </c>
      <c r="D287" s="104" t="str">
        <f t="shared" si="42"/>
        <v>○</v>
      </c>
      <c r="E287" s="104" t="str">
        <f t="shared" si="42"/>
        <v>×</v>
      </c>
      <c r="F287" s="104" t="str">
        <f t="shared" si="42"/>
        <v>×</v>
      </c>
      <c r="G287" s="103" t="s">
        <v>13</v>
      </c>
      <c r="H287" s="103" t="s">
        <v>77</v>
      </c>
      <c r="I287" s="103" t="s">
        <v>1276</v>
      </c>
      <c r="J287" s="105"/>
      <c r="K287" s="103" t="s">
        <v>34</v>
      </c>
      <c r="L287" s="105"/>
      <c r="M287" s="110" t="str">
        <f t="shared" si="43"/>
        <v/>
      </c>
      <c r="N287" s="110" t="str">
        <f t="shared" si="43"/>
        <v/>
      </c>
      <c r="O287" s="110" t="str">
        <f t="shared" si="43"/>
        <v/>
      </c>
      <c r="P287" s="110" t="str">
        <f t="shared" si="43"/>
        <v/>
      </c>
      <c r="Q287" s="110" t="str">
        <f t="shared" si="43"/>
        <v/>
      </c>
      <c r="R287" s="105" t="str">
        <f t="shared" si="43"/>
        <v/>
      </c>
      <c r="S287" s="105"/>
      <c r="T287" s="103" t="s">
        <v>1277</v>
      </c>
      <c r="U287" s="103" t="s">
        <v>18</v>
      </c>
      <c r="V287" s="105"/>
    </row>
    <row r="288" spans="1:22" ht="13.5">
      <c r="A288" s="102">
        <v>45628.968784224533</v>
      </c>
      <c r="B288" s="103" t="s">
        <v>49</v>
      </c>
      <c r="C288" s="104" t="str">
        <f t="shared" si="42"/>
        <v>×</v>
      </c>
      <c r="D288" s="104" t="str">
        <f t="shared" si="42"/>
        <v>○</v>
      </c>
      <c r="E288" s="104" t="str">
        <f t="shared" si="42"/>
        <v>×</v>
      </c>
      <c r="F288" s="104" t="str">
        <f t="shared" si="42"/>
        <v>×</v>
      </c>
      <c r="G288" s="103" t="s">
        <v>13</v>
      </c>
      <c r="H288" s="103" t="s">
        <v>77</v>
      </c>
      <c r="I288" s="103" t="s">
        <v>1285</v>
      </c>
      <c r="J288" s="105"/>
      <c r="K288" s="103" t="s">
        <v>34</v>
      </c>
      <c r="L288" s="105"/>
      <c r="M288" s="110" t="str">
        <f t="shared" si="43"/>
        <v/>
      </c>
      <c r="N288" s="110" t="str">
        <f t="shared" si="43"/>
        <v/>
      </c>
      <c r="O288" s="110" t="str">
        <f t="shared" si="43"/>
        <v/>
      </c>
      <c r="P288" s="110" t="str">
        <f t="shared" si="43"/>
        <v/>
      </c>
      <c r="Q288" s="110" t="str">
        <f t="shared" si="43"/>
        <v/>
      </c>
      <c r="R288" s="105" t="str">
        <f t="shared" si="43"/>
        <v/>
      </c>
      <c r="S288" s="105"/>
      <c r="T288" s="103" t="s">
        <v>35</v>
      </c>
      <c r="U288" s="103" t="s">
        <v>18</v>
      </c>
      <c r="V288" s="105"/>
    </row>
    <row r="289" spans="1:22" ht="13.5">
      <c r="A289" s="102">
        <v>45628.972051527773</v>
      </c>
      <c r="B289" s="103" t="s">
        <v>93</v>
      </c>
      <c r="C289" s="104" t="str">
        <f t="shared" si="42"/>
        <v>×</v>
      </c>
      <c r="D289" s="104" t="str">
        <f t="shared" si="42"/>
        <v>×</v>
      </c>
      <c r="E289" s="104" t="str">
        <f t="shared" si="42"/>
        <v>○</v>
      </c>
      <c r="F289" s="104" t="str">
        <f t="shared" si="42"/>
        <v>×</v>
      </c>
      <c r="G289" s="103" t="s">
        <v>20</v>
      </c>
      <c r="H289" s="105"/>
      <c r="I289" s="105"/>
      <c r="J289" s="103" t="s">
        <v>58</v>
      </c>
      <c r="K289" s="103" t="s">
        <v>16</v>
      </c>
      <c r="L289" s="103" t="s">
        <v>1286</v>
      </c>
      <c r="M289" s="108" t="str">
        <f t="shared" si="43"/>
        <v/>
      </c>
      <c r="N289" s="108" t="str">
        <f t="shared" si="43"/>
        <v/>
      </c>
      <c r="O289" s="108" t="str">
        <f t="shared" si="43"/>
        <v/>
      </c>
      <c r="P289" s="108" t="str">
        <f t="shared" si="43"/>
        <v/>
      </c>
      <c r="Q289" s="108" t="str">
        <f t="shared" si="43"/>
        <v/>
      </c>
      <c r="R289" s="103" t="str">
        <f t="shared" si="43"/>
        <v/>
      </c>
      <c r="S289" s="105"/>
      <c r="T289" s="103" t="s">
        <v>35</v>
      </c>
      <c r="U289" s="103" t="s">
        <v>18</v>
      </c>
      <c r="V289" s="105"/>
    </row>
    <row r="290" spans="1:22" ht="13.5">
      <c r="A290" s="102">
        <v>45628.986996574073</v>
      </c>
      <c r="B290" s="103" t="s">
        <v>528</v>
      </c>
      <c r="C290" s="104" t="str">
        <f t="shared" si="42"/>
        <v>×</v>
      </c>
      <c r="D290" s="104" t="str">
        <f t="shared" si="42"/>
        <v>○</v>
      </c>
      <c r="E290" s="104" t="str">
        <f t="shared" si="42"/>
        <v>×</v>
      </c>
      <c r="F290" s="104" t="str">
        <f t="shared" si="42"/>
        <v>×</v>
      </c>
      <c r="G290" s="103" t="s">
        <v>20</v>
      </c>
      <c r="H290" s="105"/>
      <c r="I290" s="105"/>
      <c r="J290" s="103" t="s">
        <v>38</v>
      </c>
      <c r="K290" s="103" t="s">
        <v>16</v>
      </c>
      <c r="L290" s="103" t="s">
        <v>39</v>
      </c>
      <c r="M290" s="108" t="str">
        <f t="shared" si="43"/>
        <v/>
      </c>
      <c r="N290" s="108" t="str">
        <f t="shared" si="43"/>
        <v>○</v>
      </c>
      <c r="O290" s="108" t="str">
        <f t="shared" si="43"/>
        <v/>
      </c>
      <c r="P290" s="108" t="str">
        <f t="shared" si="43"/>
        <v/>
      </c>
      <c r="Q290" s="108" t="str">
        <f t="shared" si="43"/>
        <v/>
      </c>
      <c r="R290" s="103" t="str">
        <f t="shared" si="43"/>
        <v/>
      </c>
      <c r="S290" s="105"/>
      <c r="T290" s="103" t="s">
        <v>24</v>
      </c>
      <c r="U290" s="103" t="s">
        <v>18</v>
      </c>
      <c r="V290" s="103" t="s">
        <v>1291</v>
      </c>
    </row>
    <row r="291" spans="1:22" ht="13.5">
      <c r="A291" s="102">
        <v>45628.992122592594</v>
      </c>
      <c r="B291" s="103" t="s">
        <v>1292</v>
      </c>
      <c r="C291" s="104" t="str">
        <f t="shared" si="42"/>
        <v>×</v>
      </c>
      <c r="D291" s="104" t="str">
        <f t="shared" si="42"/>
        <v>○</v>
      </c>
      <c r="E291" s="104" t="str">
        <f t="shared" si="42"/>
        <v>○</v>
      </c>
      <c r="F291" s="104" t="str">
        <f t="shared" si="42"/>
        <v>×</v>
      </c>
      <c r="G291" s="103" t="s">
        <v>20</v>
      </c>
      <c r="H291" s="105"/>
      <c r="I291" s="105"/>
      <c r="J291" s="103" t="s">
        <v>58</v>
      </c>
      <c r="K291" s="103" t="s">
        <v>16</v>
      </c>
      <c r="L291" s="103" t="s">
        <v>39</v>
      </c>
      <c r="M291" s="108" t="str">
        <f t="shared" si="43"/>
        <v/>
      </c>
      <c r="N291" s="108" t="str">
        <f t="shared" si="43"/>
        <v>○</v>
      </c>
      <c r="O291" s="108" t="str">
        <f t="shared" si="43"/>
        <v/>
      </c>
      <c r="P291" s="108" t="str">
        <f t="shared" si="43"/>
        <v/>
      </c>
      <c r="Q291" s="108" t="str">
        <f t="shared" si="43"/>
        <v/>
      </c>
      <c r="R291" s="103" t="str">
        <f t="shared" si="43"/>
        <v/>
      </c>
      <c r="S291" s="105"/>
      <c r="T291" s="103" t="s">
        <v>30</v>
      </c>
      <c r="U291" s="103" t="s">
        <v>18</v>
      </c>
      <c r="V291" s="105"/>
    </row>
    <row r="292" spans="1:22" ht="13.5">
      <c r="A292" s="102">
        <v>45628.992454884261</v>
      </c>
      <c r="B292" s="103" t="s">
        <v>199</v>
      </c>
      <c r="C292" s="104" t="str">
        <f t="shared" si="42"/>
        <v>×</v>
      </c>
      <c r="D292" s="104" t="str">
        <f t="shared" si="42"/>
        <v>○</v>
      </c>
      <c r="E292" s="104" t="str">
        <f t="shared" si="42"/>
        <v>×</v>
      </c>
      <c r="F292" s="104" t="str">
        <f t="shared" si="42"/>
        <v>×</v>
      </c>
      <c r="G292" s="103" t="s">
        <v>13</v>
      </c>
      <c r="H292" s="103" t="s">
        <v>27</v>
      </c>
      <c r="I292" s="103" t="s">
        <v>1293</v>
      </c>
      <c r="J292" s="105"/>
      <c r="K292" s="103" t="s">
        <v>34</v>
      </c>
      <c r="L292" s="105"/>
      <c r="M292" s="110" t="str">
        <f t="shared" ref="M292:R301" si="44">IF(ISERROR(SEARCH(M$1,$L292)),"","○")</f>
        <v/>
      </c>
      <c r="N292" s="110" t="str">
        <f t="shared" si="44"/>
        <v/>
      </c>
      <c r="O292" s="110" t="str">
        <f t="shared" si="44"/>
        <v/>
      </c>
      <c r="P292" s="110" t="str">
        <f t="shared" si="44"/>
        <v/>
      </c>
      <c r="Q292" s="110" t="str">
        <f t="shared" si="44"/>
        <v/>
      </c>
      <c r="R292" s="105" t="str">
        <f t="shared" si="44"/>
        <v/>
      </c>
      <c r="S292" s="105"/>
      <c r="T292" s="103" t="s">
        <v>30</v>
      </c>
      <c r="U292" s="103" t="s">
        <v>18</v>
      </c>
      <c r="V292" s="103" t="s">
        <v>1294</v>
      </c>
    </row>
    <row r="293" spans="1:22" ht="13.5">
      <c r="A293" s="102">
        <v>45628.994084791666</v>
      </c>
      <c r="B293" s="103" t="s">
        <v>41</v>
      </c>
      <c r="C293" s="104" t="str">
        <f t="shared" si="42"/>
        <v>×</v>
      </c>
      <c r="D293" s="104" t="str">
        <f t="shared" si="42"/>
        <v>○</v>
      </c>
      <c r="E293" s="104" t="str">
        <f t="shared" si="42"/>
        <v>×</v>
      </c>
      <c r="F293" s="104" t="str">
        <f t="shared" si="42"/>
        <v>×</v>
      </c>
      <c r="G293" s="103" t="s">
        <v>13</v>
      </c>
      <c r="H293" s="103" t="s">
        <v>27</v>
      </c>
      <c r="I293" s="103" t="s">
        <v>1295</v>
      </c>
      <c r="J293" s="105"/>
      <c r="K293" s="103" t="s">
        <v>34</v>
      </c>
      <c r="L293" s="105"/>
      <c r="M293" s="110" t="str">
        <f t="shared" si="44"/>
        <v/>
      </c>
      <c r="N293" s="110" t="str">
        <f t="shared" si="44"/>
        <v/>
      </c>
      <c r="O293" s="110" t="str">
        <f t="shared" si="44"/>
        <v/>
      </c>
      <c r="P293" s="110" t="str">
        <f t="shared" si="44"/>
        <v/>
      </c>
      <c r="Q293" s="110" t="str">
        <f t="shared" si="44"/>
        <v/>
      </c>
      <c r="R293" s="105" t="str">
        <f t="shared" si="44"/>
        <v/>
      </c>
      <c r="S293" s="105"/>
      <c r="T293" s="103" t="s">
        <v>35</v>
      </c>
      <c r="U293" s="103" t="s">
        <v>18</v>
      </c>
      <c r="V293" s="103" t="s">
        <v>1296</v>
      </c>
    </row>
    <row r="294" spans="1:22" ht="13.5">
      <c r="A294" s="102">
        <v>45629.197775532404</v>
      </c>
      <c r="B294" s="103" t="s">
        <v>12</v>
      </c>
      <c r="C294" s="104" t="str">
        <f t="shared" si="42"/>
        <v>○</v>
      </c>
      <c r="D294" s="104" t="str">
        <f t="shared" si="42"/>
        <v>○</v>
      </c>
      <c r="E294" s="104" t="str">
        <f t="shared" si="42"/>
        <v>×</v>
      </c>
      <c r="F294" s="104" t="str">
        <f t="shared" si="42"/>
        <v>×</v>
      </c>
      <c r="G294" s="103" t="s">
        <v>13</v>
      </c>
      <c r="H294" s="103" t="s">
        <v>27</v>
      </c>
      <c r="I294" s="103" t="s">
        <v>1307</v>
      </c>
      <c r="J294" s="105"/>
      <c r="K294" s="103" t="s">
        <v>34</v>
      </c>
      <c r="L294" s="105"/>
      <c r="M294" s="110" t="str">
        <f t="shared" si="44"/>
        <v/>
      </c>
      <c r="N294" s="110" t="str">
        <f t="shared" si="44"/>
        <v/>
      </c>
      <c r="O294" s="110" t="str">
        <f t="shared" si="44"/>
        <v/>
      </c>
      <c r="P294" s="110" t="str">
        <f t="shared" si="44"/>
        <v/>
      </c>
      <c r="Q294" s="110" t="str">
        <f t="shared" si="44"/>
        <v/>
      </c>
      <c r="R294" s="105" t="str">
        <f t="shared" si="44"/>
        <v/>
      </c>
      <c r="S294" s="105"/>
      <c r="T294" s="103" t="s">
        <v>61</v>
      </c>
      <c r="U294" s="103" t="s">
        <v>18</v>
      </c>
      <c r="V294" s="103" t="s">
        <v>1308</v>
      </c>
    </row>
    <row r="295" spans="1:22" ht="13.5">
      <c r="A295" s="102">
        <v>45629.223620856486</v>
      </c>
      <c r="B295" s="103" t="s">
        <v>19</v>
      </c>
      <c r="C295" s="104" t="str">
        <f t="shared" si="42"/>
        <v>×</v>
      </c>
      <c r="D295" s="104" t="str">
        <f t="shared" si="42"/>
        <v>○</v>
      </c>
      <c r="E295" s="104" t="str">
        <f t="shared" si="42"/>
        <v>×</v>
      </c>
      <c r="F295" s="104" t="str">
        <f t="shared" si="42"/>
        <v>×</v>
      </c>
      <c r="G295" s="103" t="s">
        <v>13</v>
      </c>
      <c r="H295" s="103" t="s">
        <v>27</v>
      </c>
      <c r="I295" s="103" t="s">
        <v>1311</v>
      </c>
      <c r="J295" s="105"/>
      <c r="K295" s="103" t="s">
        <v>34</v>
      </c>
      <c r="L295" s="105"/>
      <c r="M295" s="110" t="str">
        <f t="shared" si="44"/>
        <v/>
      </c>
      <c r="N295" s="110" t="str">
        <f t="shared" si="44"/>
        <v/>
      </c>
      <c r="O295" s="110" t="str">
        <f t="shared" si="44"/>
        <v/>
      </c>
      <c r="P295" s="110" t="str">
        <f t="shared" si="44"/>
        <v/>
      </c>
      <c r="Q295" s="110" t="str">
        <f t="shared" si="44"/>
        <v/>
      </c>
      <c r="R295" s="105" t="str">
        <f t="shared" si="44"/>
        <v/>
      </c>
      <c r="S295" s="105"/>
      <c r="T295" s="103" t="s">
        <v>1312</v>
      </c>
      <c r="U295" s="103" t="s">
        <v>18</v>
      </c>
      <c r="V295" s="105"/>
    </row>
    <row r="296" spans="1:22" ht="13.5">
      <c r="A296" s="102">
        <v>45629.252351435185</v>
      </c>
      <c r="B296" s="103" t="s">
        <v>41</v>
      </c>
      <c r="C296" s="104" t="str">
        <f t="shared" si="42"/>
        <v>×</v>
      </c>
      <c r="D296" s="104" t="str">
        <f t="shared" si="42"/>
        <v>○</v>
      </c>
      <c r="E296" s="104" t="str">
        <f t="shared" si="42"/>
        <v>×</v>
      </c>
      <c r="F296" s="104" t="str">
        <f t="shared" si="42"/>
        <v>×</v>
      </c>
      <c r="G296" s="103" t="s">
        <v>20</v>
      </c>
      <c r="H296" s="105"/>
      <c r="I296" s="105"/>
      <c r="J296" s="103" t="s">
        <v>38</v>
      </c>
      <c r="K296" s="103" t="s">
        <v>16</v>
      </c>
      <c r="L296" s="103" t="s">
        <v>88</v>
      </c>
      <c r="M296" s="108" t="str">
        <f t="shared" si="44"/>
        <v/>
      </c>
      <c r="N296" s="108" t="str">
        <f t="shared" si="44"/>
        <v>○</v>
      </c>
      <c r="O296" s="108" t="str">
        <f t="shared" si="44"/>
        <v/>
      </c>
      <c r="P296" s="108" t="str">
        <f t="shared" si="44"/>
        <v/>
      </c>
      <c r="Q296" s="108" t="str">
        <f t="shared" si="44"/>
        <v>○</v>
      </c>
      <c r="R296" s="103" t="str">
        <f t="shared" si="44"/>
        <v/>
      </c>
      <c r="S296" s="105"/>
      <c r="T296" s="103" t="s">
        <v>30</v>
      </c>
      <c r="U296" s="103" t="s">
        <v>18</v>
      </c>
      <c r="V296" s="105"/>
    </row>
    <row r="297" spans="1:22" ht="13.5">
      <c r="A297" s="102">
        <v>45629.265244618058</v>
      </c>
      <c r="B297" s="103" t="s">
        <v>90</v>
      </c>
      <c r="C297" s="104" t="str">
        <f t="shared" si="42"/>
        <v>×</v>
      </c>
      <c r="D297" s="104" t="str">
        <f t="shared" si="42"/>
        <v>×</v>
      </c>
      <c r="E297" s="104" t="str">
        <f t="shared" si="42"/>
        <v>○</v>
      </c>
      <c r="F297" s="104" t="str">
        <f t="shared" si="42"/>
        <v>×</v>
      </c>
      <c r="G297" s="103" t="s">
        <v>13</v>
      </c>
      <c r="H297" s="103" t="s">
        <v>27</v>
      </c>
      <c r="I297" s="103" t="s">
        <v>344</v>
      </c>
      <c r="J297" s="105"/>
      <c r="K297" s="103" t="s">
        <v>16</v>
      </c>
      <c r="L297" s="103" t="s">
        <v>39</v>
      </c>
      <c r="M297" s="108" t="str">
        <f t="shared" si="44"/>
        <v/>
      </c>
      <c r="N297" s="108" t="str">
        <f t="shared" si="44"/>
        <v>○</v>
      </c>
      <c r="O297" s="108" t="str">
        <f t="shared" si="44"/>
        <v/>
      </c>
      <c r="P297" s="108" t="str">
        <f t="shared" si="44"/>
        <v/>
      </c>
      <c r="Q297" s="108" t="str">
        <f t="shared" si="44"/>
        <v/>
      </c>
      <c r="R297" s="103" t="str">
        <f t="shared" si="44"/>
        <v/>
      </c>
      <c r="S297" s="105"/>
      <c r="T297" s="103" t="s">
        <v>35</v>
      </c>
      <c r="U297" s="103" t="s">
        <v>18</v>
      </c>
      <c r="V297" s="105"/>
    </row>
    <row r="298" spans="1:22" ht="13.5">
      <c r="A298" s="102">
        <v>45629.27723871528</v>
      </c>
      <c r="B298" s="103" t="s">
        <v>164</v>
      </c>
      <c r="C298" s="104" t="str">
        <f t="shared" si="42"/>
        <v>×</v>
      </c>
      <c r="D298" s="104" t="str">
        <f t="shared" si="42"/>
        <v>○</v>
      </c>
      <c r="E298" s="104" t="str">
        <f t="shared" si="42"/>
        <v>×</v>
      </c>
      <c r="F298" s="104" t="str">
        <f t="shared" si="42"/>
        <v>×</v>
      </c>
      <c r="G298" s="103" t="s">
        <v>13</v>
      </c>
      <c r="H298" s="103" t="s">
        <v>77</v>
      </c>
      <c r="I298" s="103" t="s">
        <v>1319</v>
      </c>
      <c r="J298" s="105"/>
      <c r="K298" s="103" t="s">
        <v>34</v>
      </c>
      <c r="L298" s="105"/>
      <c r="M298" s="110" t="str">
        <f t="shared" si="44"/>
        <v/>
      </c>
      <c r="N298" s="110" t="str">
        <f t="shared" si="44"/>
        <v/>
      </c>
      <c r="O298" s="110" t="str">
        <f t="shared" si="44"/>
        <v/>
      </c>
      <c r="P298" s="110" t="str">
        <f t="shared" si="44"/>
        <v/>
      </c>
      <c r="Q298" s="110" t="str">
        <f t="shared" si="44"/>
        <v/>
      </c>
      <c r="R298" s="105" t="str">
        <f t="shared" si="44"/>
        <v/>
      </c>
      <c r="S298" s="105"/>
      <c r="T298" s="103" t="s">
        <v>35</v>
      </c>
      <c r="U298" s="103" t="s">
        <v>18</v>
      </c>
      <c r="V298" s="105"/>
    </row>
    <row r="299" spans="1:22" ht="13.5">
      <c r="A299" s="102">
        <v>45629.289309675922</v>
      </c>
      <c r="B299" s="103" t="s">
        <v>49</v>
      </c>
      <c r="C299" s="104" t="str">
        <f t="shared" si="42"/>
        <v>×</v>
      </c>
      <c r="D299" s="104" t="str">
        <f t="shared" si="42"/>
        <v>○</v>
      </c>
      <c r="E299" s="104" t="str">
        <f t="shared" si="42"/>
        <v>×</v>
      </c>
      <c r="F299" s="104" t="str">
        <f t="shared" si="42"/>
        <v>×</v>
      </c>
      <c r="G299" s="103" t="s">
        <v>13</v>
      </c>
      <c r="H299" s="103" t="s">
        <v>27</v>
      </c>
      <c r="I299" s="103" t="s">
        <v>1325</v>
      </c>
      <c r="J299" s="105"/>
      <c r="K299" s="103" t="s">
        <v>34</v>
      </c>
      <c r="L299" s="105"/>
      <c r="M299" s="110" t="str">
        <f t="shared" si="44"/>
        <v/>
      </c>
      <c r="N299" s="110" t="str">
        <f t="shared" si="44"/>
        <v/>
      </c>
      <c r="O299" s="110" t="str">
        <f t="shared" si="44"/>
        <v/>
      </c>
      <c r="P299" s="110" t="str">
        <f t="shared" si="44"/>
        <v/>
      </c>
      <c r="Q299" s="110" t="str">
        <f t="shared" si="44"/>
        <v/>
      </c>
      <c r="R299" s="105" t="str">
        <f t="shared" si="44"/>
        <v/>
      </c>
      <c r="S299" s="105"/>
      <c r="T299" s="103" t="s">
        <v>24</v>
      </c>
      <c r="U299" s="103" t="s">
        <v>18</v>
      </c>
      <c r="V299" s="105"/>
    </row>
    <row r="300" spans="1:22" ht="13.5">
      <c r="A300" s="102">
        <v>45629.291347025464</v>
      </c>
      <c r="B300" s="103" t="s">
        <v>41</v>
      </c>
      <c r="C300" s="104" t="str">
        <f t="shared" si="42"/>
        <v>×</v>
      </c>
      <c r="D300" s="104" t="str">
        <f t="shared" si="42"/>
        <v>○</v>
      </c>
      <c r="E300" s="104" t="str">
        <f t="shared" si="42"/>
        <v>×</v>
      </c>
      <c r="F300" s="104" t="str">
        <f t="shared" si="42"/>
        <v>×</v>
      </c>
      <c r="G300" s="103" t="s">
        <v>13</v>
      </c>
      <c r="H300" s="103" t="s">
        <v>32</v>
      </c>
      <c r="I300" s="103" t="s">
        <v>1326</v>
      </c>
      <c r="J300" s="105"/>
      <c r="K300" s="103" t="s">
        <v>34</v>
      </c>
      <c r="L300" s="105"/>
      <c r="M300" s="110" t="str">
        <f t="shared" si="44"/>
        <v/>
      </c>
      <c r="N300" s="110" t="str">
        <f t="shared" si="44"/>
        <v/>
      </c>
      <c r="O300" s="110" t="str">
        <f t="shared" si="44"/>
        <v/>
      </c>
      <c r="P300" s="110" t="str">
        <f t="shared" si="44"/>
        <v/>
      </c>
      <c r="Q300" s="110" t="str">
        <f t="shared" si="44"/>
        <v/>
      </c>
      <c r="R300" s="105" t="str">
        <f t="shared" si="44"/>
        <v/>
      </c>
      <c r="S300" s="105"/>
      <c r="T300" s="103" t="s">
        <v>1327</v>
      </c>
      <c r="U300" s="103" t="s">
        <v>18</v>
      </c>
      <c r="V300" s="103" t="s">
        <v>1328</v>
      </c>
    </row>
    <row r="301" spans="1:22" ht="13.5">
      <c r="A301" s="102">
        <v>45629.296443391198</v>
      </c>
      <c r="B301" s="103" t="s">
        <v>407</v>
      </c>
      <c r="C301" s="104" t="str">
        <f t="shared" si="42"/>
        <v>×</v>
      </c>
      <c r="D301" s="104" t="str">
        <f t="shared" si="42"/>
        <v>○</v>
      </c>
      <c r="E301" s="104" t="str">
        <f t="shared" si="42"/>
        <v>○</v>
      </c>
      <c r="F301" s="104" t="str">
        <f t="shared" si="42"/>
        <v>×</v>
      </c>
      <c r="G301" s="103" t="s">
        <v>13</v>
      </c>
      <c r="H301" s="103" t="s">
        <v>32</v>
      </c>
      <c r="I301" s="103" t="s">
        <v>1330</v>
      </c>
      <c r="J301" s="105"/>
      <c r="K301" s="103" t="s">
        <v>34</v>
      </c>
      <c r="L301" s="105"/>
      <c r="M301" s="110" t="str">
        <f t="shared" si="44"/>
        <v/>
      </c>
      <c r="N301" s="110" t="str">
        <f t="shared" si="44"/>
        <v/>
      </c>
      <c r="O301" s="110" t="str">
        <f t="shared" si="44"/>
        <v/>
      </c>
      <c r="P301" s="110" t="str">
        <f t="shared" si="44"/>
        <v/>
      </c>
      <c r="Q301" s="110" t="str">
        <f t="shared" si="44"/>
        <v/>
      </c>
      <c r="R301" s="105" t="str">
        <f t="shared" si="44"/>
        <v/>
      </c>
      <c r="S301" s="105"/>
      <c r="T301" s="103" t="s">
        <v>35</v>
      </c>
      <c r="U301" s="103" t="s">
        <v>18</v>
      </c>
      <c r="V301" s="105"/>
    </row>
    <row r="302" spans="1:22" ht="13.5">
      <c r="A302" s="102">
        <v>45629.301213692132</v>
      </c>
      <c r="B302" s="103" t="s">
        <v>209</v>
      </c>
      <c r="C302" s="104" t="str">
        <f t="shared" ref="C302:F321" si="45">IF(ISERROR(FIND(C$1,$B302)),"×","○")</f>
        <v>○</v>
      </c>
      <c r="D302" s="104" t="str">
        <f t="shared" si="45"/>
        <v>○</v>
      </c>
      <c r="E302" s="104" t="str">
        <f t="shared" si="45"/>
        <v>×</v>
      </c>
      <c r="F302" s="104" t="str">
        <f t="shared" si="45"/>
        <v>×</v>
      </c>
      <c r="G302" s="103" t="s">
        <v>20</v>
      </c>
      <c r="H302" s="105"/>
      <c r="I302" s="105"/>
      <c r="J302" s="103" t="s">
        <v>21</v>
      </c>
      <c r="K302" s="103" t="s">
        <v>16</v>
      </c>
      <c r="L302" s="103" t="s">
        <v>88</v>
      </c>
      <c r="M302" s="108" t="str">
        <f t="shared" ref="M302:R311" si="46">IF(ISERROR(SEARCH(M$1,$L302)),"","○")</f>
        <v/>
      </c>
      <c r="N302" s="108" t="str">
        <f t="shared" si="46"/>
        <v>○</v>
      </c>
      <c r="O302" s="108" t="str">
        <f t="shared" si="46"/>
        <v/>
      </c>
      <c r="P302" s="108" t="str">
        <f t="shared" si="46"/>
        <v/>
      </c>
      <c r="Q302" s="108" t="str">
        <f t="shared" si="46"/>
        <v>○</v>
      </c>
      <c r="R302" s="103" t="str">
        <f t="shared" si="46"/>
        <v/>
      </c>
      <c r="S302" s="103" t="s">
        <v>1335</v>
      </c>
      <c r="T302" s="103" t="s">
        <v>30</v>
      </c>
      <c r="U302" s="103" t="s">
        <v>18</v>
      </c>
      <c r="V302" s="105"/>
    </row>
    <row r="303" spans="1:22" ht="13.5">
      <c r="A303" s="102">
        <v>45629.311243217591</v>
      </c>
      <c r="B303" s="103" t="s">
        <v>181</v>
      </c>
      <c r="C303" s="104" t="str">
        <f t="shared" si="45"/>
        <v>×</v>
      </c>
      <c r="D303" s="104" t="str">
        <f t="shared" si="45"/>
        <v>○</v>
      </c>
      <c r="E303" s="104" t="str">
        <f t="shared" si="45"/>
        <v>×</v>
      </c>
      <c r="F303" s="104" t="str">
        <f t="shared" si="45"/>
        <v>×</v>
      </c>
      <c r="G303" s="103" t="s">
        <v>13</v>
      </c>
      <c r="H303" s="103" t="s">
        <v>27</v>
      </c>
      <c r="I303" s="103" t="s">
        <v>1342</v>
      </c>
      <c r="J303" s="105"/>
      <c r="K303" s="103" t="s">
        <v>34</v>
      </c>
      <c r="L303" s="105"/>
      <c r="M303" s="110" t="str">
        <f t="shared" si="46"/>
        <v/>
      </c>
      <c r="N303" s="110" t="str">
        <f t="shared" si="46"/>
        <v/>
      </c>
      <c r="O303" s="110" t="str">
        <f t="shared" si="46"/>
        <v/>
      </c>
      <c r="P303" s="110" t="str">
        <f t="shared" si="46"/>
        <v/>
      </c>
      <c r="Q303" s="110" t="str">
        <f t="shared" si="46"/>
        <v/>
      </c>
      <c r="R303" s="105" t="str">
        <f t="shared" si="46"/>
        <v/>
      </c>
      <c r="S303" s="105"/>
      <c r="T303" s="103" t="s">
        <v>35</v>
      </c>
      <c r="U303" s="103" t="s">
        <v>18</v>
      </c>
      <c r="V303" s="103" t="s">
        <v>1343</v>
      </c>
    </row>
    <row r="304" spans="1:22" ht="13.5">
      <c r="A304" s="102">
        <v>45629.314248807874</v>
      </c>
      <c r="B304" s="103" t="s">
        <v>57</v>
      </c>
      <c r="C304" s="104" t="str">
        <f t="shared" si="45"/>
        <v>×</v>
      </c>
      <c r="D304" s="104" t="str">
        <f t="shared" si="45"/>
        <v>○</v>
      </c>
      <c r="E304" s="104" t="str">
        <f t="shared" si="45"/>
        <v>×</v>
      </c>
      <c r="F304" s="104" t="str">
        <f t="shared" si="45"/>
        <v>×</v>
      </c>
      <c r="G304" s="103" t="s">
        <v>20</v>
      </c>
      <c r="H304" s="105"/>
      <c r="I304" s="105"/>
      <c r="J304" s="103" t="s">
        <v>1344</v>
      </c>
      <c r="K304" s="103" t="s">
        <v>16</v>
      </c>
      <c r="L304" s="103" t="s">
        <v>68</v>
      </c>
      <c r="M304" s="108" t="str">
        <f t="shared" si="46"/>
        <v/>
      </c>
      <c r="N304" s="108" t="str">
        <f t="shared" si="46"/>
        <v/>
      </c>
      <c r="O304" s="108" t="str">
        <f t="shared" si="46"/>
        <v/>
      </c>
      <c r="P304" s="108" t="str">
        <f t="shared" si="46"/>
        <v/>
      </c>
      <c r="Q304" s="108" t="str">
        <f t="shared" si="46"/>
        <v>○</v>
      </c>
      <c r="R304" s="103" t="str">
        <f t="shared" si="46"/>
        <v/>
      </c>
      <c r="S304" s="103" t="s">
        <v>1345</v>
      </c>
      <c r="T304" s="103" t="s">
        <v>30</v>
      </c>
      <c r="U304" s="103" t="s">
        <v>18</v>
      </c>
      <c r="V304" s="103" t="s">
        <v>1346</v>
      </c>
    </row>
    <row r="305" spans="1:22" ht="13.5">
      <c r="A305" s="102">
        <v>45629.330303900468</v>
      </c>
      <c r="B305" s="103" t="s">
        <v>90</v>
      </c>
      <c r="C305" s="104" t="str">
        <f t="shared" si="45"/>
        <v>×</v>
      </c>
      <c r="D305" s="104" t="str">
        <f t="shared" si="45"/>
        <v>×</v>
      </c>
      <c r="E305" s="104" t="str">
        <f t="shared" si="45"/>
        <v>○</v>
      </c>
      <c r="F305" s="104" t="str">
        <f t="shared" si="45"/>
        <v>×</v>
      </c>
      <c r="G305" s="103" t="s">
        <v>20</v>
      </c>
      <c r="H305" s="105"/>
      <c r="I305" s="105"/>
      <c r="J305" s="103" t="s">
        <v>58</v>
      </c>
      <c r="K305" s="103" t="s">
        <v>16</v>
      </c>
      <c r="L305" s="103" t="s">
        <v>39</v>
      </c>
      <c r="M305" s="108" t="str">
        <f t="shared" si="46"/>
        <v/>
      </c>
      <c r="N305" s="108" t="str">
        <f t="shared" si="46"/>
        <v>○</v>
      </c>
      <c r="O305" s="108" t="str">
        <f t="shared" si="46"/>
        <v/>
      </c>
      <c r="P305" s="108" t="str">
        <f t="shared" si="46"/>
        <v/>
      </c>
      <c r="Q305" s="108" t="str">
        <f t="shared" si="46"/>
        <v/>
      </c>
      <c r="R305" s="103" t="str">
        <f t="shared" si="46"/>
        <v/>
      </c>
      <c r="S305" s="105"/>
      <c r="T305" s="103" t="s">
        <v>30</v>
      </c>
      <c r="U305" s="103" t="s">
        <v>18</v>
      </c>
      <c r="V305" s="105"/>
    </row>
    <row r="306" spans="1:22" ht="13.5">
      <c r="A306" s="102">
        <v>45629.335605960645</v>
      </c>
      <c r="B306" s="103" t="s">
        <v>90</v>
      </c>
      <c r="C306" s="104" t="str">
        <f t="shared" si="45"/>
        <v>×</v>
      </c>
      <c r="D306" s="104" t="str">
        <f t="shared" si="45"/>
        <v>×</v>
      </c>
      <c r="E306" s="104" t="str">
        <f t="shared" si="45"/>
        <v>○</v>
      </c>
      <c r="F306" s="104" t="str">
        <f t="shared" si="45"/>
        <v>×</v>
      </c>
      <c r="G306" s="103" t="s">
        <v>13</v>
      </c>
      <c r="H306" s="103" t="s">
        <v>27</v>
      </c>
      <c r="I306" s="103" t="s">
        <v>1353</v>
      </c>
      <c r="J306" s="105"/>
      <c r="K306" s="103" t="s">
        <v>34</v>
      </c>
      <c r="L306" s="105"/>
      <c r="M306" s="110" t="str">
        <f t="shared" si="46"/>
        <v/>
      </c>
      <c r="N306" s="110" t="str">
        <f t="shared" si="46"/>
        <v/>
      </c>
      <c r="O306" s="110" t="str">
        <f t="shared" si="46"/>
        <v/>
      </c>
      <c r="P306" s="110" t="str">
        <f t="shared" si="46"/>
        <v/>
      </c>
      <c r="Q306" s="110" t="str">
        <f t="shared" si="46"/>
        <v/>
      </c>
      <c r="R306" s="105" t="str">
        <f t="shared" si="46"/>
        <v/>
      </c>
      <c r="S306" s="105"/>
      <c r="T306" s="103" t="s">
        <v>35</v>
      </c>
      <c r="U306" s="103" t="s">
        <v>18</v>
      </c>
      <c r="V306" s="105"/>
    </row>
    <row r="307" spans="1:22" ht="13.5">
      <c r="A307" s="102">
        <v>45629.340331145839</v>
      </c>
      <c r="B307" s="103" t="s">
        <v>181</v>
      </c>
      <c r="C307" s="104" t="str">
        <f t="shared" si="45"/>
        <v>×</v>
      </c>
      <c r="D307" s="104" t="str">
        <f t="shared" si="45"/>
        <v>○</v>
      </c>
      <c r="E307" s="104" t="str">
        <f t="shared" si="45"/>
        <v>×</v>
      </c>
      <c r="F307" s="104" t="str">
        <f t="shared" si="45"/>
        <v>×</v>
      </c>
      <c r="G307" s="103" t="s">
        <v>13</v>
      </c>
      <c r="H307" s="103" t="s">
        <v>77</v>
      </c>
      <c r="I307" s="103" t="s">
        <v>1354</v>
      </c>
      <c r="J307" s="105"/>
      <c r="K307" s="103" t="s">
        <v>16</v>
      </c>
      <c r="L307" s="103" t="s">
        <v>1355</v>
      </c>
      <c r="M307" s="108" t="str">
        <f t="shared" si="46"/>
        <v/>
      </c>
      <c r="N307" s="108" t="str">
        <f t="shared" si="46"/>
        <v/>
      </c>
      <c r="O307" s="108" t="str">
        <f t="shared" si="46"/>
        <v/>
      </c>
      <c r="P307" s="108" t="str">
        <f t="shared" si="46"/>
        <v/>
      </c>
      <c r="Q307" s="108" t="str">
        <f t="shared" si="46"/>
        <v/>
      </c>
      <c r="R307" s="103" t="str">
        <f t="shared" si="46"/>
        <v/>
      </c>
      <c r="S307" s="105"/>
      <c r="T307" s="103" t="s">
        <v>61</v>
      </c>
      <c r="U307" s="103" t="s">
        <v>18</v>
      </c>
      <c r="V307" s="105"/>
    </row>
    <row r="308" spans="1:22" ht="13.5">
      <c r="A308" s="102">
        <v>45629.340920046292</v>
      </c>
      <c r="B308" s="103" t="s">
        <v>12</v>
      </c>
      <c r="C308" s="104" t="str">
        <f t="shared" si="45"/>
        <v>○</v>
      </c>
      <c r="D308" s="104" t="str">
        <f t="shared" si="45"/>
        <v>○</v>
      </c>
      <c r="E308" s="104" t="str">
        <f t="shared" si="45"/>
        <v>×</v>
      </c>
      <c r="F308" s="104" t="str">
        <f t="shared" si="45"/>
        <v>×</v>
      </c>
      <c r="G308" s="103" t="s">
        <v>13</v>
      </c>
      <c r="H308" s="103" t="s">
        <v>27</v>
      </c>
      <c r="I308" s="103" t="s">
        <v>1356</v>
      </c>
      <c r="J308" s="105"/>
      <c r="K308" s="103" t="s">
        <v>34</v>
      </c>
      <c r="L308" s="105"/>
      <c r="M308" s="110" t="str">
        <f t="shared" si="46"/>
        <v/>
      </c>
      <c r="N308" s="110" t="str">
        <f t="shared" si="46"/>
        <v/>
      </c>
      <c r="O308" s="110" t="str">
        <f t="shared" si="46"/>
        <v/>
      </c>
      <c r="P308" s="110" t="str">
        <f t="shared" si="46"/>
        <v/>
      </c>
      <c r="Q308" s="110" t="str">
        <f t="shared" si="46"/>
        <v/>
      </c>
      <c r="R308" s="105" t="str">
        <f t="shared" si="46"/>
        <v/>
      </c>
      <c r="S308" s="105"/>
      <c r="T308" s="103" t="s">
        <v>35</v>
      </c>
      <c r="U308" s="103" t="s">
        <v>18</v>
      </c>
      <c r="V308" s="103" t="s">
        <v>1357</v>
      </c>
    </row>
    <row r="309" spans="1:22" ht="13.5">
      <c r="A309" s="102">
        <v>45629.342976157408</v>
      </c>
      <c r="B309" s="103" t="s">
        <v>181</v>
      </c>
      <c r="C309" s="104" t="str">
        <f t="shared" si="45"/>
        <v>×</v>
      </c>
      <c r="D309" s="104" t="str">
        <f t="shared" si="45"/>
        <v>○</v>
      </c>
      <c r="E309" s="104" t="str">
        <f t="shared" si="45"/>
        <v>×</v>
      </c>
      <c r="F309" s="104" t="str">
        <f t="shared" si="45"/>
        <v>×</v>
      </c>
      <c r="G309" s="103" t="s">
        <v>13</v>
      </c>
      <c r="H309" s="103" t="s">
        <v>32</v>
      </c>
      <c r="I309" s="103" t="s">
        <v>1358</v>
      </c>
      <c r="J309" s="105"/>
      <c r="K309" s="103" t="s">
        <v>34</v>
      </c>
      <c r="L309" s="105"/>
      <c r="M309" s="110" t="str">
        <f t="shared" si="46"/>
        <v/>
      </c>
      <c r="N309" s="110" t="str">
        <f t="shared" si="46"/>
        <v/>
      </c>
      <c r="O309" s="110" t="str">
        <f t="shared" si="46"/>
        <v/>
      </c>
      <c r="P309" s="110" t="str">
        <f t="shared" si="46"/>
        <v/>
      </c>
      <c r="Q309" s="110" t="str">
        <f t="shared" si="46"/>
        <v/>
      </c>
      <c r="R309" s="105" t="str">
        <f t="shared" si="46"/>
        <v/>
      </c>
      <c r="S309" s="105"/>
      <c r="T309" s="103" t="s">
        <v>61</v>
      </c>
      <c r="U309" s="103" t="s">
        <v>18</v>
      </c>
      <c r="V309" s="105"/>
    </row>
    <row r="310" spans="1:22" ht="13.5">
      <c r="A310" s="102">
        <v>45629.345589571763</v>
      </c>
      <c r="B310" s="103" t="s">
        <v>315</v>
      </c>
      <c r="C310" s="104" t="str">
        <f t="shared" si="45"/>
        <v>×</v>
      </c>
      <c r="D310" s="104" t="str">
        <f t="shared" si="45"/>
        <v>○</v>
      </c>
      <c r="E310" s="104" t="str">
        <f t="shared" si="45"/>
        <v>×</v>
      </c>
      <c r="F310" s="104" t="str">
        <f t="shared" si="45"/>
        <v>×</v>
      </c>
      <c r="G310" s="103" t="s">
        <v>13</v>
      </c>
      <c r="H310" s="103" t="s">
        <v>32</v>
      </c>
      <c r="I310" s="103" t="s">
        <v>1359</v>
      </c>
      <c r="J310" s="105"/>
      <c r="K310" s="103" t="s">
        <v>34</v>
      </c>
      <c r="L310" s="105"/>
      <c r="M310" s="110" t="str">
        <f t="shared" si="46"/>
        <v/>
      </c>
      <c r="N310" s="110" t="str">
        <f t="shared" si="46"/>
        <v/>
      </c>
      <c r="O310" s="110" t="str">
        <f t="shared" si="46"/>
        <v/>
      </c>
      <c r="P310" s="110" t="str">
        <f t="shared" si="46"/>
        <v/>
      </c>
      <c r="Q310" s="110" t="str">
        <f t="shared" si="46"/>
        <v/>
      </c>
      <c r="R310" s="105" t="str">
        <f t="shared" si="46"/>
        <v/>
      </c>
      <c r="S310" s="105"/>
      <c r="T310" s="103" t="s">
        <v>35</v>
      </c>
      <c r="U310" s="103" t="s">
        <v>18</v>
      </c>
      <c r="V310" s="103" t="s">
        <v>1360</v>
      </c>
    </row>
    <row r="311" spans="1:22" ht="13.5">
      <c r="A311" s="102">
        <v>45629.35810813657</v>
      </c>
      <c r="B311" s="103" t="s">
        <v>67</v>
      </c>
      <c r="C311" s="104" t="str">
        <f t="shared" si="45"/>
        <v>×</v>
      </c>
      <c r="D311" s="104" t="str">
        <f t="shared" si="45"/>
        <v>○</v>
      </c>
      <c r="E311" s="104" t="str">
        <f t="shared" si="45"/>
        <v>×</v>
      </c>
      <c r="F311" s="104" t="str">
        <f t="shared" si="45"/>
        <v>×</v>
      </c>
      <c r="G311" s="103" t="s">
        <v>20</v>
      </c>
      <c r="H311" s="105"/>
      <c r="I311" s="105"/>
      <c r="J311" s="103" t="s">
        <v>58</v>
      </c>
      <c r="K311" s="103" t="s">
        <v>16</v>
      </c>
      <c r="L311" s="103" t="s">
        <v>68</v>
      </c>
      <c r="M311" s="108" t="str">
        <f t="shared" si="46"/>
        <v/>
      </c>
      <c r="N311" s="108" t="str">
        <f t="shared" si="46"/>
        <v/>
      </c>
      <c r="O311" s="108" t="str">
        <f t="shared" si="46"/>
        <v/>
      </c>
      <c r="P311" s="108" t="str">
        <f t="shared" si="46"/>
        <v/>
      </c>
      <c r="Q311" s="108" t="str">
        <f t="shared" si="46"/>
        <v>○</v>
      </c>
      <c r="R311" s="103" t="str">
        <f t="shared" si="46"/>
        <v/>
      </c>
      <c r="S311" s="103" t="s">
        <v>1364</v>
      </c>
      <c r="T311" s="103" t="s">
        <v>24</v>
      </c>
      <c r="U311" s="103" t="s">
        <v>18</v>
      </c>
      <c r="V311" s="103" t="s">
        <v>1365</v>
      </c>
    </row>
    <row r="312" spans="1:22" ht="13.5">
      <c r="A312" s="102">
        <v>45629.359964305557</v>
      </c>
      <c r="B312" s="103" t="s">
        <v>1233</v>
      </c>
      <c r="C312" s="104" t="str">
        <f t="shared" si="45"/>
        <v>×</v>
      </c>
      <c r="D312" s="104" t="str">
        <f t="shared" si="45"/>
        <v>○</v>
      </c>
      <c r="E312" s="104" t="str">
        <f t="shared" si="45"/>
        <v>○</v>
      </c>
      <c r="F312" s="104" t="str">
        <f t="shared" si="45"/>
        <v>×</v>
      </c>
      <c r="G312" s="103" t="s">
        <v>13</v>
      </c>
      <c r="H312" s="103" t="s">
        <v>27</v>
      </c>
      <c r="I312" s="103" t="s">
        <v>1366</v>
      </c>
      <c r="J312" s="105"/>
      <c r="K312" s="103" t="s">
        <v>16</v>
      </c>
      <c r="L312" s="103" t="s">
        <v>29</v>
      </c>
      <c r="M312" s="108" t="str">
        <f t="shared" ref="M312:R321" si="47">IF(ISERROR(SEARCH(M$1,$L312)),"","○")</f>
        <v/>
      </c>
      <c r="N312" s="108" t="str">
        <f t="shared" si="47"/>
        <v/>
      </c>
      <c r="O312" s="108" t="str">
        <f t="shared" si="47"/>
        <v/>
      </c>
      <c r="P312" s="108" t="str">
        <f t="shared" si="47"/>
        <v/>
      </c>
      <c r="Q312" s="108" t="str">
        <f t="shared" si="47"/>
        <v/>
      </c>
      <c r="R312" s="103" t="str">
        <f t="shared" si="47"/>
        <v>○</v>
      </c>
      <c r="S312" s="105"/>
      <c r="T312" s="103" t="s">
        <v>35</v>
      </c>
      <c r="U312" s="103" t="s">
        <v>18</v>
      </c>
      <c r="V312" s="105"/>
    </row>
    <row r="313" spans="1:22" ht="13.5">
      <c r="A313" s="102">
        <v>45629.397766828704</v>
      </c>
      <c r="B313" s="103" t="s">
        <v>93</v>
      </c>
      <c r="C313" s="104" t="str">
        <f t="shared" si="45"/>
        <v>×</v>
      </c>
      <c r="D313" s="104" t="str">
        <f t="shared" si="45"/>
        <v>×</v>
      </c>
      <c r="E313" s="104" t="str">
        <f t="shared" si="45"/>
        <v>○</v>
      </c>
      <c r="F313" s="104" t="str">
        <f t="shared" si="45"/>
        <v>×</v>
      </c>
      <c r="G313" s="103" t="s">
        <v>13</v>
      </c>
      <c r="H313" s="103" t="s">
        <v>32</v>
      </c>
      <c r="I313" s="103" t="s">
        <v>1371</v>
      </c>
      <c r="J313" s="105"/>
      <c r="K313" s="103" t="s">
        <v>16</v>
      </c>
      <c r="L313" s="103" t="s">
        <v>1372</v>
      </c>
      <c r="M313" s="108" t="str">
        <f t="shared" si="47"/>
        <v/>
      </c>
      <c r="N313" s="108" t="str">
        <f t="shared" si="47"/>
        <v/>
      </c>
      <c r="O313" s="108" t="str">
        <f t="shared" si="47"/>
        <v/>
      </c>
      <c r="P313" s="108" t="str">
        <f t="shared" si="47"/>
        <v/>
      </c>
      <c r="Q313" s="108" t="str">
        <f t="shared" si="47"/>
        <v/>
      </c>
      <c r="R313" s="103" t="str">
        <f t="shared" si="47"/>
        <v/>
      </c>
      <c r="S313" s="105"/>
      <c r="T313" s="103" t="s">
        <v>35</v>
      </c>
      <c r="U313" s="103" t="s">
        <v>18</v>
      </c>
      <c r="V313" s="103" t="s">
        <v>1373</v>
      </c>
    </row>
    <row r="314" spans="1:22" ht="13.5">
      <c r="A314" s="102">
        <v>45629.418487326388</v>
      </c>
      <c r="B314" s="103" t="s">
        <v>164</v>
      </c>
      <c r="C314" s="104" t="str">
        <f t="shared" si="45"/>
        <v>×</v>
      </c>
      <c r="D314" s="104" t="str">
        <f t="shared" si="45"/>
        <v>○</v>
      </c>
      <c r="E314" s="104" t="str">
        <f t="shared" si="45"/>
        <v>×</v>
      </c>
      <c r="F314" s="104" t="str">
        <f t="shared" si="45"/>
        <v>×</v>
      </c>
      <c r="G314" s="103" t="s">
        <v>13</v>
      </c>
      <c r="H314" s="103" t="s">
        <v>77</v>
      </c>
      <c r="I314" s="103" t="s">
        <v>1376</v>
      </c>
      <c r="J314" s="105"/>
      <c r="K314" s="103" t="s">
        <v>34</v>
      </c>
      <c r="L314" s="105"/>
      <c r="M314" s="110" t="str">
        <f t="shared" si="47"/>
        <v/>
      </c>
      <c r="N314" s="110" t="str">
        <f t="shared" si="47"/>
        <v/>
      </c>
      <c r="O314" s="110" t="str">
        <f t="shared" si="47"/>
        <v/>
      </c>
      <c r="P314" s="110" t="str">
        <f t="shared" si="47"/>
        <v/>
      </c>
      <c r="Q314" s="110" t="str">
        <f t="shared" si="47"/>
        <v/>
      </c>
      <c r="R314" s="105" t="str">
        <f t="shared" si="47"/>
        <v/>
      </c>
      <c r="S314" s="105"/>
      <c r="T314" s="103" t="s">
        <v>35</v>
      </c>
      <c r="U314" s="103" t="s">
        <v>18</v>
      </c>
      <c r="V314" s="105"/>
    </row>
    <row r="315" spans="1:22" ht="13.5">
      <c r="A315" s="102">
        <v>45629.48234170139</v>
      </c>
      <c r="B315" s="103" t="s">
        <v>131</v>
      </c>
      <c r="C315" s="104" t="str">
        <f t="shared" si="45"/>
        <v>×</v>
      </c>
      <c r="D315" s="104" t="str">
        <f t="shared" si="45"/>
        <v>○</v>
      </c>
      <c r="E315" s="104" t="str">
        <f t="shared" si="45"/>
        <v>○</v>
      </c>
      <c r="F315" s="104" t="str">
        <f t="shared" si="45"/>
        <v>×</v>
      </c>
      <c r="G315" s="103" t="s">
        <v>13</v>
      </c>
      <c r="H315" s="103" t="s">
        <v>32</v>
      </c>
      <c r="I315" s="103" t="s">
        <v>1378</v>
      </c>
      <c r="J315" s="105"/>
      <c r="K315" s="103" t="s">
        <v>34</v>
      </c>
      <c r="L315" s="105"/>
      <c r="M315" s="110" t="str">
        <f t="shared" si="47"/>
        <v/>
      </c>
      <c r="N315" s="110" t="str">
        <f t="shared" si="47"/>
        <v/>
      </c>
      <c r="O315" s="110" t="str">
        <f t="shared" si="47"/>
        <v/>
      </c>
      <c r="P315" s="110" t="str">
        <f t="shared" si="47"/>
        <v/>
      </c>
      <c r="Q315" s="110" t="str">
        <f t="shared" si="47"/>
        <v/>
      </c>
      <c r="R315" s="105" t="str">
        <f t="shared" si="47"/>
        <v/>
      </c>
      <c r="S315" s="105"/>
      <c r="T315" s="103" t="s">
        <v>61</v>
      </c>
      <c r="U315" s="103" t="s">
        <v>18</v>
      </c>
      <c r="V315" s="105"/>
    </row>
    <row r="316" spans="1:22" ht="13.5">
      <c r="A316" s="102">
        <v>45629.513405868056</v>
      </c>
      <c r="B316" s="103" t="s">
        <v>164</v>
      </c>
      <c r="C316" s="104" t="str">
        <f t="shared" si="45"/>
        <v>×</v>
      </c>
      <c r="D316" s="104" t="str">
        <f t="shared" si="45"/>
        <v>○</v>
      </c>
      <c r="E316" s="104" t="str">
        <f t="shared" si="45"/>
        <v>×</v>
      </c>
      <c r="F316" s="104" t="str">
        <f t="shared" si="45"/>
        <v>×</v>
      </c>
      <c r="G316" s="103" t="s">
        <v>20</v>
      </c>
      <c r="H316" s="105"/>
      <c r="I316" s="105"/>
      <c r="J316" s="103" t="s">
        <v>38</v>
      </c>
      <c r="K316" s="103" t="s">
        <v>16</v>
      </c>
      <c r="L316" s="103" t="s">
        <v>39</v>
      </c>
      <c r="M316" s="108" t="str">
        <f t="shared" si="47"/>
        <v/>
      </c>
      <c r="N316" s="108" t="str">
        <f t="shared" si="47"/>
        <v>○</v>
      </c>
      <c r="O316" s="108" t="str">
        <f t="shared" si="47"/>
        <v/>
      </c>
      <c r="P316" s="108" t="str">
        <f t="shared" si="47"/>
        <v/>
      </c>
      <c r="Q316" s="108" t="str">
        <f t="shared" si="47"/>
        <v/>
      </c>
      <c r="R316" s="103" t="str">
        <f t="shared" si="47"/>
        <v/>
      </c>
      <c r="S316" s="105"/>
      <c r="T316" s="103" t="s">
        <v>35</v>
      </c>
      <c r="U316" s="103" t="s">
        <v>18</v>
      </c>
      <c r="V316" s="105"/>
    </row>
    <row r="317" spans="1:22" ht="13.5">
      <c r="A317" s="102">
        <v>45629.539826446759</v>
      </c>
      <c r="B317" s="103" t="s">
        <v>64</v>
      </c>
      <c r="C317" s="104" t="str">
        <f t="shared" si="45"/>
        <v>○</v>
      </c>
      <c r="D317" s="104" t="str">
        <f t="shared" si="45"/>
        <v>○</v>
      </c>
      <c r="E317" s="104" t="str">
        <f t="shared" si="45"/>
        <v>×</v>
      </c>
      <c r="F317" s="104" t="str">
        <f t="shared" si="45"/>
        <v>×</v>
      </c>
      <c r="G317" s="103" t="s">
        <v>13</v>
      </c>
      <c r="H317" s="103" t="s">
        <v>77</v>
      </c>
      <c r="I317" s="103" t="s">
        <v>1384</v>
      </c>
      <c r="J317" s="105"/>
      <c r="K317" s="103" t="s">
        <v>16</v>
      </c>
      <c r="L317" s="103" t="s">
        <v>29</v>
      </c>
      <c r="M317" s="108" t="str">
        <f t="shared" si="47"/>
        <v/>
      </c>
      <c r="N317" s="108" t="str">
        <f t="shared" si="47"/>
        <v/>
      </c>
      <c r="O317" s="108" t="str">
        <f t="shared" si="47"/>
        <v/>
      </c>
      <c r="P317" s="108" t="str">
        <f t="shared" si="47"/>
        <v/>
      </c>
      <c r="Q317" s="108" t="str">
        <f t="shared" si="47"/>
        <v/>
      </c>
      <c r="R317" s="103" t="str">
        <f t="shared" si="47"/>
        <v>○</v>
      </c>
      <c r="S317" s="105"/>
      <c r="T317" s="103" t="s">
        <v>30</v>
      </c>
      <c r="U317" s="103" t="s">
        <v>18</v>
      </c>
      <c r="V317" s="105"/>
    </row>
    <row r="318" spans="1:22" ht="13.5">
      <c r="A318" s="102">
        <v>45629.650158854165</v>
      </c>
      <c r="B318" s="103" t="s">
        <v>199</v>
      </c>
      <c r="C318" s="104" t="str">
        <f t="shared" si="45"/>
        <v>×</v>
      </c>
      <c r="D318" s="104" t="str">
        <f t="shared" si="45"/>
        <v>○</v>
      </c>
      <c r="E318" s="104" t="str">
        <f t="shared" si="45"/>
        <v>×</v>
      </c>
      <c r="F318" s="104" t="str">
        <f t="shared" si="45"/>
        <v>×</v>
      </c>
      <c r="G318" s="103" t="s">
        <v>13</v>
      </c>
      <c r="H318" s="103" t="s">
        <v>32</v>
      </c>
      <c r="I318" s="103" t="s">
        <v>1399</v>
      </c>
      <c r="J318" s="105"/>
      <c r="K318" s="103" t="s">
        <v>34</v>
      </c>
      <c r="L318" s="105"/>
      <c r="M318" s="110" t="str">
        <f t="shared" si="47"/>
        <v/>
      </c>
      <c r="N318" s="110" t="str">
        <f t="shared" si="47"/>
        <v/>
      </c>
      <c r="O318" s="110" t="str">
        <f t="shared" si="47"/>
        <v/>
      </c>
      <c r="P318" s="110" t="str">
        <f t="shared" si="47"/>
        <v/>
      </c>
      <c r="Q318" s="110" t="str">
        <f t="shared" si="47"/>
        <v/>
      </c>
      <c r="R318" s="105" t="str">
        <f t="shared" si="47"/>
        <v/>
      </c>
      <c r="S318" s="105"/>
      <c r="T318" s="103" t="s">
        <v>61</v>
      </c>
      <c r="U318" s="103" t="s">
        <v>18</v>
      </c>
      <c r="V318" s="105"/>
    </row>
    <row r="319" spans="1:22" ht="13.5">
      <c r="A319" s="102">
        <v>45629.691829467592</v>
      </c>
      <c r="B319" s="103" t="s">
        <v>57</v>
      </c>
      <c r="C319" s="104" t="str">
        <f t="shared" si="45"/>
        <v>×</v>
      </c>
      <c r="D319" s="104" t="str">
        <f t="shared" si="45"/>
        <v>○</v>
      </c>
      <c r="E319" s="104" t="str">
        <f t="shared" si="45"/>
        <v>×</v>
      </c>
      <c r="F319" s="104" t="str">
        <f t="shared" si="45"/>
        <v>×</v>
      </c>
      <c r="G319" s="103" t="s">
        <v>20</v>
      </c>
      <c r="H319" s="105"/>
      <c r="I319" s="105"/>
      <c r="J319" s="103" t="s">
        <v>186</v>
      </c>
      <c r="K319" s="103" t="s">
        <v>16</v>
      </c>
      <c r="L319" s="103" t="s">
        <v>107</v>
      </c>
      <c r="M319" s="108" t="str">
        <f t="shared" si="47"/>
        <v/>
      </c>
      <c r="N319" s="108" t="str">
        <f t="shared" si="47"/>
        <v/>
      </c>
      <c r="O319" s="108" t="str">
        <f t="shared" si="47"/>
        <v>○</v>
      </c>
      <c r="P319" s="108" t="str">
        <f t="shared" si="47"/>
        <v/>
      </c>
      <c r="Q319" s="108" t="str">
        <f t="shared" si="47"/>
        <v/>
      </c>
      <c r="R319" s="103" t="str">
        <f t="shared" si="47"/>
        <v/>
      </c>
      <c r="S319" s="105"/>
      <c r="T319" s="103" t="s">
        <v>61</v>
      </c>
      <c r="U319" s="103" t="s">
        <v>18</v>
      </c>
      <c r="V319" s="105"/>
    </row>
    <row r="320" spans="1:22" ht="13.5">
      <c r="A320" s="102">
        <v>45629.726819409727</v>
      </c>
      <c r="B320" s="103" t="s">
        <v>788</v>
      </c>
      <c r="C320" s="104" t="str">
        <f t="shared" si="45"/>
        <v>○</v>
      </c>
      <c r="D320" s="104" t="str">
        <f t="shared" si="45"/>
        <v>○</v>
      </c>
      <c r="E320" s="104" t="str">
        <f t="shared" si="45"/>
        <v>×</v>
      </c>
      <c r="F320" s="104" t="str">
        <f t="shared" si="45"/>
        <v>×</v>
      </c>
      <c r="G320" s="103" t="s">
        <v>20</v>
      </c>
      <c r="H320" s="105"/>
      <c r="I320" s="105"/>
      <c r="J320" s="103" t="s">
        <v>21</v>
      </c>
      <c r="K320" s="103" t="s">
        <v>16</v>
      </c>
      <c r="L320" s="103" t="s">
        <v>39</v>
      </c>
      <c r="M320" s="108" t="str">
        <f t="shared" si="47"/>
        <v/>
      </c>
      <c r="N320" s="108" t="str">
        <f t="shared" si="47"/>
        <v>○</v>
      </c>
      <c r="O320" s="108" t="str">
        <f t="shared" si="47"/>
        <v/>
      </c>
      <c r="P320" s="108" t="str">
        <f t="shared" si="47"/>
        <v/>
      </c>
      <c r="Q320" s="108" t="str">
        <f t="shared" si="47"/>
        <v/>
      </c>
      <c r="R320" s="103" t="str">
        <f t="shared" si="47"/>
        <v/>
      </c>
      <c r="S320" s="105"/>
      <c r="T320" s="103" t="s">
        <v>30</v>
      </c>
      <c r="U320" s="103" t="s">
        <v>18</v>
      </c>
      <c r="V320" s="105"/>
    </row>
    <row r="321" spans="1:22" ht="13.5">
      <c r="A321" s="102">
        <v>45629.746600104168</v>
      </c>
      <c r="B321" s="103" t="s">
        <v>57</v>
      </c>
      <c r="C321" s="104" t="str">
        <f t="shared" si="45"/>
        <v>×</v>
      </c>
      <c r="D321" s="104" t="str">
        <f t="shared" si="45"/>
        <v>○</v>
      </c>
      <c r="E321" s="104" t="str">
        <f t="shared" si="45"/>
        <v>×</v>
      </c>
      <c r="F321" s="104" t="str">
        <f t="shared" si="45"/>
        <v>×</v>
      </c>
      <c r="G321" s="103" t="s">
        <v>13</v>
      </c>
      <c r="H321" s="103" t="s">
        <v>27</v>
      </c>
      <c r="I321" s="103" t="s">
        <v>344</v>
      </c>
      <c r="J321" s="105"/>
      <c r="K321" s="103" t="s">
        <v>16</v>
      </c>
      <c r="L321" s="103" t="s">
        <v>39</v>
      </c>
      <c r="M321" s="108" t="str">
        <f t="shared" si="47"/>
        <v/>
      </c>
      <c r="N321" s="108" t="str">
        <f t="shared" si="47"/>
        <v>○</v>
      </c>
      <c r="O321" s="108" t="str">
        <f t="shared" si="47"/>
        <v/>
      </c>
      <c r="P321" s="108" t="str">
        <f t="shared" si="47"/>
        <v/>
      </c>
      <c r="Q321" s="108" t="str">
        <f t="shared" si="47"/>
        <v/>
      </c>
      <c r="R321" s="103" t="str">
        <f t="shared" si="47"/>
        <v/>
      </c>
      <c r="S321" s="105"/>
      <c r="T321" s="103" t="s">
        <v>24</v>
      </c>
      <c r="U321" s="103" t="s">
        <v>18</v>
      </c>
      <c r="V321" s="105"/>
    </row>
    <row r="322" spans="1:22" ht="13.5">
      <c r="A322" s="102">
        <v>45629.757260162034</v>
      </c>
      <c r="B322" s="103" t="s">
        <v>93</v>
      </c>
      <c r="C322" s="104" t="str">
        <f t="shared" ref="C322:F341" si="48">IF(ISERROR(FIND(C$1,$B322)),"×","○")</f>
        <v>×</v>
      </c>
      <c r="D322" s="104" t="str">
        <f t="shared" si="48"/>
        <v>×</v>
      </c>
      <c r="E322" s="104" t="str">
        <f t="shared" si="48"/>
        <v>○</v>
      </c>
      <c r="F322" s="104" t="str">
        <f t="shared" si="48"/>
        <v>×</v>
      </c>
      <c r="G322" s="103" t="s">
        <v>13</v>
      </c>
      <c r="H322" s="103" t="s">
        <v>32</v>
      </c>
      <c r="I322" s="103" t="s">
        <v>1438</v>
      </c>
      <c r="J322" s="105"/>
      <c r="K322" s="103" t="s">
        <v>34</v>
      </c>
      <c r="L322" s="105"/>
      <c r="M322" s="110" t="str">
        <f t="shared" ref="M322:R331" si="49">IF(ISERROR(SEARCH(M$1,$L322)),"","○")</f>
        <v/>
      </c>
      <c r="N322" s="110" t="str">
        <f t="shared" si="49"/>
        <v/>
      </c>
      <c r="O322" s="110" t="str">
        <f t="shared" si="49"/>
        <v/>
      </c>
      <c r="P322" s="110" t="str">
        <f t="shared" si="49"/>
        <v/>
      </c>
      <c r="Q322" s="110" t="str">
        <f t="shared" si="49"/>
        <v/>
      </c>
      <c r="R322" s="105" t="str">
        <f t="shared" si="49"/>
        <v/>
      </c>
      <c r="S322" s="105"/>
      <c r="T322" s="103" t="s">
        <v>35</v>
      </c>
      <c r="U322" s="103" t="s">
        <v>18</v>
      </c>
      <c r="V322" s="105"/>
    </row>
    <row r="323" spans="1:22" ht="13.5">
      <c r="A323" s="102">
        <v>45629.758292719911</v>
      </c>
      <c r="B323" s="103" t="s">
        <v>57</v>
      </c>
      <c r="C323" s="104" t="str">
        <f t="shared" si="48"/>
        <v>×</v>
      </c>
      <c r="D323" s="104" t="str">
        <f t="shared" si="48"/>
        <v>○</v>
      </c>
      <c r="E323" s="104" t="str">
        <f t="shared" si="48"/>
        <v>×</v>
      </c>
      <c r="F323" s="104" t="str">
        <f t="shared" si="48"/>
        <v>×</v>
      </c>
      <c r="G323" s="103" t="s">
        <v>20</v>
      </c>
      <c r="H323" s="105"/>
      <c r="I323" s="105"/>
      <c r="J323" s="103" t="s">
        <v>38</v>
      </c>
      <c r="K323" s="103" t="s">
        <v>16</v>
      </c>
      <c r="L323" s="103" t="s">
        <v>39</v>
      </c>
      <c r="M323" s="108" t="str">
        <f t="shared" si="49"/>
        <v/>
      </c>
      <c r="N323" s="108" t="str">
        <f t="shared" si="49"/>
        <v>○</v>
      </c>
      <c r="O323" s="108" t="str">
        <f t="shared" si="49"/>
        <v/>
      </c>
      <c r="P323" s="108" t="str">
        <f t="shared" si="49"/>
        <v/>
      </c>
      <c r="Q323" s="108" t="str">
        <f t="shared" si="49"/>
        <v/>
      </c>
      <c r="R323" s="103" t="str">
        <f t="shared" si="49"/>
        <v/>
      </c>
      <c r="S323" s="105"/>
      <c r="T323" s="103" t="s">
        <v>30</v>
      </c>
      <c r="U323" s="103" t="s">
        <v>18</v>
      </c>
      <c r="V323" s="105"/>
    </row>
    <row r="324" spans="1:22" ht="13.5">
      <c r="A324" s="102">
        <v>45629.767837164356</v>
      </c>
      <c r="B324" s="103" t="s">
        <v>90</v>
      </c>
      <c r="C324" s="104" t="str">
        <f t="shared" si="48"/>
        <v>×</v>
      </c>
      <c r="D324" s="104" t="str">
        <f t="shared" si="48"/>
        <v>×</v>
      </c>
      <c r="E324" s="104" t="str">
        <f t="shared" si="48"/>
        <v>○</v>
      </c>
      <c r="F324" s="104" t="str">
        <f t="shared" si="48"/>
        <v>×</v>
      </c>
      <c r="G324" s="103" t="s">
        <v>20</v>
      </c>
      <c r="H324" s="105"/>
      <c r="I324" s="105"/>
      <c r="J324" s="103" t="s">
        <v>492</v>
      </c>
      <c r="K324" s="103" t="s">
        <v>16</v>
      </c>
      <c r="L324" s="103" t="s">
        <v>59</v>
      </c>
      <c r="M324" s="108" t="str">
        <f t="shared" si="49"/>
        <v/>
      </c>
      <c r="N324" s="108" t="str">
        <f t="shared" si="49"/>
        <v/>
      </c>
      <c r="O324" s="108" t="str">
        <f t="shared" si="49"/>
        <v/>
      </c>
      <c r="P324" s="108" t="str">
        <f t="shared" si="49"/>
        <v>○</v>
      </c>
      <c r="Q324" s="108" t="str">
        <f t="shared" si="49"/>
        <v/>
      </c>
      <c r="R324" s="103" t="str">
        <f t="shared" si="49"/>
        <v/>
      </c>
      <c r="S324" s="105"/>
      <c r="T324" s="103" t="s">
        <v>30</v>
      </c>
      <c r="U324" s="103" t="s">
        <v>18</v>
      </c>
      <c r="V324" s="105"/>
    </row>
    <row r="325" spans="1:22" ht="13.5">
      <c r="A325" s="102">
        <v>45629.77873554398</v>
      </c>
      <c r="B325" s="103" t="s">
        <v>188</v>
      </c>
      <c r="C325" s="104" t="str">
        <f t="shared" si="48"/>
        <v>×</v>
      </c>
      <c r="D325" s="104" t="str">
        <f t="shared" si="48"/>
        <v>○</v>
      </c>
      <c r="E325" s="104" t="str">
        <f t="shared" si="48"/>
        <v>×</v>
      </c>
      <c r="F325" s="104" t="str">
        <f t="shared" si="48"/>
        <v>×</v>
      </c>
      <c r="G325" s="103" t="s">
        <v>13</v>
      </c>
      <c r="H325" s="103" t="s">
        <v>27</v>
      </c>
      <c r="I325" s="103" t="s">
        <v>1442</v>
      </c>
      <c r="J325" s="105"/>
      <c r="K325" s="103" t="s">
        <v>34</v>
      </c>
      <c r="L325" s="105"/>
      <c r="M325" s="110" t="str">
        <f t="shared" si="49"/>
        <v/>
      </c>
      <c r="N325" s="110" t="str">
        <f t="shared" si="49"/>
        <v/>
      </c>
      <c r="O325" s="110" t="str">
        <f t="shared" si="49"/>
        <v/>
      </c>
      <c r="P325" s="110" t="str">
        <f t="shared" si="49"/>
        <v/>
      </c>
      <c r="Q325" s="110" t="str">
        <f t="shared" si="49"/>
        <v/>
      </c>
      <c r="R325" s="105" t="str">
        <f t="shared" si="49"/>
        <v/>
      </c>
      <c r="S325" s="105"/>
      <c r="T325" s="103" t="s">
        <v>35</v>
      </c>
      <c r="U325" s="103" t="s">
        <v>18</v>
      </c>
      <c r="V325" s="105"/>
    </row>
    <row r="326" spans="1:22" ht="13.5">
      <c r="A326" s="102">
        <v>45629.784272789351</v>
      </c>
      <c r="B326" s="103" t="s">
        <v>19</v>
      </c>
      <c r="C326" s="104" t="str">
        <f t="shared" si="48"/>
        <v>×</v>
      </c>
      <c r="D326" s="104" t="str">
        <f t="shared" si="48"/>
        <v>○</v>
      </c>
      <c r="E326" s="104" t="str">
        <f t="shared" si="48"/>
        <v>×</v>
      </c>
      <c r="F326" s="104" t="str">
        <f t="shared" si="48"/>
        <v>×</v>
      </c>
      <c r="G326" s="103" t="s">
        <v>20</v>
      </c>
      <c r="H326" s="105"/>
      <c r="I326" s="105"/>
      <c r="J326" s="103" t="s">
        <v>186</v>
      </c>
      <c r="K326" s="103" t="s">
        <v>16</v>
      </c>
      <c r="L326" s="103" t="s">
        <v>68</v>
      </c>
      <c r="M326" s="108" t="str">
        <f t="shared" si="49"/>
        <v/>
      </c>
      <c r="N326" s="108" t="str">
        <f t="shared" si="49"/>
        <v/>
      </c>
      <c r="O326" s="108" t="str">
        <f t="shared" si="49"/>
        <v/>
      </c>
      <c r="P326" s="108" t="str">
        <f t="shared" si="49"/>
        <v/>
      </c>
      <c r="Q326" s="108" t="str">
        <f t="shared" si="49"/>
        <v>○</v>
      </c>
      <c r="R326" s="103" t="str">
        <f t="shared" si="49"/>
        <v/>
      </c>
      <c r="S326" s="103" t="s">
        <v>1445</v>
      </c>
      <c r="T326" s="103" t="s">
        <v>30</v>
      </c>
      <c r="U326" s="103" t="s">
        <v>18</v>
      </c>
      <c r="V326" s="103" t="s">
        <v>1446</v>
      </c>
    </row>
    <row r="327" spans="1:22" ht="13.5">
      <c r="A327" s="102">
        <v>45629.791196423612</v>
      </c>
      <c r="B327" s="103" t="s">
        <v>49</v>
      </c>
      <c r="C327" s="104" t="str">
        <f t="shared" si="48"/>
        <v>×</v>
      </c>
      <c r="D327" s="104" t="str">
        <f t="shared" si="48"/>
        <v>○</v>
      </c>
      <c r="E327" s="104" t="str">
        <f t="shared" si="48"/>
        <v>×</v>
      </c>
      <c r="F327" s="104" t="str">
        <f t="shared" si="48"/>
        <v>×</v>
      </c>
      <c r="G327" s="103" t="s">
        <v>13</v>
      </c>
      <c r="H327" s="103" t="s">
        <v>27</v>
      </c>
      <c r="I327" s="103" t="s">
        <v>229</v>
      </c>
      <c r="J327" s="105"/>
      <c r="K327" s="103" t="s">
        <v>34</v>
      </c>
      <c r="L327" s="105"/>
      <c r="M327" s="110" t="str">
        <f t="shared" si="49"/>
        <v/>
      </c>
      <c r="N327" s="110" t="str">
        <f t="shared" si="49"/>
        <v/>
      </c>
      <c r="O327" s="110" t="str">
        <f t="shared" si="49"/>
        <v/>
      </c>
      <c r="P327" s="110" t="str">
        <f t="shared" si="49"/>
        <v/>
      </c>
      <c r="Q327" s="110" t="str">
        <f t="shared" si="49"/>
        <v/>
      </c>
      <c r="R327" s="105" t="str">
        <f t="shared" si="49"/>
        <v/>
      </c>
      <c r="S327" s="105"/>
      <c r="T327" s="103" t="s">
        <v>35</v>
      </c>
      <c r="U327" s="103" t="s">
        <v>18</v>
      </c>
      <c r="V327" s="105"/>
    </row>
    <row r="328" spans="1:22" ht="13.5">
      <c r="A328" s="102">
        <v>45629.793577986115</v>
      </c>
      <c r="B328" s="103" t="s">
        <v>64</v>
      </c>
      <c r="C328" s="104" t="str">
        <f t="shared" si="48"/>
        <v>○</v>
      </c>
      <c r="D328" s="104" t="str">
        <f t="shared" si="48"/>
        <v>○</v>
      </c>
      <c r="E328" s="104" t="str">
        <f t="shared" si="48"/>
        <v>×</v>
      </c>
      <c r="F328" s="104" t="str">
        <f t="shared" si="48"/>
        <v>×</v>
      </c>
      <c r="G328" s="103" t="s">
        <v>13</v>
      </c>
      <c r="H328" s="103" t="s">
        <v>77</v>
      </c>
      <c r="I328" s="103" t="s">
        <v>1447</v>
      </c>
      <c r="J328" s="105"/>
      <c r="K328" s="103" t="s">
        <v>34</v>
      </c>
      <c r="L328" s="105"/>
      <c r="M328" s="110" t="str">
        <f t="shared" si="49"/>
        <v/>
      </c>
      <c r="N328" s="110" t="str">
        <f t="shared" si="49"/>
        <v/>
      </c>
      <c r="O328" s="110" t="str">
        <f t="shared" si="49"/>
        <v/>
      </c>
      <c r="P328" s="110" t="str">
        <f t="shared" si="49"/>
        <v/>
      </c>
      <c r="Q328" s="110" t="str">
        <f t="shared" si="49"/>
        <v/>
      </c>
      <c r="R328" s="105" t="str">
        <f t="shared" si="49"/>
        <v/>
      </c>
      <c r="S328" s="105"/>
      <c r="T328" s="103" t="s">
        <v>30</v>
      </c>
      <c r="U328" s="103" t="s">
        <v>18</v>
      </c>
      <c r="V328" s="105"/>
    </row>
    <row r="329" spans="1:22" ht="13.5">
      <c r="A329" s="102">
        <v>45629.795183287039</v>
      </c>
      <c r="B329" s="103" t="s">
        <v>93</v>
      </c>
      <c r="C329" s="104" t="str">
        <f t="shared" si="48"/>
        <v>×</v>
      </c>
      <c r="D329" s="104" t="str">
        <f t="shared" si="48"/>
        <v>×</v>
      </c>
      <c r="E329" s="104" t="str">
        <f t="shared" si="48"/>
        <v>○</v>
      </c>
      <c r="F329" s="104" t="str">
        <f t="shared" si="48"/>
        <v>×</v>
      </c>
      <c r="G329" s="103" t="s">
        <v>20</v>
      </c>
      <c r="H329" s="105"/>
      <c r="I329" s="105"/>
      <c r="J329" s="103" t="s">
        <v>58</v>
      </c>
      <c r="K329" s="103" t="s">
        <v>16</v>
      </c>
      <c r="L329" s="103" t="s">
        <v>39</v>
      </c>
      <c r="M329" s="108" t="str">
        <f t="shared" si="49"/>
        <v/>
      </c>
      <c r="N329" s="108" t="str">
        <f t="shared" si="49"/>
        <v>○</v>
      </c>
      <c r="O329" s="108" t="str">
        <f t="shared" si="49"/>
        <v/>
      </c>
      <c r="P329" s="108" t="str">
        <f t="shared" si="49"/>
        <v/>
      </c>
      <c r="Q329" s="108" t="str">
        <f t="shared" si="49"/>
        <v/>
      </c>
      <c r="R329" s="103" t="str">
        <f t="shared" si="49"/>
        <v/>
      </c>
      <c r="S329" s="105"/>
      <c r="T329" s="103" t="s">
        <v>24</v>
      </c>
      <c r="U329" s="103" t="s">
        <v>18</v>
      </c>
      <c r="V329" s="105"/>
    </row>
    <row r="330" spans="1:22" ht="13.5">
      <c r="A330" s="102">
        <v>45629.801209583333</v>
      </c>
      <c r="B330" s="103" t="s">
        <v>164</v>
      </c>
      <c r="C330" s="104" t="str">
        <f t="shared" si="48"/>
        <v>×</v>
      </c>
      <c r="D330" s="104" t="str">
        <f t="shared" si="48"/>
        <v>○</v>
      </c>
      <c r="E330" s="104" t="str">
        <f t="shared" si="48"/>
        <v>×</v>
      </c>
      <c r="F330" s="104" t="str">
        <f t="shared" si="48"/>
        <v>×</v>
      </c>
      <c r="G330" s="103" t="s">
        <v>13</v>
      </c>
      <c r="H330" s="103" t="s">
        <v>27</v>
      </c>
      <c r="I330" s="103" t="s">
        <v>1451</v>
      </c>
      <c r="J330" s="105"/>
      <c r="K330" s="103" t="s">
        <v>34</v>
      </c>
      <c r="L330" s="105"/>
      <c r="M330" s="110" t="str">
        <f t="shared" si="49"/>
        <v/>
      </c>
      <c r="N330" s="110" t="str">
        <f t="shared" si="49"/>
        <v/>
      </c>
      <c r="O330" s="110" t="str">
        <f t="shared" si="49"/>
        <v/>
      </c>
      <c r="P330" s="110" t="str">
        <f t="shared" si="49"/>
        <v/>
      </c>
      <c r="Q330" s="110" t="str">
        <f t="shared" si="49"/>
        <v/>
      </c>
      <c r="R330" s="105" t="str">
        <f t="shared" si="49"/>
        <v/>
      </c>
      <c r="S330" s="105"/>
      <c r="T330" s="103" t="s">
        <v>35</v>
      </c>
      <c r="U330" s="103" t="s">
        <v>18</v>
      </c>
      <c r="V330" s="103" t="s">
        <v>1452</v>
      </c>
    </row>
    <row r="331" spans="1:22" ht="13.5">
      <c r="A331" s="102">
        <v>45629.801232511571</v>
      </c>
      <c r="B331" s="103" t="s">
        <v>1453</v>
      </c>
      <c r="C331" s="104" t="str">
        <f t="shared" si="48"/>
        <v>×</v>
      </c>
      <c r="D331" s="104" t="str">
        <f t="shared" si="48"/>
        <v>○</v>
      </c>
      <c r="E331" s="104" t="str">
        <f t="shared" si="48"/>
        <v>×</v>
      </c>
      <c r="F331" s="104" t="str">
        <f t="shared" si="48"/>
        <v>×</v>
      </c>
      <c r="G331" s="103" t="s">
        <v>13</v>
      </c>
      <c r="H331" s="103" t="s">
        <v>32</v>
      </c>
      <c r="I331" s="103" t="s">
        <v>1454</v>
      </c>
      <c r="J331" s="105"/>
      <c r="K331" s="103" t="s">
        <v>16</v>
      </c>
      <c r="L331" s="103" t="s">
        <v>272</v>
      </c>
      <c r="M331" s="108" t="str">
        <f t="shared" si="49"/>
        <v/>
      </c>
      <c r="N331" s="108" t="str">
        <f t="shared" si="49"/>
        <v/>
      </c>
      <c r="O331" s="108" t="str">
        <f t="shared" si="49"/>
        <v/>
      </c>
      <c r="P331" s="108" t="str">
        <f t="shared" si="49"/>
        <v/>
      </c>
      <c r="Q331" s="108" t="str">
        <f t="shared" si="49"/>
        <v>○</v>
      </c>
      <c r="R331" s="103" t="str">
        <f t="shared" si="49"/>
        <v/>
      </c>
      <c r="S331" s="105"/>
      <c r="T331" s="103" t="s">
        <v>35</v>
      </c>
      <c r="U331" s="103" t="s">
        <v>18</v>
      </c>
      <c r="V331" s="105"/>
    </row>
    <row r="332" spans="1:22" ht="13.5">
      <c r="A332" s="102">
        <v>45629.803551608798</v>
      </c>
      <c r="B332" s="103" t="s">
        <v>514</v>
      </c>
      <c r="C332" s="104" t="str">
        <f t="shared" si="48"/>
        <v>○</v>
      </c>
      <c r="D332" s="104" t="str">
        <f t="shared" si="48"/>
        <v>○</v>
      </c>
      <c r="E332" s="104" t="str">
        <f t="shared" si="48"/>
        <v>×</v>
      </c>
      <c r="F332" s="104" t="str">
        <f t="shared" si="48"/>
        <v>×</v>
      </c>
      <c r="G332" s="103" t="s">
        <v>13</v>
      </c>
      <c r="H332" s="103" t="s">
        <v>27</v>
      </c>
      <c r="I332" s="103" t="s">
        <v>1455</v>
      </c>
      <c r="J332" s="105"/>
      <c r="K332" s="103" t="s">
        <v>34</v>
      </c>
      <c r="L332" s="105"/>
      <c r="M332" s="110" t="str">
        <f t="shared" ref="M332:R341" si="50">IF(ISERROR(SEARCH(M$1,$L332)),"","○")</f>
        <v/>
      </c>
      <c r="N332" s="110" t="str">
        <f t="shared" si="50"/>
        <v/>
      </c>
      <c r="O332" s="110" t="str">
        <f t="shared" si="50"/>
        <v/>
      </c>
      <c r="P332" s="110" t="str">
        <f t="shared" si="50"/>
        <v/>
      </c>
      <c r="Q332" s="110" t="str">
        <f t="shared" si="50"/>
        <v/>
      </c>
      <c r="R332" s="105" t="str">
        <f t="shared" si="50"/>
        <v/>
      </c>
      <c r="S332" s="105"/>
      <c r="T332" s="103" t="s">
        <v>35</v>
      </c>
      <c r="U332" s="103" t="s">
        <v>18</v>
      </c>
      <c r="V332" s="105"/>
    </row>
    <row r="333" spans="1:22" ht="13.5">
      <c r="A333" s="102">
        <v>45629.809056319442</v>
      </c>
      <c r="B333" s="103" t="s">
        <v>466</v>
      </c>
      <c r="C333" s="104" t="str">
        <f t="shared" si="48"/>
        <v>×</v>
      </c>
      <c r="D333" s="104" t="str">
        <f t="shared" si="48"/>
        <v>○</v>
      </c>
      <c r="E333" s="104" t="str">
        <f t="shared" si="48"/>
        <v>○</v>
      </c>
      <c r="F333" s="104" t="str">
        <f t="shared" si="48"/>
        <v>×</v>
      </c>
      <c r="G333" s="103" t="s">
        <v>13</v>
      </c>
      <c r="H333" s="103" t="s">
        <v>27</v>
      </c>
      <c r="I333" s="103" t="s">
        <v>85</v>
      </c>
      <c r="J333" s="105"/>
      <c r="K333" s="103" t="s">
        <v>34</v>
      </c>
      <c r="L333" s="105"/>
      <c r="M333" s="110" t="str">
        <f t="shared" si="50"/>
        <v/>
      </c>
      <c r="N333" s="110" t="str">
        <f t="shared" si="50"/>
        <v/>
      </c>
      <c r="O333" s="110" t="str">
        <f t="shared" si="50"/>
        <v/>
      </c>
      <c r="P333" s="110" t="str">
        <f t="shared" si="50"/>
        <v/>
      </c>
      <c r="Q333" s="110" t="str">
        <f t="shared" si="50"/>
        <v/>
      </c>
      <c r="R333" s="105" t="str">
        <f t="shared" si="50"/>
        <v/>
      </c>
      <c r="S333" s="105"/>
      <c r="T333" s="103" t="s">
        <v>61</v>
      </c>
      <c r="U333" s="103" t="s">
        <v>18</v>
      </c>
      <c r="V333" s="105"/>
    </row>
    <row r="334" spans="1:22" ht="13.5">
      <c r="A334" s="102">
        <v>45629.809351180556</v>
      </c>
      <c r="B334" s="103" t="s">
        <v>314</v>
      </c>
      <c r="C334" s="104" t="str">
        <f t="shared" si="48"/>
        <v>×</v>
      </c>
      <c r="D334" s="104" t="str">
        <f t="shared" si="48"/>
        <v>○</v>
      </c>
      <c r="E334" s="104" t="str">
        <f t="shared" si="48"/>
        <v>×</v>
      </c>
      <c r="F334" s="104" t="str">
        <f t="shared" si="48"/>
        <v>×</v>
      </c>
      <c r="G334" s="103" t="s">
        <v>13</v>
      </c>
      <c r="H334" s="103" t="s">
        <v>14</v>
      </c>
      <c r="I334" s="103" t="s">
        <v>1456</v>
      </c>
      <c r="J334" s="105"/>
      <c r="K334" s="103" t="s">
        <v>34</v>
      </c>
      <c r="L334" s="105"/>
      <c r="M334" s="110" t="str">
        <f t="shared" si="50"/>
        <v/>
      </c>
      <c r="N334" s="110" t="str">
        <f t="shared" si="50"/>
        <v/>
      </c>
      <c r="O334" s="110" t="str">
        <f t="shared" si="50"/>
        <v/>
      </c>
      <c r="P334" s="110" t="str">
        <f t="shared" si="50"/>
        <v/>
      </c>
      <c r="Q334" s="110" t="str">
        <f t="shared" si="50"/>
        <v/>
      </c>
      <c r="R334" s="105" t="str">
        <f t="shared" si="50"/>
        <v/>
      </c>
      <c r="S334" s="105"/>
      <c r="T334" s="103" t="s">
        <v>35</v>
      </c>
      <c r="U334" s="103" t="s">
        <v>18</v>
      </c>
      <c r="V334" s="105"/>
    </row>
    <row r="335" spans="1:22" ht="13.5">
      <c r="A335" s="102">
        <v>45629.809597349536</v>
      </c>
      <c r="B335" s="103" t="s">
        <v>140</v>
      </c>
      <c r="C335" s="104" t="str">
        <f t="shared" si="48"/>
        <v>×</v>
      </c>
      <c r="D335" s="104" t="str">
        <f t="shared" si="48"/>
        <v>○</v>
      </c>
      <c r="E335" s="104" t="str">
        <f t="shared" si="48"/>
        <v>○</v>
      </c>
      <c r="F335" s="104" t="str">
        <f t="shared" si="48"/>
        <v>×</v>
      </c>
      <c r="G335" s="103" t="s">
        <v>13</v>
      </c>
      <c r="H335" s="103" t="s">
        <v>32</v>
      </c>
      <c r="I335" s="103" t="s">
        <v>956</v>
      </c>
      <c r="J335" s="105"/>
      <c r="K335" s="103" t="s">
        <v>34</v>
      </c>
      <c r="L335" s="105"/>
      <c r="M335" s="110" t="str">
        <f t="shared" si="50"/>
        <v/>
      </c>
      <c r="N335" s="110" t="str">
        <f t="shared" si="50"/>
        <v/>
      </c>
      <c r="O335" s="110" t="str">
        <f t="shared" si="50"/>
        <v/>
      </c>
      <c r="P335" s="110" t="str">
        <f t="shared" si="50"/>
        <v/>
      </c>
      <c r="Q335" s="110" t="str">
        <f t="shared" si="50"/>
        <v/>
      </c>
      <c r="R335" s="105" t="str">
        <f t="shared" si="50"/>
        <v/>
      </c>
      <c r="S335" s="105"/>
      <c r="T335" s="103" t="s">
        <v>24</v>
      </c>
      <c r="U335" s="103" t="s">
        <v>18</v>
      </c>
      <c r="V335" s="105"/>
    </row>
    <row r="336" spans="1:22" ht="13.5">
      <c r="A336" s="102">
        <v>45629.824245520838</v>
      </c>
      <c r="B336" s="103" t="s">
        <v>19</v>
      </c>
      <c r="C336" s="104" t="str">
        <f t="shared" si="48"/>
        <v>×</v>
      </c>
      <c r="D336" s="104" t="str">
        <f t="shared" si="48"/>
        <v>○</v>
      </c>
      <c r="E336" s="104" t="str">
        <f t="shared" si="48"/>
        <v>×</v>
      </c>
      <c r="F336" s="104" t="str">
        <f t="shared" si="48"/>
        <v>×</v>
      </c>
      <c r="G336" s="103" t="s">
        <v>20</v>
      </c>
      <c r="H336" s="105"/>
      <c r="I336" s="105"/>
      <c r="J336" s="103" t="s">
        <v>21</v>
      </c>
      <c r="K336" s="103" t="s">
        <v>16</v>
      </c>
      <c r="L336" s="103" t="s">
        <v>68</v>
      </c>
      <c r="M336" s="108" t="str">
        <f t="shared" si="50"/>
        <v/>
      </c>
      <c r="N336" s="108" t="str">
        <f t="shared" si="50"/>
        <v/>
      </c>
      <c r="O336" s="108" t="str">
        <f t="shared" si="50"/>
        <v/>
      </c>
      <c r="P336" s="108" t="str">
        <f t="shared" si="50"/>
        <v/>
      </c>
      <c r="Q336" s="108" t="str">
        <f t="shared" si="50"/>
        <v>○</v>
      </c>
      <c r="R336" s="103" t="str">
        <f t="shared" si="50"/>
        <v/>
      </c>
      <c r="S336" s="103" t="s">
        <v>1465</v>
      </c>
      <c r="T336" s="103" t="s">
        <v>30</v>
      </c>
      <c r="U336" s="103" t="s">
        <v>18</v>
      </c>
      <c r="V336" s="105"/>
    </row>
    <row r="337" spans="1:22" ht="13.5">
      <c r="A337" s="102">
        <v>45629.831539930557</v>
      </c>
      <c r="B337" s="103" t="s">
        <v>181</v>
      </c>
      <c r="C337" s="104" t="str">
        <f t="shared" si="48"/>
        <v>×</v>
      </c>
      <c r="D337" s="104" t="str">
        <f t="shared" si="48"/>
        <v>○</v>
      </c>
      <c r="E337" s="104" t="str">
        <f t="shared" si="48"/>
        <v>×</v>
      </c>
      <c r="F337" s="104" t="str">
        <f t="shared" si="48"/>
        <v>×</v>
      </c>
      <c r="G337" s="103" t="s">
        <v>13</v>
      </c>
      <c r="H337" s="103" t="s">
        <v>47</v>
      </c>
      <c r="I337" s="103" t="s">
        <v>1472</v>
      </c>
      <c r="J337" s="105"/>
      <c r="K337" s="103" t="s">
        <v>34</v>
      </c>
      <c r="L337" s="105"/>
      <c r="M337" s="110" t="str">
        <f t="shared" si="50"/>
        <v/>
      </c>
      <c r="N337" s="110" t="str">
        <f t="shared" si="50"/>
        <v/>
      </c>
      <c r="O337" s="110" t="str">
        <f t="shared" si="50"/>
        <v/>
      </c>
      <c r="P337" s="110" t="str">
        <f t="shared" si="50"/>
        <v/>
      </c>
      <c r="Q337" s="110" t="str">
        <f t="shared" si="50"/>
        <v/>
      </c>
      <c r="R337" s="105" t="str">
        <f t="shared" si="50"/>
        <v/>
      </c>
      <c r="S337" s="105"/>
      <c r="T337" s="103" t="s">
        <v>35</v>
      </c>
      <c r="U337" s="103" t="s">
        <v>18</v>
      </c>
      <c r="V337" s="105"/>
    </row>
    <row r="338" spans="1:22" ht="13.5">
      <c r="A338" s="102">
        <v>45629.832270995372</v>
      </c>
      <c r="B338" s="103" t="s">
        <v>514</v>
      </c>
      <c r="C338" s="104" t="str">
        <f t="shared" si="48"/>
        <v>○</v>
      </c>
      <c r="D338" s="104" t="str">
        <f t="shared" si="48"/>
        <v>○</v>
      </c>
      <c r="E338" s="104" t="str">
        <f t="shared" si="48"/>
        <v>×</v>
      </c>
      <c r="F338" s="104" t="str">
        <f t="shared" si="48"/>
        <v>×</v>
      </c>
      <c r="G338" s="103" t="s">
        <v>13</v>
      </c>
      <c r="H338" s="103" t="s">
        <v>27</v>
      </c>
      <c r="I338" s="103" t="s">
        <v>1473</v>
      </c>
      <c r="J338" s="105"/>
      <c r="K338" s="103" t="s">
        <v>34</v>
      </c>
      <c r="L338" s="105"/>
      <c r="M338" s="110" t="str">
        <f t="shared" si="50"/>
        <v/>
      </c>
      <c r="N338" s="110" t="str">
        <f t="shared" si="50"/>
        <v/>
      </c>
      <c r="O338" s="110" t="str">
        <f t="shared" si="50"/>
        <v/>
      </c>
      <c r="P338" s="110" t="str">
        <f t="shared" si="50"/>
        <v/>
      </c>
      <c r="Q338" s="110" t="str">
        <f t="shared" si="50"/>
        <v/>
      </c>
      <c r="R338" s="105" t="str">
        <f t="shared" si="50"/>
        <v/>
      </c>
      <c r="S338" s="105"/>
      <c r="T338" s="103" t="s">
        <v>35</v>
      </c>
      <c r="U338" s="103" t="s">
        <v>18</v>
      </c>
      <c r="V338" s="105"/>
    </row>
    <row r="339" spans="1:22" ht="13.5">
      <c r="A339" s="102">
        <v>45629.83357116898</v>
      </c>
      <c r="B339" s="103" t="s">
        <v>461</v>
      </c>
      <c r="C339" s="104" t="str">
        <f t="shared" si="48"/>
        <v>×</v>
      </c>
      <c r="D339" s="104" t="str">
        <f t="shared" si="48"/>
        <v>○</v>
      </c>
      <c r="E339" s="104" t="str">
        <f t="shared" si="48"/>
        <v>○</v>
      </c>
      <c r="F339" s="104" t="str">
        <f t="shared" si="48"/>
        <v>×</v>
      </c>
      <c r="G339" s="103" t="s">
        <v>20</v>
      </c>
      <c r="H339" s="105"/>
      <c r="I339" s="105"/>
      <c r="J339" s="103" t="s">
        <v>58</v>
      </c>
      <c r="K339" s="103" t="s">
        <v>16</v>
      </c>
      <c r="L339" s="103" t="s">
        <v>59</v>
      </c>
      <c r="M339" s="108" t="str">
        <f t="shared" si="50"/>
        <v/>
      </c>
      <c r="N339" s="108" t="str">
        <f t="shared" si="50"/>
        <v/>
      </c>
      <c r="O339" s="108" t="str">
        <f t="shared" si="50"/>
        <v/>
      </c>
      <c r="P339" s="108" t="str">
        <f t="shared" si="50"/>
        <v>○</v>
      </c>
      <c r="Q339" s="108" t="str">
        <f t="shared" si="50"/>
        <v/>
      </c>
      <c r="R339" s="103" t="str">
        <f t="shared" si="50"/>
        <v/>
      </c>
      <c r="S339" s="103" t="s">
        <v>1474</v>
      </c>
      <c r="T339" s="103" t="s">
        <v>61</v>
      </c>
      <c r="U339" s="103" t="s">
        <v>18</v>
      </c>
      <c r="V339" s="103" t="s">
        <v>1475</v>
      </c>
    </row>
    <row r="340" spans="1:22" ht="13.5">
      <c r="A340" s="102">
        <v>45629.837615046301</v>
      </c>
      <c r="B340" s="103" t="s">
        <v>90</v>
      </c>
      <c r="C340" s="104" t="str">
        <f t="shared" si="48"/>
        <v>×</v>
      </c>
      <c r="D340" s="104" t="str">
        <f t="shared" si="48"/>
        <v>×</v>
      </c>
      <c r="E340" s="104" t="str">
        <f t="shared" si="48"/>
        <v>○</v>
      </c>
      <c r="F340" s="104" t="str">
        <f t="shared" si="48"/>
        <v>×</v>
      </c>
      <c r="G340" s="103" t="s">
        <v>13</v>
      </c>
      <c r="H340" s="103" t="s">
        <v>27</v>
      </c>
      <c r="I340" s="103" t="s">
        <v>1476</v>
      </c>
      <c r="J340" s="105"/>
      <c r="K340" s="103" t="s">
        <v>34</v>
      </c>
      <c r="L340" s="105"/>
      <c r="M340" s="110" t="str">
        <f t="shared" si="50"/>
        <v/>
      </c>
      <c r="N340" s="110" t="str">
        <f t="shared" si="50"/>
        <v/>
      </c>
      <c r="O340" s="110" t="str">
        <f t="shared" si="50"/>
        <v/>
      </c>
      <c r="P340" s="110" t="str">
        <f t="shared" si="50"/>
        <v/>
      </c>
      <c r="Q340" s="110" t="str">
        <f t="shared" si="50"/>
        <v/>
      </c>
      <c r="R340" s="105" t="str">
        <f t="shared" si="50"/>
        <v/>
      </c>
      <c r="S340" s="105"/>
      <c r="T340" s="103" t="s">
        <v>30</v>
      </c>
      <c r="U340" s="103" t="s">
        <v>18</v>
      </c>
      <c r="V340" s="103" t="s">
        <v>1477</v>
      </c>
    </row>
    <row r="341" spans="1:22" ht="13.5">
      <c r="A341" s="102">
        <v>45629.856690439818</v>
      </c>
      <c r="B341" s="103" t="s">
        <v>188</v>
      </c>
      <c r="C341" s="104" t="str">
        <f t="shared" si="48"/>
        <v>×</v>
      </c>
      <c r="D341" s="104" t="str">
        <f t="shared" si="48"/>
        <v>○</v>
      </c>
      <c r="E341" s="104" t="str">
        <f t="shared" si="48"/>
        <v>×</v>
      </c>
      <c r="F341" s="104" t="str">
        <f t="shared" si="48"/>
        <v>×</v>
      </c>
      <c r="G341" s="103" t="s">
        <v>13</v>
      </c>
      <c r="H341" s="103" t="s">
        <v>14</v>
      </c>
      <c r="I341" s="103" t="s">
        <v>1495</v>
      </c>
      <c r="J341" s="105"/>
      <c r="K341" s="103" t="s">
        <v>34</v>
      </c>
      <c r="L341" s="105"/>
      <c r="M341" s="110" t="str">
        <f t="shared" si="50"/>
        <v/>
      </c>
      <c r="N341" s="110" t="str">
        <f t="shared" si="50"/>
        <v/>
      </c>
      <c r="O341" s="110" t="str">
        <f t="shared" si="50"/>
        <v/>
      </c>
      <c r="P341" s="110" t="str">
        <f t="shared" si="50"/>
        <v/>
      </c>
      <c r="Q341" s="110" t="str">
        <f t="shared" si="50"/>
        <v/>
      </c>
      <c r="R341" s="105" t="str">
        <f t="shared" si="50"/>
        <v/>
      </c>
      <c r="S341" s="105"/>
      <c r="T341" s="103" t="s">
        <v>35</v>
      </c>
      <c r="U341" s="103" t="s">
        <v>18</v>
      </c>
      <c r="V341" s="105"/>
    </row>
    <row r="342" spans="1:22" ht="13.5">
      <c r="A342" s="102">
        <v>45629.858679710647</v>
      </c>
      <c r="B342" s="103" t="s">
        <v>181</v>
      </c>
      <c r="C342" s="104" t="str">
        <f t="shared" ref="C342:F361" si="51">IF(ISERROR(FIND(C$1,$B342)),"×","○")</f>
        <v>×</v>
      </c>
      <c r="D342" s="104" t="str">
        <f t="shared" si="51"/>
        <v>○</v>
      </c>
      <c r="E342" s="104" t="str">
        <f t="shared" si="51"/>
        <v>×</v>
      </c>
      <c r="F342" s="104" t="str">
        <f t="shared" si="51"/>
        <v>×</v>
      </c>
      <c r="G342" s="103" t="s">
        <v>20</v>
      </c>
      <c r="H342" s="105"/>
      <c r="I342" s="105"/>
      <c r="J342" s="103" t="s">
        <v>21</v>
      </c>
      <c r="K342" s="103" t="s">
        <v>16</v>
      </c>
      <c r="L342" s="103" t="s">
        <v>68</v>
      </c>
      <c r="M342" s="108" t="str">
        <f t="shared" ref="M342:R351" si="52">IF(ISERROR(SEARCH(M$1,$L342)),"","○")</f>
        <v/>
      </c>
      <c r="N342" s="108" t="str">
        <f t="shared" si="52"/>
        <v/>
      </c>
      <c r="O342" s="108" t="str">
        <f t="shared" si="52"/>
        <v/>
      </c>
      <c r="P342" s="108" t="str">
        <f t="shared" si="52"/>
        <v/>
      </c>
      <c r="Q342" s="108" t="str">
        <f t="shared" si="52"/>
        <v>○</v>
      </c>
      <c r="R342" s="103" t="str">
        <f t="shared" si="52"/>
        <v/>
      </c>
      <c r="S342" s="103" t="s">
        <v>1496</v>
      </c>
      <c r="T342" s="103" t="s">
        <v>30</v>
      </c>
      <c r="U342" s="103" t="s">
        <v>18</v>
      </c>
      <c r="V342" s="105"/>
    </row>
    <row r="343" spans="1:22" ht="13.5">
      <c r="A343" s="102">
        <v>45629.861752881945</v>
      </c>
      <c r="B343" s="103" t="s">
        <v>1499</v>
      </c>
      <c r="C343" s="104" t="str">
        <f t="shared" si="51"/>
        <v>×</v>
      </c>
      <c r="D343" s="104" t="str">
        <f t="shared" si="51"/>
        <v>○</v>
      </c>
      <c r="E343" s="104" t="str">
        <f t="shared" si="51"/>
        <v>×</v>
      </c>
      <c r="F343" s="104" t="str">
        <f t="shared" si="51"/>
        <v>×</v>
      </c>
      <c r="G343" s="103" t="s">
        <v>20</v>
      </c>
      <c r="H343" s="105"/>
      <c r="I343" s="105"/>
      <c r="J343" s="103" t="s">
        <v>21</v>
      </c>
      <c r="K343" s="103" t="s">
        <v>16</v>
      </c>
      <c r="L343" s="103" t="s">
        <v>39</v>
      </c>
      <c r="M343" s="108" t="str">
        <f t="shared" si="52"/>
        <v/>
      </c>
      <c r="N343" s="108" t="str">
        <f t="shared" si="52"/>
        <v>○</v>
      </c>
      <c r="O343" s="108" t="str">
        <f t="shared" si="52"/>
        <v/>
      </c>
      <c r="P343" s="108" t="str">
        <f t="shared" si="52"/>
        <v/>
      </c>
      <c r="Q343" s="108" t="str">
        <f t="shared" si="52"/>
        <v/>
      </c>
      <c r="R343" s="103" t="str">
        <f t="shared" si="52"/>
        <v/>
      </c>
      <c r="S343" s="105"/>
      <c r="T343" s="103" t="s">
        <v>30</v>
      </c>
      <c r="U343" s="103" t="s">
        <v>18</v>
      </c>
      <c r="V343" s="103" t="s">
        <v>1500</v>
      </c>
    </row>
    <row r="344" spans="1:22" ht="13.5">
      <c r="A344" s="102">
        <v>45629.874067025463</v>
      </c>
      <c r="B344" s="103" t="s">
        <v>1176</v>
      </c>
      <c r="C344" s="104" t="str">
        <f t="shared" si="51"/>
        <v>×</v>
      </c>
      <c r="D344" s="104" t="str">
        <f t="shared" si="51"/>
        <v>○</v>
      </c>
      <c r="E344" s="104" t="str">
        <f t="shared" si="51"/>
        <v>×</v>
      </c>
      <c r="F344" s="104" t="str">
        <f t="shared" si="51"/>
        <v>×</v>
      </c>
      <c r="G344" s="103" t="s">
        <v>20</v>
      </c>
      <c r="H344" s="105"/>
      <c r="I344" s="105"/>
      <c r="J344" s="103" t="s">
        <v>38</v>
      </c>
      <c r="K344" s="103" t="s">
        <v>16</v>
      </c>
      <c r="L344" s="103" t="s">
        <v>39</v>
      </c>
      <c r="M344" s="108" t="str">
        <f t="shared" si="52"/>
        <v/>
      </c>
      <c r="N344" s="108" t="str">
        <f t="shared" si="52"/>
        <v>○</v>
      </c>
      <c r="O344" s="108" t="str">
        <f t="shared" si="52"/>
        <v/>
      </c>
      <c r="P344" s="108" t="str">
        <f t="shared" si="52"/>
        <v/>
      </c>
      <c r="Q344" s="108" t="str">
        <f t="shared" si="52"/>
        <v/>
      </c>
      <c r="R344" s="103" t="str">
        <f t="shared" si="52"/>
        <v/>
      </c>
      <c r="S344" s="105"/>
      <c r="T344" s="103" t="s">
        <v>61</v>
      </c>
      <c r="U344" s="103" t="s">
        <v>18</v>
      </c>
      <c r="V344" s="103" t="s">
        <v>1506</v>
      </c>
    </row>
    <row r="345" spans="1:22" ht="13.5">
      <c r="A345" s="102">
        <v>45629.881653854165</v>
      </c>
      <c r="B345" s="103" t="s">
        <v>41</v>
      </c>
      <c r="C345" s="104" t="str">
        <f t="shared" si="51"/>
        <v>×</v>
      </c>
      <c r="D345" s="104" t="str">
        <f t="shared" si="51"/>
        <v>○</v>
      </c>
      <c r="E345" s="104" t="str">
        <f t="shared" si="51"/>
        <v>×</v>
      </c>
      <c r="F345" s="104" t="str">
        <f t="shared" si="51"/>
        <v>×</v>
      </c>
      <c r="G345" s="103" t="s">
        <v>13</v>
      </c>
      <c r="H345" s="103" t="s">
        <v>32</v>
      </c>
      <c r="I345" s="103" t="s">
        <v>1514</v>
      </c>
      <c r="J345" s="105"/>
      <c r="K345" s="103" t="s">
        <v>16</v>
      </c>
      <c r="L345" s="103" t="s">
        <v>29</v>
      </c>
      <c r="M345" s="108" t="str">
        <f t="shared" si="52"/>
        <v/>
      </c>
      <c r="N345" s="108" t="str">
        <f t="shared" si="52"/>
        <v/>
      </c>
      <c r="O345" s="108" t="str">
        <f t="shared" si="52"/>
        <v/>
      </c>
      <c r="P345" s="108" t="str">
        <f t="shared" si="52"/>
        <v/>
      </c>
      <c r="Q345" s="108" t="str">
        <f t="shared" si="52"/>
        <v/>
      </c>
      <c r="R345" s="103" t="str">
        <f t="shared" si="52"/>
        <v>○</v>
      </c>
      <c r="S345" s="105"/>
      <c r="T345" s="103" t="s">
        <v>24</v>
      </c>
      <c r="U345" s="103" t="s">
        <v>18</v>
      </c>
      <c r="V345" s="105"/>
    </row>
    <row r="346" spans="1:22" ht="13.5">
      <c r="A346" s="102">
        <v>45629.894618541672</v>
      </c>
      <c r="B346" s="103" t="s">
        <v>19</v>
      </c>
      <c r="C346" s="104" t="str">
        <f t="shared" si="51"/>
        <v>×</v>
      </c>
      <c r="D346" s="104" t="str">
        <f t="shared" si="51"/>
        <v>○</v>
      </c>
      <c r="E346" s="104" t="str">
        <f t="shared" si="51"/>
        <v>×</v>
      </c>
      <c r="F346" s="104" t="str">
        <f t="shared" si="51"/>
        <v>×</v>
      </c>
      <c r="G346" s="103" t="s">
        <v>13</v>
      </c>
      <c r="H346" s="103" t="s">
        <v>14</v>
      </c>
      <c r="I346" s="103" t="s">
        <v>1524</v>
      </c>
      <c r="J346" s="105"/>
      <c r="K346" s="103" t="s">
        <v>34</v>
      </c>
      <c r="L346" s="105"/>
      <c r="M346" s="110" t="str">
        <f t="shared" si="52"/>
        <v/>
      </c>
      <c r="N346" s="110" t="str">
        <f t="shared" si="52"/>
        <v/>
      </c>
      <c r="O346" s="110" t="str">
        <f t="shared" si="52"/>
        <v/>
      </c>
      <c r="P346" s="110" t="str">
        <f t="shared" si="52"/>
        <v/>
      </c>
      <c r="Q346" s="110" t="str">
        <f t="shared" si="52"/>
        <v/>
      </c>
      <c r="R346" s="105" t="str">
        <f t="shared" si="52"/>
        <v/>
      </c>
      <c r="S346" s="105"/>
      <c r="T346" s="103" t="s">
        <v>30</v>
      </c>
      <c r="U346" s="103" t="s">
        <v>18</v>
      </c>
      <c r="V346" s="105"/>
    </row>
    <row r="347" spans="1:22" ht="13.5">
      <c r="A347" s="102">
        <v>45629.901113900458</v>
      </c>
      <c r="B347" s="103" t="s">
        <v>1528</v>
      </c>
      <c r="C347" s="104" t="str">
        <f t="shared" si="51"/>
        <v>○</v>
      </c>
      <c r="D347" s="104" t="str">
        <f t="shared" si="51"/>
        <v>○</v>
      </c>
      <c r="E347" s="104" t="str">
        <f t="shared" si="51"/>
        <v>○</v>
      </c>
      <c r="F347" s="104" t="str">
        <f t="shared" si="51"/>
        <v>×</v>
      </c>
      <c r="G347" s="103" t="s">
        <v>20</v>
      </c>
      <c r="H347" s="105"/>
      <c r="I347" s="105"/>
      <c r="J347" s="103" t="s">
        <v>21</v>
      </c>
      <c r="K347" s="103" t="s">
        <v>16</v>
      </c>
      <c r="L347" s="103" t="s">
        <v>39</v>
      </c>
      <c r="M347" s="108" t="str">
        <f t="shared" si="52"/>
        <v/>
      </c>
      <c r="N347" s="108" t="str">
        <f t="shared" si="52"/>
        <v>○</v>
      </c>
      <c r="O347" s="108" t="str">
        <f t="shared" si="52"/>
        <v/>
      </c>
      <c r="P347" s="108" t="str">
        <f t="shared" si="52"/>
        <v/>
      </c>
      <c r="Q347" s="108" t="str">
        <f t="shared" si="52"/>
        <v/>
      </c>
      <c r="R347" s="103" t="str">
        <f t="shared" si="52"/>
        <v/>
      </c>
      <c r="S347" s="105"/>
      <c r="T347" s="103" t="s">
        <v>30</v>
      </c>
      <c r="U347" s="103" t="s">
        <v>18</v>
      </c>
      <c r="V347" s="105"/>
    </row>
    <row r="348" spans="1:22" ht="13.5">
      <c r="A348" s="102">
        <v>45629.903634814815</v>
      </c>
      <c r="B348" s="103" t="s">
        <v>181</v>
      </c>
      <c r="C348" s="104" t="str">
        <f t="shared" si="51"/>
        <v>×</v>
      </c>
      <c r="D348" s="104" t="str">
        <f t="shared" si="51"/>
        <v>○</v>
      </c>
      <c r="E348" s="104" t="str">
        <f t="shared" si="51"/>
        <v>×</v>
      </c>
      <c r="F348" s="104" t="str">
        <f t="shared" si="51"/>
        <v>×</v>
      </c>
      <c r="G348" s="103" t="s">
        <v>20</v>
      </c>
      <c r="H348" s="105"/>
      <c r="I348" s="105"/>
      <c r="J348" s="103" t="s">
        <v>58</v>
      </c>
      <c r="K348" s="103" t="s">
        <v>16</v>
      </c>
      <c r="L348" s="103" t="s">
        <v>1529</v>
      </c>
      <c r="M348" s="108" t="str">
        <f t="shared" si="52"/>
        <v/>
      </c>
      <c r="N348" s="108" t="str">
        <f t="shared" si="52"/>
        <v/>
      </c>
      <c r="O348" s="108" t="str">
        <f t="shared" si="52"/>
        <v/>
      </c>
      <c r="P348" s="108" t="str">
        <f t="shared" si="52"/>
        <v/>
      </c>
      <c r="Q348" s="108" t="str">
        <f t="shared" si="52"/>
        <v/>
      </c>
      <c r="R348" s="103" t="str">
        <f t="shared" si="52"/>
        <v/>
      </c>
      <c r="S348" s="105"/>
      <c r="T348" s="103" t="s">
        <v>35</v>
      </c>
      <c r="U348" s="103" t="s">
        <v>18</v>
      </c>
      <c r="V348" s="103" t="s">
        <v>1530</v>
      </c>
    </row>
    <row r="349" spans="1:22" ht="13.5">
      <c r="A349" s="102">
        <v>45629.907088425927</v>
      </c>
      <c r="B349" s="103" t="s">
        <v>93</v>
      </c>
      <c r="C349" s="104" t="str">
        <f t="shared" si="51"/>
        <v>×</v>
      </c>
      <c r="D349" s="104" t="str">
        <f t="shared" si="51"/>
        <v>×</v>
      </c>
      <c r="E349" s="104" t="str">
        <f t="shared" si="51"/>
        <v>○</v>
      </c>
      <c r="F349" s="104" t="str">
        <f t="shared" si="51"/>
        <v>×</v>
      </c>
      <c r="G349" s="103" t="s">
        <v>20</v>
      </c>
      <c r="H349" s="105"/>
      <c r="I349" s="105"/>
      <c r="J349" s="103" t="s">
        <v>58</v>
      </c>
      <c r="K349" s="103" t="s">
        <v>16</v>
      </c>
      <c r="L349" s="103" t="s">
        <v>39</v>
      </c>
      <c r="M349" s="108" t="str">
        <f t="shared" si="52"/>
        <v/>
      </c>
      <c r="N349" s="108" t="str">
        <f t="shared" si="52"/>
        <v>○</v>
      </c>
      <c r="O349" s="108" t="str">
        <f t="shared" si="52"/>
        <v/>
      </c>
      <c r="P349" s="108" t="str">
        <f t="shared" si="52"/>
        <v/>
      </c>
      <c r="Q349" s="108" t="str">
        <f t="shared" si="52"/>
        <v/>
      </c>
      <c r="R349" s="103" t="str">
        <f t="shared" si="52"/>
        <v/>
      </c>
      <c r="S349" s="105"/>
      <c r="T349" s="103" t="s">
        <v>30</v>
      </c>
      <c r="U349" s="103" t="s">
        <v>18</v>
      </c>
      <c r="V349" s="105"/>
    </row>
    <row r="350" spans="1:22" ht="13.5">
      <c r="A350" s="102">
        <v>45629.923871388892</v>
      </c>
      <c r="B350" s="103" t="s">
        <v>19</v>
      </c>
      <c r="C350" s="104" t="str">
        <f t="shared" si="51"/>
        <v>×</v>
      </c>
      <c r="D350" s="104" t="str">
        <f t="shared" si="51"/>
        <v>○</v>
      </c>
      <c r="E350" s="104" t="str">
        <f t="shared" si="51"/>
        <v>×</v>
      </c>
      <c r="F350" s="104" t="str">
        <f t="shared" si="51"/>
        <v>×</v>
      </c>
      <c r="G350" s="103" t="s">
        <v>20</v>
      </c>
      <c r="H350" s="105"/>
      <c r="I350" s="105"/>
      <c r="J350" s="103" t="s">
        <v>1536</v>
      </c>
      <c r="K350" s="103" t="s">
        <v>16</v>
      </c>
      <c r="L350" s="103" t="s">
        <v>88</v>
      </c>
      <c r="M350" s="108" t="str">
        <f t="shared" si="52"/>
        <v/>
      </c>
      <c r="N350" s="108" t="str">
        <f t="shared" si="52"/>
        <v>○</v>
      </c>
      <c r="O350" s="108" t="str">
        <f t="shared" si="52"/>
        <v/>
      </c>
      <c r="P350" s="108" t="str">
        <f t="shared" si="52"/>
        <v/>
      </c>
      <c r="Q350" s="108" t="str">
        <f t="shared" si="52"/>
        <v>○</v>
      </c>
      <c r="R350" s="103" t="str">
        <f t="shared" si="52"/>
        <v/>
      </c>
      <c r="S350" s="103" t="s">
        <v>1537</v>
      </c>
      <c r="T350" s="103" t="s">
        <v>30</v>
      </c>
      <c r="U350" s="103" t="s">
        <v>18</v>
      </c>
      <c r="V350" s="103" t="s">
        <v>1538</v>
      </c>
    </row>
    <row r="351" spans="1:22" ht="13.5">
      <c r="A351" s="102">
        <v>45629.929249502311</v>
      </c>
      <c r="B351" s="103" t="s">
        <v>67</v>
      </c>
      <c r="C351" s="104" t="str">
        <f t="shared" si="51"/>
        <v>×</v>
      </c>
      <c r="D351" s="104" t="str">
        <f t="shared" si="51"/>
        <v>○</v>
      </c>
      <c r="E351" s="104" t="str">
        <f t="shared" si="51"/>
        <v>×</v>
      </c>
      <c r="F351" s="104" t="str">
        <f t="shared" si="51"/>
        <v>×</v>
      </c>
      <c r="G351" s="103" t="s">
        <v>13</v>
      </c>
      <c r="H351" s="103" t="s">
        <v>27</v>
      </c>
      <c r="I351" s="103" t="s">
        <v>1553</v>
      </c>
      <c r="J351" s="105"/>
      <c r="K351" s="103" t="s">
        <v>34</v>
      </c>
      <c r="L351" s="105"/>
      <c r="M351" s="110" t="str">
        <f t="shared" si="52"/>
        <v/>
      </c>
      <c r="N351" s="110" t="str">
        <f t="shared" si="52"/>
        <v/>
      </c>
      <c r="O351" s="110" t="str">
        <f t="shared" si="52"/>
        <v/>
      </c>
      <c r="P351" s="110" t="str">
        <f t="shared" si="52"/>
        <v/>
      </c>
      <c r="Q351" s="110" t="str">
        <f t="shared" si="52"/>
        <v/>
      </c>
      <c r="R351" s="105" t="str">
        <f t="shared" si="52"/>
        <v/>
      </c>
      <c r="S351" s="105"/>
      <c r="T351" s="103" t="s">
        <v>30</v>
      </c>
      <c r="U351" s="103" t="s">
        <v>18</v>
      </c>
      <c r="V351" s="103" t="s">
        <v>1554</v>
      </c>
    </row>
    <row r="352" spans="1:22" ht="13.5">
      <c r="A352" s="102">
        <v>45629.947143842597</v>
      </c>
      <c r="B352" s="103" t="s">
        <v>93</v>
      </c>
      <c r="C352" s="104" t="str">
        <f t="shared" si="51"/>
        <v>×</v>
      </c>
      <c r="D352" s="104" t="str">
        <f t="shared" si="51"/>
        <v>×</v>
      </c>
      <c r="E352" s="104" t="str">
        <f t="shared" si="51"/>
        <v>○</v>
      </c>
      <c r="F352" s="104" t="str">
        <f t="shared" si="51"/>
        <v>×</v>
      </c>
      <c r="G352" s="103" t="s">
        <v>20</v>
      </c>
      <c r="H352" s="105"/>
      <c r="I352" s="105"/>
      <c r="J352" s="103" t="s">
        <v>58</v>
      </c>
      <c r="K352" s="103" t="s">
        <v>16</v>
      </c>
      <c r="L352" s="103" t="s">
        <v>39</v>
      </c>
      <c r="M352" s="108" t="str">
        <f t="shared" ref="M352:R361" si="53">IF(ISERROR(SEARCH(M$1,$L352)),"","○")</f>
        <v/>
      </c>
      <c r="N352" s="108" t="str">
        <f t="shared" si="53"/>
        <v>○</v>
      </c>
      <c r="O352" s="108" t="str">
        <f t="shared" si="53"/>
        <v/>
      </c>
      <c r="P352" s="108" t="str">
        <f t="shared" si="53"/>
        <v/>
      </c>
      <c r="Q352" s="108" t="str">
        <f t="shared" si="53"/>
        <v/>
      </c>
      <c r="R352" s="103" t="str">
        <f t="shared" si="53"/>
        <v/>
      </c>
      <c r="S352" s="105"/>
      <c r="T352" s="103" t="s">
        <v>30</v>
      </c>
      <c r="U352" s="103" t="s">
        <v>18</v>
      </c>
      <c r="V352" s="105"/>
    </row>
    <row r="353" spans="1:22" ht="13.5">
      <c r="A353" s="102">
        <v>45629.958039016201</v>
      </c>
      <c r="B353" s="103" t="s">
        <v>84</v>
      </c>
      <c r="C353" s="104" t="str">
        <f t="shared" si="51"/>
        <v>×</v>
      </c>
      <c r="D353" s="104" t="str">
        <f t="shared" si="51"/>
        <v>×</v>
      </c>
      <c r="E353" s="104" t="str">
        <f t="shared" si="51"/>
        <v>○</v>
      </c>
      <c r="F353" s="104" t="str">
        <f t="shared" si="51"/>
        <v>×</v>
      </c>
      <c r="G353" s="103" t="s">
        <v>20</v>
      </c>
      <c r="H353" s="105"/>
      <c r="I353" s="105"/>
      <c r="J353" s="103" t="s">
        <v>58</v>
      </c>
      <c r="K353" s="103" t="s">
        <v>16</v>
      </c>
      <c r="L353" s="103" t="s">
        <v>68</v>
      </c>
      <c r="M353" s="108" t="str">
        <f t="shared" si="53"/>
        <v/>
      </c>
      <c r="N353" s="108" t="str">
        <f t="shared" si="53"/>
        <v/>
      </c>
      <c r="O353" s="108" t="str">
        <f t="shared" si="53"/>
        <v/>
      </c>
      <c r="P353" s="108" t="str">
        <f t="shared" si="53"/>
        <v/>
      </c>
      <c r="Q353" s="108" t="str">
        <f t="shared" si="53"/>
        <v>○</v>
      </c>
      <c r="R353" s="103" t="str">
        <f t="shared" si="53"/>
        <v/>
      </c>
      <c r="S353" s="103" t="s">
        <v>1555</v>
      </c>
      <c r="T353" s="103" t="s">
        <v>30</v>
      </c>
      <c r="U353" s="103" t="s">
        <v>18</v>
      </c>
      <c r="V353" s="103" t="s">
        <v>1556</v>
      </c>
    </row>
    <row r="354" spans="1:22" ht="13.5">
      <c r="A354" s="102">
        <v>45630.018652094906</v>
      </c>
      <c r="B354" s="103" t="s">
        <v>93</v>
      </c>
      <c r="C354" s="104" t="str">
        <f t="shared" si="51"/>
        <v>×</v>
      </c>
      <c r="D354" s="104" t="str">
        <f t="shared" si="51"/>
        <v>×</v>
      </c>
      <c r="E354" s="104" t="str">
        <f t="shared" si="51"/>
        <v>○</v>
      </c>
      <c r="F354" s="104" t="str">
        <f t="shared" si="51"/>
        <v>×</v>
      </c>
      <c r="G354" s="103" t="s">
        <v>13</v>
      </c>
      <c r="H354" s="103" t="s">
        <v>27</v>
      </c>
      <c r="I354" s="103" t="s">
        <v>85</v>
      </c>
      <c r="J354" s="105"/>
      <c r="K354" s="103" t="s">
        <v>34</v>
      </c>
      <c r="L354" s="105"/>
      <c r="M354" s="110" t="str">
        <f t="shared" si="53"/>
        <v/>
      </c>
      <c r="N354" s="110" t="str">
        <f t="shared" si="53"/>
        <v/>
      </c>
      <c r="O354" s="110" t="str">
        <f t="shared" si="53"/>
        <v/>
      </c>
      <c r="P354" s="110" t="str">
        <f t="shared" si="53"/>
        <v/>
      </c>
      <c r="Q354" s="110" t="str">
        <f t="shared" si="53"/>
        <v/>
      </c>
      <c r="R354" s="105" t="str">
        <f t="shared" si="53"/>
        <v/>
      </c>
      <c r="S354" s="105"/>
      <c r="T354" s="103" t="s">
        <v>35</v>
      </c>
      <c r="U354" s="103" t="s">
        <v>18</v>
      </c>
      <c r="V354" s="105"/>
    </row>
    <row r="355" spans="1:22" ht="13.5">
      <c r="A355" s="102">
        <v>45630.100499687498</v>
      </c>
      <c r="B355" s="103" t="s">
        <v>49</v>
      </c>
      <c r="C355" s="104" t="str">
        <f t="shared" si="51"/>
        <v>×</v>
      </c>
      <c r="D355" s="104" t="str">
        <f t="shared" si="51"/>
        <v>○</v>
      </c>
      <c r="E355" s="104" t="str">
        <f t="shared" si="51"/>
        <v>×</v>
      </c>
      <c r="F355" s="104" t="str">
        <f t="shared" si="51"/>
        <v>×</v>
      </c>
      <c r="G355" s="103" t="s">
        <v>13</v>
      </c>
      <c r="H355" s="103" t="s">
        <v>27</v>
      </c>
      <c r="I355" s="103" t="s">
        <v>1568</v>
      </c>
      <c r="J355" s="105"/>
      <c r="K355" s="103" t="s">
        <v>34</v>
      </c>
      <c r="L355" s="105"/>
      <c r="M355" s="110" t="str">
        <f t="shared" si="53"/>
        <v/>
      </c>
      <c r="N355" s="110" t="str">
        <f t="shared" si="53"/>
        <v/>
      </c>
      <c r="O355" s="110" t="str">
        <f t="shared" si="53"/>
        <v/>
      </c>
      <c r="P355" s="110" t="str">
        <f t="shared" si="53"/>
        <v/>
      </c>
      <c r="Q355" s="110" t="str">
        <f t="shared" si="53"/>
        <v/>
      </c>
      <c r="R355" s="105" t="str">
        <f t="shared" si="53"/>
        <v/>
      </c>
      <c r="S355" s="105"/>
      <c r="T355" s="103" t="s">
        <v>30</v>
      </c>
      <c r="U355" s="103" t="s">
        <v>18</v>
      </c>
      <c r="V355" s="105"/>
    </row>
    <row r="356" spans="1:22" ht="13.5">
      <c r="A356" s="102">
        <v>45630.275251331019</v>
      </c>
      <c r="B356" s="103" t="s">
        <v>19</v>
      </c>
      <c r="C356" s="104" t="str">
        <f t="shared" si="51"/>
        <v>×</v>
      </c>
      <c r="D356" s="104" t="str">
        <f t="shared" si="51"/>
        <v>○</v>
      </c>
      <c r="E356" s="104" t="str">
        <f t="shared" si="51"/>
        <v>×</v>
      </c>
      <c r="F356" s="104" t="str">
        <f t="shared" si="51"/>
        <v>×</v>
      </c>
      <c r="G356" s="103" t="s">
        <v>13</v>
      </c>
      <c r="H356" s="103" t="s">
        <v>27</v>
      </c>
      <c r="I356" s="103" t="s">
        <v>1580</v>
      </c>
      <c r="J356" s="105"/>
      <c r="K356" s="103" t="s">
        <v>34</v>
      </c>
      <c r="L356" s="105"/>
      <c r="M356" s="110" t="str">
        <f t="shared" si="53"/>
        <v/>
      </c>
      <c r="N356" s="110" t="str">
        <f t="shared" si="53"/>
        <v/>
      </c>
      <c r="O356" s="110" t="str">
        <f t="shared" si="53"/>
        <v/>
      </c>
      <c r="P356" s="110" t="str">
        <f t="shared" si="53"/>
        <v/>
      </c>
      <c r="Q356" s="110" t="str">
        <f t="shared" si="53"/>
        <v/>
      </c>
      <c r="R356" s="105" t="str">
        <f t="shared" si="53"/>
        <v/>
      </c>
      <c r="S356" s="105"/>
      <c r="T356" s="103" t="s">
        <v>30</v>
      </c>
      <c r="U356" s="103" t="s">
        <v>18</v>
      </c>
      <c r="V356" s="103" t="s">
        <v>1581</v>
      </c>
    </row>
    <row r="357" spans="1:22" ht="13.5">
      <c r="A357" s="102">
        <v>45630.310754444443</v>
      </c>
      <c r="B357" s="103" t="s">
        <v>49</v>
      </c>
      <c r="C357" s="104" t="str">
        <f t="shared" si="51"/>
        <v>×</v>
      </c>
      <c r="D357" s="104" t="str">
        <f t="shared" si="51"/>
        <v>○</v>
      </c>
      <c r="E357" s="104" t="str">
        <f t="shared" si="51"/>
        <v>×</v>
      </c>
      <c r="F357" s="104" t="str">
        <f t="shared" si="51"/>
        <v>×</v>
      </c>
      <c r="G357" s="103" t="s">
        <v>13</v>
      </c>
      <c r="H357" s="103" t="s">
        <v>14</v>
      </c>
      <c r="I357" s="103" t="s">
        <v>1588</v>
      </c>
      <c r="J357" s="105"/>
      <c r="K357" s="103" t="s">
        <v>16</v>
      </c>
      <c r="L357" s="103" t="s">
        <v>59</v>
      </c>
      <c r="M357" s="108" t="str">
        <f t="shared" si="53"/>
        <v/>
      </c>
      <c r="N357" s="108" t="str">
        <f t="shared" si="53"/>
        <v/>
      </c>
      <c r="O357" s="108" t="str">
        <f t="shared" si="53"/>
        <v/>
      </c>
      <c r="P357" s="108" t="str">
        <f t="shared" si="53"/>
        <v>○</v>
      </c>
      <c r="Q357" s="108" t="str">
        <f t="shared" si="53"/>
        <v/>
      </c>
      <c r="R357" s="103" t="str">
        <f t="shared" si="53"/>
        <v/>
      </c>
      <c r="S357" s="103" t="s">
        <v>1589</v>
      </c>
      <c r="T357" s="103" t="s">
        <v>30</v>
      </c>
      <c r="U357" s="103" t="s">
        <v>18</v>
      </c>
      <c r="V357" s="103" t="s">
        <v>1590</v>
      </c>
    </row>
    <row r="358" spans="1:22" ht="13.5">
      <c r="A358" s="102">
        <v>45630.315671412041</v>
      </c>
      <c r="B358" s="103" t="s">
        <v>57</v>
      </c>
      <c r="C358" s="104" t="str">
        <f t="shared" si="51"/>
        <v>×</v>
      </c>
      <c r="D358" s="104" t="str">
        <f t="shared" si="51"/>
        <v>○</v>
      </c>
      <c r="E358" s="104" t="str">
        <f t="shared" si="51"/>
        <v>×</v>
      </c>
      <c r="F358" s="104" t="str">
        <f t="shared" si="51"/>
        <v>×</v>
      </c>
      <c r="G358" s="103" t="s">
        <v>13</v>
      </c>
      <c r="H358" s="103" t="s">
        <v>32</v>
      </c>
      <c r="I358" s="103" t="s">
        <v>1591</v>
      </c>
      <c r="J358" s="105"/>
      <c r="K358" s="103" t="s">
        <v>34</v>
      </c>
      <c r="L358" s="105"/>
      <c r="M358" s="110" t="str">
        <f t="shared" si="53"/>
        <v/>
      </c>
      <c r="N358" s="110" t="str">
        <f t="shared" si="53"/>
        <v/>
      </c>
      <c r="O358" s="110" t="str">
        <f t="shared" si="53"/>
        <v/>
      </c>
      <c r="P358" s="110" t="str">
        <f t="shared" si="53"/>
        <v/>
      </c>
      <c r="Q358" s="110" t="str">
        <f t="shared" si="53"/>
        <v/>
      </c>
      <c r="R358" s="105" t="str">
        <f t="shared" si="53"/>
        <v/>
      </c>
      <c r="S358" s="105"/>
      <c r="T358" s="103" t="s">
        <v>35</v>
      </c>
      <c r="U358" s="103" t="s">
        <v>18</v>
      </c>
      <c r="V358" s="105"/>
    </row>
    <row r="359" spans="1:22" ht="13.5">
      <c r="A359" s="102">
        <v>45630.316567997681</v>
      </c>
      <c r="B359" s="103" t="s">
        <v>49</v>
      </c>
      <c r="C359" s="104" t="str">
        <f t="shared" si="51"/>
        <v>×</v>
      </c>
      <c r="D359" s="104" t="str">
        <f t="shared" si="51"/>
        <v>○</v>
      </c>
      <c r="E359" s="104" t="str">
        <f t="shared" si="51"/>
        <v>×</v>
      </c>
      <c r="F359" s="104" t="str">
        <f t="shared" si="51"/>
        <v>×</v>
      </c>
      <c r="G359" s="103" t="s">
        <v>20</v>
      </c>
      <c r="H359" s="105"/>
      <c r="I359" s="105"/>
      <c r="J359" s="103" t="s">
        <v>21</v>
      </c>
      <c r="K359" s="103" t="s">
        <v>16</v>
      </c>
      <c r="L359" s="103" t="s">
        <v>39</v>
      </c>
      <c r="M359" s="108" t="str">
        <f t="shared" si="53"/>
        <v/>
      </c>
      <c r="N359" s="108" t="str">
        <f t="shared" si="53"/>
        <v>○</v>
      </c>
      <c r="O359" s="108" t="str">
        <f t="shared" si="53"/>
        <v/>
      </c>
      <c r="P359" s="108" t="str">
        <f t="shared" si="53"/>
        <v/>
      </c>
      <c r="Q359" s="108" t="str">
        <f t="shared" si="53"/>
        <v/>
      </c>
      <c r="R359" s="103" t="str">
        <f t="shared" si="53"/>
        <v/>
      </c>
      <c r="S359" s="105"/>
      <c r="T359" s="103" t="s">
        <v>30</v>
      </c>
      <c r="U359" s="103" t="s">
        <v>18</v>
      </c>
      <c r="V359" s="103" t="s">
        <v>1592</v>
      </c>
    </row>
    <row r="360" spans="1:22" ht="13.5">
      <c r="A360" s="102">
        <v>45630.316863402782</v>
      </c>
      <c r="B360" s="103" t="s">
        <v>217</v>
      </c>
      <c r="C360" s="104" t="str">
        <f t="shared" si="51"/>
        <v>○</v>
      </c>
      <c r="D360" s="104" t="str">
        <f t="shared" si="51"/>
        <v>○</v>
      </c>
      <c r="E360" s="104" t="str">
        <f t="shared" si="51"/>
        <v>×</v>
      </c>
      <c r="F360" s="104" t="str">
        <f t="shared" si="51"/>
        <v>×</v>
      </c>
      <c r="G360" s="103" t="s">
        <v>13</v>
      </c>
      <c r="H360" s="103" t="s">
        <v>27</v>
      </c>
      <c r="I360" s="103" t="s">
        <v>776</v>
      </c>
      <c r="J360" s="105"/>
      <c r="K360" s="103" t="s">
        <v>34</v>
      </c>
      <c r="L360" s="105"/>
      <c r="M360" s="110" t="str">
        <f t="shared" si="53"/>
        <v/>
      </c>
      <c r="N360" s="110" t="str">
        <f t="shared" si="53"/>
        <v/>
      </c>
      <c r="O360" s="110" t="str">
        <f t="shared" si="53"/>
        <v/>
      </c>
      <c r="P360" s="110" t="str">
        <f t="shared" si="53"/>
        <v/>
      </c>
      <c r="Q360" s="110" t="str">
        <f t="shared" si="53"/>
        <v/>
      </c>
      <c r="R360" s="105" t="str">
        <f t="shared" si="53"/>
        <v/>
      </c>
      <c r="S360" s="105"/>
      <c r="T360" s="103" t="s">
        <v>35</v>
      </c>
      <c r="U360" s="103" t="s">
        <v>18</v>
      </c>
      <c r="V360" s="105"/>
    </row>
    <row r="361" spans="1:22" ht="13.5">
      <c r="A361" s="102">
        <v>45630.32168168982</v>
      </c>
      <c r="B361" s="103" t="s">
        <v>569</v>
      </c>
      <c r="C361" s="104" t="str">
        <f t="shared" si="51"/>
        <v>×</v>
      </c>
      <c r="D361" s="104" t="str">
        <f t="shared" si="51"/>
        <v>○</v>
      </c>
      <c r="E361" s="104" t="str">
        <f t="shared" si="51"/>
        <v>×</v>
      </c>
      <c r="F361" s="104" t="str">
        <f t="shared" si="51"/>
        <v>×</v>
      </c>
      <c r="G361" s="103" t="s">
        <v>20</v>
      </c>
      <c r="H361" s="105"/>
      <c r="I361" s="105"/>
      <c r="J361" s="103" t="s">
        <v>58</v>
      </c>
      <c r="K361" s="103" t="s">
        <v>16</v>
      </c>
      <c r="L361" s="103" t="s">
        <v>107</v>
      </c>
      <c r="M361" s="108" t="str">
        <f t="shared" si="53"/>
        <v/>
      </c>
      <c r="N361" s="108" t="str">
        <f t="shared" si="53"/>
        <v/>
      </c>
      <c r="O361" s="108" t="str">
        <f t="shared" si="53"/>
        <v>○</v>
      </c>
      <c r="P361" s="108" t="str">
        <f t="shared" si="53"/>
        <v/>
      </c>
      <c r="Q361" s="108" t="str">
        <f t="shared" si="53"/>
        <v/>
      </c>
      <c r="R361" s="103" t="str">
        <f t="shared" si="53"/>
        <v/>
      </c>
      <c r="S361" s="105"/>
      <c r="T361" s="103" t="s">
        <v>35</v>
      </c>
      <c r="U361" s="103" t="s">
        <v>18</v>
      </c>
      <c r="V361" s="103" t="s">
        <v>1593</v>
      </c>
    </row>
    <row r="362" spans="1:22" ht="13.5">
      <c r="A362" s="102">
        <v>45630.352048020832</v>
      </c>
      <c r="B362" s="103" t="s">
        <v>315</v>
      </c>
      <c r="C362" s="104" t="str">
        <f t="shared" ref="C362:F381" si="54">IF(ISERROR(FIND(C$1,$B362)),"×","○")</f>
        <v>×</v>
      </c>
      <c r="D362" s="104" t="str">
        <f t="shared" si="54"/>
        <v>○</v>
      </c>
      <c r="E362" s="104" t="str">
        <f t="shared" si="54"/>
        <v>×</v>
      </c>
      <c r="F362" s="104" t="str">
        <f t="shared" si="54"/>
        <v>×</v>
      </c>
      <c r="G362" s="103" t="s">
        <v>13</v>
      </c>
      <c r="H362" s="103" t="s">
        <v>27</v>
      </c>
      <c r="I362" s="103" t="s">
        <v>1603</v>
      </c>
      <c r="J362" s="105"/>
      <c r="K362" s="103" t="s">
        <v>34</v>
      </c>
      <c r="L362" s="105"/>
      <c r="M362" s="110" t="str">
        <f t="shared" ref="M362:R371" si="55">IF(ISERROR(SEARCH(M$1,$L362)),"","○")</f>
        <v/>
      </c>
      <c r="N362" s="110" t="str">
        <f t="shared" si="55"/>
        <v/>
      </c>
      <c r="O362" s="110" t="str">
        <f t="shared" si="55"/>
        <v/>
      </c>
      <c r="P362" s="110" t="str">
        <f t="shared" si="55"/>
        <v/>
      </c>
      <c r="Q362" s="110" t="str">
        <f t="shared" si="55"/>
        <v/>
      </c>
      <c r="R362" s="105" t="str">
        <f t="shared" si="55"/>
        <v/>
      </c>
      <c r="S362" s="105"/>
      <c r="T362" s="103" t="s">
        <v>35</v>
      </c>
      <c r="U362" s="103" t="s">
        <v>18</v>
      </c>
      <c r="V362" s="103" t="s">
        <v>1604</v>
      </c>
    </row>
    <row r="363" spans="1:22" ht="13.5">
      <c r="A363" s="102">
        <v>45630.357446284717</v>
      </c>
      <c r="B363" s="103" t="s">
        <v>227</v>
      </c>
      <c r="C363" s="104" t="str">
        <f t="shared" si="54"/>
        <v>×</v>
      </c>
      <c r="D363" s="104" t="str">
        <f t="shared" si="54"/>
        <v>○</v>
      </c>
      <c r="E363" s="104" t="str">
        <f t="shared" si="54"/>
        <v>×</v>
      </c>
      <c r="F363" s="104" t="str">
        <f t="shared" si="54"/>
        <v>×</v>
      </c>
      <c r="G363" s="103" t="s">
        <v>20</v>
      </c>
      <c r="H363" s="105"/>
      <c r="I363" s="105"/>
      <c r="J363" s="103" t="s">
        <v>58</v>
      </c>
      <c r="K363" s="103" t="s">
        <v>16</v>
      </c>
      <c r="L363" s="103" t="s">
        <v>39</v>
      </c>
      <c r="M363" s="108" t="str">
        <f t="shared" si="55"/>
        <v/>
      </c>
      <c r="N363" s="108" t="str">
        <f t="shared" si="55"/>
        <v>○</v>
      </c>
      <c r="O363" s="108" t="str">
        <f t="shared" si="55"/>
        <v/>
      </c>
      <c r="P363" s="108" t="str">
        <f t="shared" si="55"/>
        <v/>
      </c>
      <c r="Q363" s="108" t="str">
        <f t="shared" si="55"/>
        <v/>
      </c>
      <c r="R363" s="103" t="str">
        <f t="shared" si="55"/>
        <v/>
      </c>
      <c r="S363" s="105"/>
      <c r="T363" s="103" t="s">
        <v>30</v>
      </c>
      <c r="U363" s="103" t="s">
        <v>18</v>
      </c>
      <c r="V363" s="103" t="s">
        <v>1605</v>
      </c>
    </row>
    <row r="364" spans="1:22" ht="13.5">
      <c r="A364" s="102">
        <v>45630.400239537033</v>
      </c>
      <c r="B364" s="103" t="s">
        <v>199</v>
      </c>
      <c r="C364" s="104" t="str">
        <f t="shared" si="54"/>
        <v>×</v>
      </c>
      <c r="D364" s="104" t="str">
        <f t="shared" si="54"/>
        <v>○</v>
      </c>
      <c r="E364" s="104" t="str">
        <f t="shared" si="54"/>
        <v>×</v>
      </c>
      <c r="F364" s="104" t="str">
        <f t="shared" si="54"/>
        <v>×</v>
      </c>
      <c r="G364" s="103" t="s">
        <v>20</v>
      </c>
      <c r="H364" s="105"/>
      <c r="I364" s="105"/>
      <c r="J364" s="103" t="s">
        <v>58</v>
      </c>
      <c r="K364" s="103" t="s">
        <v>16</v>
      </c>
      <c r="L364" s="103" t="s">
        <v>39</v>
      </c>
      <c r="M364" s="108" t="str">
        <f t="shared" si="55"/>
        <v/>
      </c>
      <c r="N364" s="108" t="str">
        <f t="shared" si="55"/>
        <v>○</v>
      </c>
      <c r="O364" s="108" t="str">
        <f t="shared" si="55"/>
        <v/>
      </c>
      <c r="P364" s="108" t="str">
        <f t="shared" si="55"/>
        <v/>
      </c>
      <c r="Q364" s="108" t="str">
        <f t="shared" si="55"/>
        <v/>
      </c>
      <c r="R364" s="103" t="str">
        <f t="shared" si="55"/>
        <v/>
      </c>
      <c r="S364" s="105"/>
      <c r="T364" s="103" t="s">
        <v>35</v>
      </c>
      <c r="U364" s="103" t="s">
        <v>18</v>
      </c>
      <c r="V364" s="105"/>
    </row>
    <row r="365" spans="1:22" ht="13.5">
      <c r="A365" s="102">
        <v>45630.516919999995</v>
      </c>
      <c r="B365" s="103" t="s">
        <v>57</v>
      </c>
      <c r="C365" s="104" t="str">
        <f t="shared" si="54"/>
        <v>×</v>
      </c>
      <c r="D365" s="104" t="str">
        <f t="shared" si="54"/>
        <v>○</v>
      </c>
      <c r="E365" s="104" t="str">
        <f t="shared" si="54"/>
        <v>×</v>
      </c>
      <c r="F365" s="104" t="str">
        <f t="shared" si="54"/>
        <v>×</v>
      </c>
      <c r="G365" s="103" t="s">
        <v>13</v>
      </c>
      <c r="H365" s="103" t="s">
        <v>77</v>
      </c>
      <c r="I365" s="103" t="s">
        <v>1623</v>
      </c>
      <c r="J365" s="105"/>
      <c r="K365" s="103" t="s">
        <v>34</v>
      </c>
      <c r="L365" s="105"/>
      <c r="M365" s="110" t="str">
        <f t="shared" si="55"/>
        <v/>
      </c>
      <c r="N365" s="110" t="str">
        <f t="shared" si="55"/>
        <v/>
      </c>
      <c r="O365" s="110" t="str">
        <f t="shared" si="55"/>
        <v/>
      </c>
      <c r="P365" s="110" t="str">
        <f t="shared" si="55"/>
        <v/>
      </c>
      <c r="Q365" s="110" t="str">
        <f t="shared" si="55"/>
        <v/>
      </c>
      <c r="R365" s="105" t="str">
        <f t="shared" si="55"/>
        <v/>
      </c>
      <c r="S365" s="105"/>
      <c r="T365" s="103" t="s">
        <v>1624</v>
      </c>
      <c r="U365" s="103" t="s">
        <v>18</v>
      </c>
      <c r="V365" s="103" t="s">
        <v>1625</v>
      </c>
    </row>
    <row r="366" spans="1:22" ht="13.5">
      <c r="A366" s="102">
        <v>45630.544633738427</v>
      </c>
      <c r="B366" s="103" t="s">
        <v>1075</v>
      </c>
      <c r="C366" s="104" t="str">
        <f t="shared" si="54"/>
        <v>×</v>
      </c>
      <c r="D366" s="104" t="str">
        <f t="shared" si="54"/>
        <v>○</v>
      </c>
      <c r="E366" s="104" t="str">
        <f t="shared" si="54"/>
        <v>×</v>
      </c>
      <c r="F366" s="104" t="str">
        <f t="shared" si="54"/>
        <v>×</v>
      </c>
      <c r="G366" s="103" t="s">
        <v>13</v>
      </c>
      <c r="H366" s="103" t="s">
        <v>32</v>
      </c>
      <c r="I366" s="103" t="s">
        <v>1626</v>
      </c>
      <c r="J366" s="105"/>
      <c r="K366" s="103" t="s">
        <v>16</v>
      </c>
      <c r="L366" s="103" t="s">
        <v>39</v>
      </c>
      <c r="M366" s="108" t="str">
        <f t="shared" si="55"/>
        <v/>
      </c>
      <c r="N366" s="108" t="str">
        <f t="shared" si="55"/>
        <v>○</v>
      </c>
      <c r="O366" s="108" t="str">
        <f t="shared" si="55"/>
        <v/>
      </c>
      <c r="P366" s="108" t="str">
        <f t="shared" si="55"/>
        <v/>
      </c>
      <c r="Q366" s="108" t="str">
        <f t="shared" si="55"/>
        <v/>
      </c>
      <c r="R366" s="103" t="str">
        <f t="shared" si="55"/>
        <v/>
      </c>
      <c r="S366" s="105"/>
      <c r="T366" s="103" t="s">
        <v>30</v>
      </c>
      <c r="U366" s="103" t="s">
        <v>18</v>
      </c>
      <c r="V366" s="105"/>
    </row>
    <row r="367" spans="1:22" ht="13.5">
      <c r="A367" s="102">
        <v>45630.587693275462</v>
      </c>
      <c r="B367" s="103" t="s">
        <v>41</v>
      </c>
      <c r="C367" s="104" t="str">
        <f t="shared" si="54"/>
        <v>×</v>
      </c>
      <c r="D367" s="104" t="str">
        <f t="shared" si="54"/>
        <v>○</v>
      </c>
      <c r="E367" s="104" t="str">
        <f t="shared" si="54"/>
        <v>×</v>
      </c>
      <c r="F367" s="104" t="str">
        <f t="shared" si="54"/>
        <v>×</v>
      </c>
      <c r="G367" s="103" t="s">
        <v>13</v>
      </c>
      <c r="H367" s="103" t="s">
        <v>77</v>
      </c>
      <c r="I367" s="103" t="s">
        <v>1627</v>
      </c>
      <c r="J367" s="105"/>
      <c r="K367" s="103" t="s">
        <v>16</v>
      </c>
      <c r="L367" s="103" t="s">
        <v>945</v>
      </c>
      <c r="M367" s="108" t="str">
        <f t="shared" si="55"/>
        <v/>
      </c>
      <c r="N367" s="108" t="str">
        <f t="shared" si="55"/>
        <v/>
      </c>
      <c r="O367" s="108" t="str">
        <f t="shared" si="55"/>
        <v/>
      </c>
      <c r="P367" s="108" t="str">
        <f t="shared" si="55"/>
        <v/>
      </c>
      <c r="Q367" s="108" t="str">
        <f t="shared" si="55"/>
        <v/>
      </c>
      <c r="R367" s="103" t="str">
        <f t="shared" si="55"/>
        <v/>
      </c>
      <c r="S367" s="105"/>
      <c r="T367" s="103" t="s">
        <v>35</v>
      </c>
      <c r="U367" s="103" t="s">
        <v>18</v>
      </c>
      <c r="V367" s="103" t="s">
        <v>1628</v>
      </c>
    </row>
    <row r="368" spans="1:22" ht="13.5">
      <c r="A368" s="102">
        <v>45630.64832472222</v>
      </c>
      <c r="B368" s="103" t="s">
        <v>264</v>
      </c>
      <c r="C368" s="104" t="str">
        <f t="shared" si="54"/>
        <v>○</v>
      </c>
      <c r="D368" s="104" t="str">
        <f t="shared" si="54"/>
        <v>○</v>
      </c>
      <c r="E368" s="104" t="str">
        <f t="shared" si="54"/>
        <v>×</v>
      </c>
      <c r="F368" s="104" t="str">
        <f t="shared" si="54"/>
        <v>×</v>
      </c>
      <c r="G368" s="103" t="s">
        <v>13</v>
      </c>
      <c r="H368" s="103" t="s">
        <v>32</v>
      </c>
      <c r="I368" s="103" t="s">
        <v>1630</v>
      </c>
      <c r="J368" s="105"/>
      <c r="K368" s="103" t="s">
        <v>16</v>
      </c>
      <c r="L368" s="103" t="s">
        <v>1631</v>
      </c>
      <c r="M368" s="108" t="str">
        <f t="shared" si="55"/>
        <v/>
      </c>
      <c r="N368" s="108" t="str">
        <f t="shared" si="55"/>
        <v/>
      </c>
      <c r="O368" s="108" t="str">
        <f t="shared" si="55"/>
        <v/>
      </c>
      <c r="P368" s="108" t="str">
        <f t="shared" si="55"/>
        <v/>
      </c>
      <c r="Q368" s="108" t="str">
        <f t="shared" si="55"/>
        <v/>
      </c>
      <c r="R368" s="103" t="str">
        <f t="shared" si="55"/>
        <v/>
      </c>
      <c r="S368" s="105"/>
      <c r="T368" s="103" t="s">
        <v>35</v>
      </c>
      <c r="U368" s="103" t="s">
        <v>18</v>
      </c>
      <c r="V368" s="105"/>
    </row>
    <row r="369" spans="1:22" ht="13.5">
      <c r="A369" s="102">
        <v>45630.654963946756</v>
      </c>
      <c r="B369" s="103" t="s">
        <v>181</v>
      </c>
      <c r="C369" s="104" t="str">
        <f t="shared" si="54"/>
        <v>×</v>
      </c>
      <c r="D369" s="104" t="str">
        <f t="shared" si="54"/>
        <v>○</v>
      </c>
      <c r="E369" s="104" t="str">
        <f t="shared" si="54"/>
        <v>×</v>
      </c>
      <c r="F369" s="104" t="str">
        <f t="shared" si="54"/>
        <v>×</v>
      </c>
      <c r="G369" s="103" t="s">
        <v>20</v>
      </c>
      <c r="H369" s="105"/>
      <c r="I369" s="105"/>
      <c r="J369" s="103" t="s">
        <v>21</v>
      </c>
      <c r="K369" s="103" t="s">
        <v>16</v>
      </c>
      <c r="L369" s="103" t="s">
        <v>39</v>
      </c>
      <c r="M369" s="108" t="str">
        <f t="shared" si="55"/>
        <v/>
      </c>
      <c r="N369" s="108" t="str">
        <f t="shared" si="55"/>
        <v>○</v>
      </c>
      <c r="O369" s="108" t="str">
        <f t="shared" si="55"/>
        <v/>
      </c>
      <c r="P369" s="108" t="str">
        <f t="shared" si="55"/>
        <v/>
      </c>
      <c r="Q369" s="108" t="str">
        <f t="shared" si="55"/>
        <v/>
      </c>
      <c r="R369" s="103" t="str">
        <f t="shared" si="55"/>
        <v/>
      </c>
      <c r="S369" s="105"/>
      <c r="T369" s="103" t="s">
        <v>30</v>
      </c>
      <c r="U369" s="103" t="s">
        <v>18</v>
      </c>
      <c r="V369" s="105"/>
    </row>
    <row r="370" spans="1:22" ht="13.5">
      <c r="A370" s="102">
        <v>45630.655480243055</v>
      </c>
      <c r="B370" s="103" t="s">
        <v>41</v>
      </c>
      <c r="C370" s="104" t="str">
        <f t="shared" si="54"/>
        <v>×</v>
      </c>
      <c r="D370" s="104" t="str">
        <f t="shared" si="54"/>
        <v>○</v>
      </c>
      <c r="E370" s="104" t="str">
        <f t="shared" si="54"/>
        <v>×</v>
      </c>
      <c r="F370" s="104" t="str">
        <f t="shared" si="54"/>
        <v>×</v>
      </c>
      <c r="G370" s="103" t="s">
        <v>20</v>
      </c>
      <c r="H370" s="105"/>
      <c r="I370" s="105"/>
      <c r="J370" s="103" t="s">
        <v>38</v>
      </c>
      <c r="K370" s="103" t="s">
        <v>16</v>
      </c>
      <c r="L370" s="103" t="s">
        <v>39</v>
      </c>
      <c r="M370" s="108" t="str">
        <f t="shared" si="55"/>
        <v/>
      </c>
      <c r="N370" s="108" t="str">
        <f t="shared" si="55"/>
        <v>○</v>
      </c>
      <c r="O370" s="108" t="str">
        <f t="shared" si="55"/>
        <v/>
      </c>
      <c r="P370" s="108" t="str">
        <f t="shared" si="55"/>
        <v/>
      </c>
      <c r="Q370" s="108" t="str">
        <f t="shared" si="55"/>
        <v/>
      </c>
      <c r="R370" s="103" t="str">
        <f t="shared" si="55"/>
        <v/>
      </c>
      <c r="S370" s="105"/>
      <c r="T370" s="103" t="s">
        <v>35</v>
      </c>
      <c r="U370" s="103" t="s">
        <v>18</v>
      </c>
      <c r="V370" s="105"/>
    </row>
    <row r="371" spans="1:22" ht="13.5">
      <c r="A371" s="102">
        <v>45630.674282893524</v>
      </c>
      <c r="B371" s="103" t="s">
        <v>19</v>
      </c>
      <c r="C371" s="104" t="str">
        <f t="shared" si="54"/>
        <v>×</v>
      </c>
      <c r="D371" s="104" t="str">
        <f t="shared" si="54"/>
        <v>○</v>
      </c>
      <c r="E371" s="104" t="str">
        <f t="shared" si="54"/>
        <v>×</v>
      </c>
      <c r="F371" s="104" t="str">
        <f t="shared" si="54"/>
        <v>×</v>
      </c>
      <c r="G371" s="103" t="s">
        <v>13</v>
      </c>
      <c r="H371" s="103" t="s">
        <v>77</v>
      </c>
      <c r="I371" s="103" t="s">
        <v>1634</v>
      </c>
      <c r="J371" s="105"/>
      <c r="K371" s="103" t="s">
        <v>34</v>
      </c>
      <c r="L371" s="105"/>
      <c r="M371" s="110" t="str">
        <f t="shared" si="55"/>
        <v/>
      </c>
      <c r="N371" s="110" t="str">
        <f t="shared" si="55"/>
        <v/>
      </c>
      <c r="O371" s="110" t="str">
        <f t="shared" si="55"/>
        <v/>
      </c>
      <c r="P371" s="110" t="str">
        <f t="shared" si="55"/>
        <v/>
      </c>
      <c r="Q371" s="110" t="str">
        <f t="shared" si="55"/>
        <v/>
      </c>
      <c r="R371" s="105" t="str">
        <f t="shared" si="55"/>
        <v/>
      </c>
      <c r="S371" s="105"/>
      <c r="T371" s="103" t="s">
        <v>35</v>
      </c>
      <c r="U371" s="103" t="s">
        <v>18</v>
      </c>
      <c r="V371" s="105"/>
    </row>
    <row r="372" spans="1:22" ht="13.5">
      <c r="A372" s="102">
        <v>45630.675279641204</v>
      </c>
      <c r="B372" s="103" t="s">
        <v>90</v>
      </c>
      <c r="C372" s="104" t="str">
        <f t="shared" si="54"/>
        <v>×</v>
      </c>
      <c r="D372" s="104" t="str">
        <f t="shared" si="54"/>
        <v>×</v>
      </c>
      <c r="E372" s="104" t="str">
        <f t="shared" si="54"/>
        <v>○</v>
      </c>
      <c r="F372" s="104" t="str">
        <f t="shared" si="54"/>
        <v>×</v>
      </c>
      <c r="G372" s="103" t="s">
        <v>13</v>
      </c>
      <c r="H372" s="103" t="s">
        <v>77</v>
      </c>
      <c r="I372" s="103" t="s">
        <v>1634</v>
      </c>
      <c r="J372" s="105"/>
      <c r="K372" s="103" t="s">
        <v>34</v>
      </c>
      <c r="L372" s="105"/>
      <c r="M372" s="110" t="str">
        <f t="shared" ref="M372:R381" si="56">IF(ISERROR(SEARCH(M$1,$L372)),"","○")</f>
        <v/>
      </c>
      <c r="N372" s="110" t="str">
        <f t="shared" si="56"/>
        <v/>
      </c>
      <c r="O372" s="110" t="str">
        <f t="shared" si="56"/>
        <v/>
      </c>
      <c r="P372" s="110" t="str">
        <f t="shared" si="56"/>
        <v/>
      </c>
      <c r="Q372" s="110" t="str">
        <f t="shared" si="56"/>
        <v/>
      </c>
      <c r="R372" s="105" t="str">
        <f t="shared" si="56"/>
        <v/>
      </c>
      <c r="S372" s="105"/>
      <c r="T372" s="103" t="s">
        <v>35</v>
      </c>
      <c r="U372" s="103" t="s">
        <v>18</v>
      </c>
      <c r="V372" s="105"/>
    </row>
    <row r="373" spans="1:22" ht="13.5">
      <c r="A373" s="102">
        <v>45630.727956643517</v>
      </c>
      <c r="B373" s="103" t="s">
        <v>209</v>
      </c>
      <c r="C373" s="104" t="str">
        <f t="shared" si="54"/>
        <v>○</v>
      </c>
      <c r="D373" s="104" t="str">
        <f t="shared" si="54"/>
        <v>○</v>
      </c>
      <c r="E373" s="104" t="str">
        <f t="shared" si="54"/>
        <v>×</v>
      </c>
      <c r="F373" s="104" t="str">
        <f t="shared" si="54"/>
        <v>×</v>
      </c>
      <c r="G373" s="103" t="s">
        <v>13</v>
      </c>
      <c r="H373" s="103" t="s">
        <v>27</v>
      </c>
      <c r="I373" s="103" t="s">
        <v>1635</v>
      </c>
      <c r="J373" s="105"/>
      <c r="K373" s="103" t="s">
        <v>34</v>
      </c>
      <c r="L373" s="105"/>
      <c r="M373" s="110" t="str">
        <f t="shared" si="56"/>
        <v/>
      </c>
      <c r="N373" s="110" t="str">
        <f t="shared" si="56"/>
        <v/>
      </c>
      <c r="O373" s="110" t="str">
        <f t="shared" si="56"/>
        <v/>
      </c>
      <c r="P373" s="110" t="str">
        <f t="shared" si="56"/>
        <v/>
      </c>
      <c r="Q373" s="110" t="str">
        <f t="shared" si="56"/>
        <v/>
      </c>
      <c r="R373" s="105" t="str">
        <f t="shared" si="56"/>
        <v/>
      </c>
      <c r="S373" s="105"/>
      <c r="T373" s="103" t="s">
        <v>61</v>
      </c>
      <c r="U373" s="103" t="s">
        <v>18</v>
      </c>
      <c r="V373" s="103" t="s">
        <v>1636</v>
      </c>
    </row>
    <row r="374" spans="1:22" ht="13.5">
      <c r="A374" s="102">
        <v>45630.734394756946</v>
      </c>
      <c r="B374" s="103" t="s">
        <v>90</v>
      </c>
      <c r="C374" s="104" t="str">
        <f t="shared" si="54"/>
        <v>×</v>
      </c>
      <c r="D374" s="104" t="str">
        <f t="shared" si="54"/>
        <v>×</v>
      </c>
      <c r="E374" s="104" t="str">
        <f t="shared" si="54"/>
        <v>○</v>
      </c>
      <c r="F374" s="104" t="str">
        <f t="shared" si="54"/>
        <v>×</v>
      </c>
      <c r="G374" s="103" t="s">
        <v>20</v>
      </c>
      <c r="H374" s="105"/>
      <c r="I374" s="105"/>
      <c r="J374" s="103" t="s">
        <v>1637</v>
      </c>
      <c r="K374" s="103" t="s">
        <v>34</v>
      </c>
      <c r="L374" s="105"/>
      <c r="M374" s="110" t="str">
        <f t="shared" si="56"/>
        <v/>
      </c>
      <c r="N374" s="110" t="str">
        <f t="shared" si="56"/>
        <v/>
      </c>
      <c r="O374" s="110" t="str">
        <f t="shared" si="56"/>
        <v/>
      </c>
      <c r="P374" s="110" t="str">
        <f t="shared" si="56"/>
        <v/>
      </c>
      <c r="Q374" s="110" t="str">
        <f t="shared" si="56"/>
        <v/>
      </c>
      <c r="R374" s="105" t="str">
        <f t="shared" si="56"/>
        <v/>
      </c>
      <c r="S374" s="105"/>
      <c r="T374" s="103" t="s">
        <v>35</v>
      </c>
      <c r="U374" s="103" t="s">
        <v>18</v>
      </c>
      <c r="V374" s="105"/>
    </row>
    <row r="375" spans="1:22" ht="13.5">
      <c r="A375" s="102">
        <v>45630.735924097222</v>
      </c>
      <c r="B375" s="103" t="s">
        <v>199</v>
      </c>
      <c r="C375" s="104" t="str">
        <f t="shared" si="54"/>
        <v>×</v>
      </c>
      <c r="D375" s="104" t="str">
        <f t="shared" si="54"/>
        <v>○</v>
      </c>
      <c r="E375" s="104" t="str">
        <f t="shared" si="54"/>
        <v>×</v>
      </c>
      <c r="F375" s="104" t="str">
        <f t="shared" si="54"/>
        <v>×</v>
      </c>
      <c r="G375" s="103" t="s">
        <v>13</v>
      </c>
      <c r="H375" s="103" t="s">
        <v>32</v>
      </c>
      <c r="I375" s="103" t="s">
        <v>1638</v>
      </c>
      <c r="J375" s="105"/>
      <c r="K375" s="103" t="s">
        <v>16</v>
      </c>
      <c r="L375" s="103" t="s">
        <v>107</v>
      </c>
      <c r="M375" s="108" t="str">
        <f t="shared" si="56"/>
        <v/>
      </c>
      <c r="N375" s="108" t="str">
        <f t="shared" si="56"/>
        <v/>
      </c>
      <c r="O375" s="108" t="str">
        <f t="shared" si="56"/>
        <v>○</v>
      </c>
      <c r="P375" s="108" t="str">
        <f t="shared" si="56"/>
        <v/>
      </c>
      <c r="Q375" s="108" t="str">
        <f t="shared" si="56"/>
        <v/>
      </c>
      <c r="R375" s="103" t="str">
        <f t="shared" si="56"/>
        <v/>
      </c>
      <c r="S375" s="105"/>
      <c r="T375" s="103" t="s">
        <v>24</v>
      </c>
      <c r="U375" s="103" t="s">
        <v>18</v>
      </c>
      <c r="V375" s="103" t="s">
        <v>1639</v>
      </c>
    </row>
    <row r="376" spans="1:22" ht="13.5">
      <c r="A376" s="102">
        <v>45630.758855914348</v>
      </c>
      <c r="B376" s="103" t="s">
        <v>84</v>
      </c>
      <c r="C376" s="104" t="str">
        <f t="shared" si="54"/>
        <v>×</v>
      </c>
      <c r="D376" s="104" t="str">
        <f t="shared" si="54"/>
        <v>×</v>
      </c>
      <c r="E376" s="104" t="str">
        <f t="shared" si="54"/>
        <v>○</v>
      </c>
      <c r="F376" s="104" t="str">
        <f t="shared" si="54"/>
        <v>×</v>
      </c>
      <c r="G376" s="103" t="s">
        <v>20</v>
      </c>
      <c r="H376" s="105"/>
      <c r="I376" s="105"/>
      <c r="J376" s="103" t="s">
        <v>58</v>
      </c>
      <c r="K376" s="103" t="s">
        <v>16</v>
      </c>
      <c r="L376" s="103" t="s">
        <v>68</v>
      </c>
      <c r="M376" s="108" t="str">
        <f t="shared" si="56"/>
        <v/>
      </c>
      <c r="N376" s="108" t="str">
        <f t="shared" si="56"/>
        <v/>
      </c>
      <c r="O376" s="108" t="str">
        <f t="shared" si="56"/>
        <v/>
      </c>
      <c r="P376" s="108" t="str">
        <f t="shared" si="56"/>
        <v/>
      </c>
      <c r="Q376" s="108" t="str">
        <f t="shared" si="56"/>
        <v>○</v>
      </c>
      <c r="R376" s="103" t="str">
        <f t="shared" si="56"/>
        <v/>
      </c>
      <c r="S376" s="103" t="s">
        <v>1648</v>
      </c>
      <c r="T376" s="103" t="s">
        <v>35</v>
      </c>
      <c r="U376" s="103" t="s">
        <v>18</v>
      </c>
      <c r="V376" s="105"/>
    </row>
    <row r="377" spans="1:22" ht="13.5">
      <c r="A377" s="102">
        <v>45630.759722048606</v>
      </c>
      <c r="B377" s="103" t="s">
        <v>131</v>
      </c>
      <c r="C377" s="104" t="str">
        <f t="shared" si="54"/>
        <v>×</v>
      </c>
      <c r="D377" s="104" t="str">
        <f t="shared" si="54"/>
        <v>○</v>
      </c>
      <c r="E377" s="104" t="str">
        <f t="shared" si="54"/>
        <v>○</v>
      </c>
      <c r="F377" s="104" t="str">
        <f t="shared" si="54"/>
        <v>×</v>
      </c>
      <c r="G377" s="103" t="s">
        <v>20</v>
      </c>
      <c r="H377" s="105"/>
      <c r="I377" s="105"/>
      <c r="J377" s="103" t="s">
        <v>58</v>
      </c>
      <c r="K377" s="103" t="s">
        <v>16</v>
      </c>
      <c r="L377" s="103" t="s">
        <v>39</v>
      </c>
      <c r="M377" s="108" t="str">
        <f t="shared" si="56"/>
        <v/>
      </c>
      <c r="N377" s="108" t="str">
        <f t="shared" si="56"/>
        <v>○</v>
      </c>
      <c r="O377" s="108" t="str">
        <f t="shared" si="56"/>
        <v/>
      </c>
      <c r="P377" s="108" t="str">
        <f t="shared" si="56"/>
        <v/>
      </c>
      <c r="Q377" s="108" t="str">
        <f t="shared" si="56"/>
        <v/>
      </c>
      <c r="R377" s="103" t="str">
        <f t="shared" si="56"/>
        <v/>
      </c>
      <c r="S377" s="105"/>
      <c r="T377" s="103" t="s">
        <v>35</v>
      </c>
      <c r="U377" s="103" t="s">
        <v>18</v>
      </c>
      <c r="V377" s="105"/>
    </row>
    <row r="378" spans="1:22" ht="13.5">
      <c r="A378" s="102">
        <v>45630.761703171302</v>
      </c>
      <c r="B378" s="103" t="s">
        <v>759</v>
      </c>
      <c r="C378" s="104" t="str">
        <f t="shared" si="54"/>
        <v>×</v>
      </c>
      <c r="D378" s="104" t="str">
        <f t="shared" si="54"/>
        <v>○</v>
      </c>
      <c r="E378" s="104" t="str">
        <f t="shared" si="54"/>
        <v>○</v>
      </c>
      <c r="F378" s="104" t="str">
        <f t="shared" si="54"/>
        <v>×</v>
      </c>
      <c r="G378" s="103" t="s">
        <v>20</v>
      </c>
      <c r="H378" s="105"/>
      <c r="I378" s="105"/>
      <c r="J378" s="103" t="s">
        <v>186</v>
      </c>
      <c r="K378" s="103" t="s">
        <v>16</v>
      </c>
      <c r="L378" s="103" t="s">
        <v>88</v>
      </c>
      <c r="M378" s="108" t="str">
        <f t="shared" si="56"/>
        <v/>
      </c>
      <c r="N378" s="108" t="str">
        <f t="shared" si="56"/>
        <v>○</v>
      </c>
      <c r="O378" s="108" t="str">
        <f t="shared" si="56"/>
        <v/>
      </c>
      <c r="P378" s="108" t="str">
        <f t="shared" si="56"/>
        <v/>
      </c>
      <c r="Q378" s="108" t="str">
        <f t="shared" si="56"/>
        <v>○</v>
      </c>
      <c r="R378" s="103" t="str">
        <f t="shared" si="56"/>
        <v/>
      </c>
      <c r="S378" s="105"/>
      <c r="T378" s="103" t="s">
        <v>30</v>
      </c>
      <c r="U378" s="103" t="s">
        <v>18</v>
      </c>
      <c r="V378" s="105"/>
    </row>
    <row r="379" spans="1:22" ht="13.5">
      <c r="A379" s="102">
        <v>45630.763409537038</v>
      </c>
      <c r="B379" s="103" t="s">
        <v>76</v>
      </c>
      <c r="C379" s="104" t="str">
        <f t="shared" si="54"/>
        <v>×</v>
      </c>
      <c r="D379" s="104" t="str">
        <f t="shared" si="54"/>
        <v>○</v>
      </c>
      <c r="E379" s="104" t="str">
        <f t="shared" si="54"/>
        <v>○</v>
      </c>
      <c r="F379" s="104" t="str">
        <f t="shared" si="54"/>
        <v>×</v>
      </c>
      <c r="G379" s="103" t="s">
        <v>13</v>
      </c>
      <c r="H379" s="103" t="s">
        <v>27</v>
      </c>
      <c r="I379" s="103" t="s">
        <v>1653</v>
      </c>
      <c r="J379" s="105"/>
      <c r="K379" s="103" t="s">
        <v>34</v>
      </c>
      <c r="L379" s="105"/>
      <c r="M379" s="110" t="str">
        <f t="shared" si="56"/>
        <v/>
      </c>
      <c r="N379" s="110" t="str">
        <f t="shared" si="56"/>
        <v/>
      </c>
      <c r="O379" s="110" t="str">
        <f t="shared" si="56"/>
        <v/>
      </c>
      <c r="P379" s="110" t="str">
        <f t="shared" si="56"/>
        <v/>
      </c>
      <c r="Q379" s="110" t="str">
        <f t="shared" si="56"/>
        <v/>
      </c>
      <c r="R379" s="105" t="str">
        <f t="shared" si="56"/>
        <v/>
      </c>
      <c r="S379" s="105"/>
      <c r="T379" s="103" t="s">
        <v>35</v>
      </c>
      <c r="U379" s="103" t="s">
        <v>18</v>
      </c>
      <c r="V379" s="105"/>
    </row>
    <row r="380" spans="1:22" ht="13.5">
      <c r="A380" s="102">
        <v>45630.763667025458</v>
      </c>
      <c r="B380" s="103" t="s">
        <v>90</v>
      </c>
      <c r="C380" s="104" t="str">
        <f t="shared" si="54"/>
        <v>×</v>
      </c>
      <c r="D380" s="104" t="str">
        <f t="shared" si="54"/>
        <v>×</v>
      </c>
      <c r="E380" s="104" t="str">
        <f t="shared" si="54"/>
        <v>○</v>
      </c>
      <c r="F380" s="104" t="str">
        <f t="shared" si="54"/>
        <v>×</v>
      </c>
      <c r="G380" s="103" t="s">
        <v>20</v>
      </c>
      <c r="H380" s="105"/>
      <c r="I380" s="105"/>
      <c r="J380" s="103" t="s">
        <v>58</v>
      </c>
      <c r="K380" s="103" t="s">
        <v>16</v>
      </c>
      <c r="L380" s="103" t="s">
        <v>39</v>
      </c>
      <c r="M380" s="108" t="str">
        <f t="shared" si="56"/>
        <v/>
      </c>
      <c r="N380" s="108" t="str">
        <f t="shared" si="56"/>
        <v>○</v>
      </c>
      <c r="O380" s="108" t="str">
        <f t="shared" si="56"/>
        <v/>
      </c>
      <c r="P380" s="108" t="str">
        <f t="shared" si="56"/>
        <v/>
      </c>
      <c r="Q380" s="108" t="str">
        <f t="shared" si="56"/>
        <v/>
      </c>
      <c r="R380" s="103" t="str">
        <f t="shared" si="56"/>
        <v/>
      </c>
      <c r="S380" s="105"/>
      <c r="T380" s="103" t="s">
        <v>24</v>
      </c>
      <c r="U380" s="103" t="s">
        <v>18</v>
      </c>
      <c r="V380" s="105"/>
    </row>
    <row r="381" spans="1:22" ht="13.5">
      <c r="A381" s="102">
        <v>45630.776583460647</v>
      </c>
      <c r="B381" s="103" t="s">
        <v>90</v>
      </c>
      <c r="C381" s="104" t="str">
        <f t="shared" si="54"/>
        <v>×</v>
      </c>
      <c r="D381" s="104" t="str">
        <f t="shared" si="54"/>
        <v>×</v>
      </c>
      <c r="E381" s="104" t="str">
        <f t="shared" si="54"/>
        <v>○</v>
      </c>
      <c r="F381" s="104" t="str">
        <f t="shared" si="54"/>
        <v>×</v>
      </c>
      <c r="G381" s="103" t="s">
        <v>13</v>
      </c>
      <c r="H381" s="103" t="s">
        <v>77</v>
      </c>
      <c r="I381" s="103" t="s">
        <v>1655</v>
      </c>
      <c r="J381" s="105"/>
      <c r="K381" s="103" t="s">
        <v>16</v>
      </c>
      <c r="L381" s="103" t="s">
        <v>107</v>
      </c>
      <c r="M381" s="108" t="str">
        <f t="shared" si="56"/>
        <v/>
      </c>
      <c r="N381" s="108" t="str">
        <f t="shared" si="56"/>
        <v/>
      </c>
      <c r="O381" s="108" t="str">
        <f t="shared" si="56"/>
        <v>○</v>
      </c>
      <c r="P381" s="108" t="str">
        <f t="shared" si="56"/>
        <v/>
      </c>
      <c r="Q381" s="108" t="str">
        <f t="shared" si="56"/>
        <v/>
      </c>
      <c r="R381" s="103" t="str">
        <f t="shared" si="56"/>
        <v/>
      </c>
      <c r="S381" s="105"/>
      <c r="T381" s="103" t="s">
        <v>1656</v>
      </c>
      <c r="U381" s="103" t="s">
        <v>18</v>
      </c>
      <c r="V381" s="105"/>
    </row>
    <row r="382" spans="1:22" ht="13.5">
      <c r="A382" s="102">
        <v>45630.784688622683</v>
      </c>
      <c r="B382" s="103" t="s">
        <v>57</v>
      </c>
      <c r="C382" s="104" t="str">
        <f t="shared" ref="C382:F401" si="57">IF(ISERROR(FIND(C$1,$B382)),"×","○")</f>
        <v>×</v>
      </c>
      <c r="D382" s="104" t="str">
        <f t="shared" si="57"/>
        <v>○</v>
      </c>
      <c r="E382" s="104" t="str">
        <f t="shared" si="57"/>
        <v>×</v>
      </c>
      <c r="F382" s="104" t="str">
        <f t="shared" si="57"/>
        <v>×</v>
      </c>
      <c r="G382" s="103" t="s">
        <v>20</v>
      </c>
      <c r="H382" s="105"/>
      <c r="I382" s="105"/>
      <c r="J382" s="103" t="s">
        <v>58</v>
      </c>
      <c r="K382" s="103" t="s">
        <v>16</v>
      </c>
      <c r="L382" s="103" t="s">
        <v>39</v>
      </c>
      <c r="M382" s="108" t="str">
        <f t="shared" ref="M382:R391" si="58">IF(ISERROR(SEARCH(M$1,$L382)),"","○")</f>
        <v/>
      </c>
      <c r="N382" s="108" t="str">
        <f t="shared" si="58"/>
        <v>○</v>
      </c>
      <c r="O382" s="108" t="str">
        <f t="shared" si="58"/>
        <v/>
      </c>
      <c r="P382" s="108" t="str">
        <f t="shared" si="58"/>
        <v/>
      </c>
      <c r="Q382" s="108" t="str">
        <f t="shared" si="58"/>
        <v/>
      </c>
      <c r="R382" s="103" t="str">
        <f t="shared" si="58"/>
        <v/>
      </c>
      <c r="S382" s="105"/>
      <c r="T382" s="103" t="s">
        <v>30</v>
      </c>
      <c r="U382" s="103" t="s">
        <v>18</v>
      </c>
      <c r="V382" s="103" t="s">
        <v>1657</v>
      </c>
    </row>
    <row r="383" spans="1:22" ht="13.5">
      <c r="A383" s="102">
        <v>45630.791847129629</v>
      </c>
      <c r="B383" s="103" t="s">
        <v>105</v>
      </c>
      <c r="C383" s="104" t="str">
        <f t="shared" si="57"/>
        <v>×</v>
      </c>
      <c r="D383" s="104" t="str">
        <f t="shared" si="57"/>
        <v>×</v>
      </c>
      <c r="E383" s="104" t="str">
        <f t="shared" si="57"/>
        <v>○</v>
      </c>
      <c r="F383" s="104" t="str">
        <f t="shared" si="57"/>
        <v>×</v>
      </c>
      <c r="G383" s="103" t="s">
        <v>13</v>
      </c>
      <c r="H383" s="103" t="s">
        <v>27</v>
      </c>
      <c r="I383" s="103" t="s">
        <v>1658</v>
      </c>
      <c r="J383" s="105"/>
      <c r="K383" s="103" t="s">
        <v>34</v>
      </c>
      <c r="L383" s="105"/>
      <c r="M383" s="110" t="str">
        <f t="shared" si="58"/>
        <v/>
      </c>
      <c r="N383" s="110" t="str">
        <f t="shared" si="58"/>
        <v/>
      </c>
      <c r="O383" s="110" t="str">
        <f t="shared" si="58"/>
        <v/>
      </c>
      <c r="P383" s="110" t="str">
        <f t="shared" si="58"/>
        <v/>
      </c>
      <c r="Q383" s="110" t="str">
        <f t="shared" si="58"/>
        <v/>
      </c>
      <c r="R383" s="105" t="str">
        <f t="shared" si="58"/>
        <v/>
      </c>
      <c r="S383" s="105"/>
      <c r="T383" s="103" t="s">
        <v>24</v>
      </c>
      <c r="U383" s="103" t="s">
        <v>18</v>
      </c>
      <c r="V383" s="103" t="s">
        <v>79</v>
      </c>
    </row>
    <row r="384" spans="1:22" ht="13.5">
      <c r="A384" s="102">
        <v>45630.820837893523</v>
      </c>
      <c r="B384" s="103" t="s">
        <v>514</v>
      </c>
      <c r="C384" s="104" t="str">
        <f t="shared" si="57"/>
        <v>○</v>
      </c>
      <c r="D384" s="104" t="str">
        <f t="shared" si="57"/>
        <v>○</v>
      </c>
      <c r="E384" s="104" t="str">
        <f t="shared" si="57"/>
        <v>×</v>
      </c>
      <c r="F384" s="104" t="str">
        <f t="shared" si="57"/>
        <v>×</v>
      </c>
      <c r="G384" s="103" t="s">
        <v>13</v>
      </c>
      <c r="H384" s="103" t="s">
        <v>27</v>
      </c>
      <c r="I384" s="103" t="s">
        <v>1668</v>
      </c>
      <c r="J384" s="105"/>
      <c r="K384" s="103" t="s">
        <v>34</v>
      </c>
      <c r="L384" s="105"/>
      <c r="M384" s="110" t="str">
        <f t="shared" si="58"/>
        <v/>
      </c>
      <c r="N384" s="110" t="str">
        <f t="shared" si="58"/>
        <v/>
      </c>
      <c r="O384" s="110" t="str">
        <f t="shared" si="58"/>
        <v/>
      </c>
      <c r="P384" s="110" t="str">
        <f t="shared" si="58"/>
        <v/>
      </c>
      <c r="Q384" s="110" t="str">
        <f t="shared" si="58"/>
        <v/>
      </c>
      <c r="R384" s="105" t="str">
        <f t="shared" si="58"/>
        <v/>
      </c>
      <c r="S384" s="105"/>
      <c r="T384" s="103" t="s">
        <v>35</v>
      </c>
      <c r="U384" s="103" t="s">
        <v>18</v>
      </c>
      <c r="V384" s="103" t="s">
        <v>1374</v>
      </c>
    </row>
    <row r="385" spans="1:22" ht="13.5">
      <c r="A385" s="102">
        <v>45630.823133923608</v>
      </c>
      <c r="B385" s="103" t="s">
        <v>1075</v>
      </c>
      <c r="C385" s="104" t="str">
        <f t="shared" si="57"/>
        <v>×</v>
      </c>
      <c r="D385" s="104" t="str">
        <f t="shared" si="57"/>
        <v>○</v>
      </c>
      <c r="E385" s="104" t="str">
        <f t="shared" si="57"/>
        <v>×</v>
      </c>
      <c r="F385" s="104" t="str">
        <f t="shared" si="57"/>
        <v>×</v>
      </c>
      <c r="G385" s="103" t="s">
        <v>20</v>
      </c>
      <c r="H385" s="105"/>
      <c r="I385" s="105"/>
      <c r="J385" s="103" t="s">
        <v>21</v>
      </c>
      <c r="K385" s="103" t="s">
        <v>16</v>
      </c>
      <c r="L385" s="103" t="s">
        <v>88</v>
      </c>
      <c r="M385" s="108" t="str">
        <f t="shared" si="58"/>
        <v/>
      </c>
      <c r="N385" s="108" t="str">
        <f t="shared" si="58"/>
        <v>○</v>
      </c>
      <c r="O385" s="108" t="str">
        <f t="shared" si="58"/>
        <v/>
      </c>
      <c r="P385" s="108" t="str">
        <f t="shared" si="58"/>
        <v/>
      </c>
      <c r="Q385" s="108" t="str">
        <f t="shared" si="58"/>
        <v>○</v>
      </c>
      <c r="R385" s="103" t="str">
        <f t="shared" si="58"/>
        <v/>
      </c>
      <c r="S385" s="103" t="s">
        <v>1669</v>
      </c>
      <c r="T385" s="103" t="s">
        <v>35</v>
      </c>
      <c r="U385" s="103" t="s">
        <v>18</v>
      </c>
      <c r="V385" s="105"/>
    </row>
    <row r="386" spans="1:22" ht="13.5">
      <c r="A386" s="102">
        <v>45630.838415115737</v>
      </c>
      <c r="B386" s="103" t="s">
        <v>93</v>
      </c>
      <c r="C386" s="104" t="str">
        <f t="shared" si="57"/>
        <v>×</v>
      </c>
      <c r="D386" s="104" t="str">
        <f t="shared" si="57"/>
        <v>×</v>
      </c>
      <c r="E386" s="104" t="str">
        <f t="shared" si="57"/>
        <v>○</v>
      </c>
      <c r="F386" s="104" t="str">
        <f t="shared" si="57"/>
        <v>×</v>
      </c>
      <c r="G386" s="103" t="s">
        <v>20</v>
      </c>
      <c r="H386" s="105"/>
      <c r="I386" s="105"/>
      <c r="J386" s="103" t="s">
        <v>21</v>
      </c>
      <c r="K386" s="103" t="s">
        <v>16</v>
      </c>
      <c r="L386" s="103" t="s">
        <v>39</v>
      </c>
      <c r="M386" s="108" t="str">
        <f t="shared" si="58"/>
        <v/>
      </c>
      <c r="N386" s="108" t="str">
        <f t="shared" si="58"/>
        <v>○</v>
      </c>
      <c r="O386" s="108" t="str">
        <f t="shared" si="58"/>
        <v/>
      </c>
      <c r="P386" s="108" t="str">
        <f t="shared" si="58"/>
        <v/>
      </c>
      <c r="Q386" s="108" t="str">
        <f t="shared" si="58"/>
        <v/>
      </c>
      <c r="R386" s="103" t="str">
        <f t="shared" si="58"/>
        <v/>
      </c>
      <c r="S386" s="105"/>
      <c r="T386" s="103" t="s">
        <v>35</v>
      </c>
      <c r="U386" s="103" t="s">
        <v>18</v>
      </c>
      <c r="V386" s="105"/>
    </row>
    <row r="387" spans="1:22" ht="13.5">
      <c r="A387" s="102">
        <v>45630.848651990746</v>
      </c>
      <c r="B387" s="103" t="s">
        <v>164</v>
      </c>
      <c r="C387" s="104" t="str">
        <f t="shared" si="57"/>
        <v>×</v>
      </c>
      <c r="D387" s="104" t="str">
        <f t="shared" si="57"/>
        <v>○</v>
      </c>
      <c r="E387" s="104" t="str">
        <f t="shared" si="57"/>
        <v>×</v>
      </c>
      <c r="F387" s="104" t="str">
        <f t="shared" si="57"/>
        <v>×</v>
      </c>
      <c r="G387" s="103" t="s">
        <v>20</v>
      </c>
      <c r="H387" s="105"/>
      <c r="I387" s="105"/>
      <c r="J387" s="103" t="s">
        <v>1673</v>
      </c>
      <c r="K387" s="103" t="s">
        <v>16</v>
      </c>
      <c r="L387" s="103" t="s">
        <v>1674</v>
      </c>
      <c r="M387" s="108" t="str">
        <f t="shared" si="58"/>
        <v/>
      </c>
      <c r="N387" s="108" t="str">
        <f t="shared" si="58"/>
        <v/>
      </c>
      <c r="O387" s="108" t="str">
        <f t="shared" si="58"/>
        <v/>
      </c>
      <c r="P387" s="108" t="str">
        <f t="shared" si="58"/>
        <v/>
      </c>
      <c r="Q387" s="108" t="str">
        <f t="shared" si="58"/>
        <v/>
      </c>
      <c r="R387" s="103" t="str">
        <f t="shared" si="58"/>
        <v/>
      </c>
      <c r="S387" s="105"/>
      <c r="T387" s="103" t="s">
        <v>35</v>
      </c>
      <c r="U387" s="103" t="s">
        <v>18</v>
      </c>
      <c r="V387" s="105"/>
    </row>
    <row r="388" spans="1:22" ht="13.5">
      <c r="A388" s="102">
        <v>45630.86625924769</v>
      </c>
      <c r="B388" s="103" t="s">
        <v>90</v>
      </c>
      <c r="C388" s="104" t="str">
        <f t="shared" si="57"/>
        <v>×</v>
      </c>
      <c r="D388" s="104" t="str">
        <f t="shared" si="57"/>
        <v>×</v>
      </c>
      <c r="E388" s="104" t="str">
        <f t="shared" si="57"/>
        <v>○</v>
      </c>
      <c r="F388" s="104" t="str">
        <f t="shared" si="57"/>
        <v>×</v>
      </c>
      <c r="G388" s="103" t="s">
        <v>20</v>
      </c>
      <c r="H388" s="105"/>
      <c r="I388" s="105"/>
      <c r="J388" s="103" t="s">
        <v>58</v>
      </c>
      <c r="K388" s="103" t="s">
        <v>16</v>
      </c>
      <c r="L388" s="103" t="s">
        <v>68</v>
      </c>
      <c r="M388" s="108" t="str">
        <f t="shared" si="58"/>
        <v/>
      </c>
      <c r="N388" s="108" t="str">
        <f t="shared" si="58"/>
        <v/>
      </c>
      <c r="O388" s="108" t="str">
        <f t="shared" si="58"/>
        <v/>
      </c>
      <c r="P388" s="108" t="str">
        <f t="shared" si="58"/>
        <v/>
      </c>
      <c r="Q388" s="108" t="str">
        <f t="shared" si="58"/>
        <v>○</v>
      </c>
      <c r="R388" s="103" t="str">
        <f t="shared" si="58"/>
        <v/>
      </c>
      <c r="S388" s="105"/>
      <c r="T388" s="103" t="s">
        <v>35</v>
      </c>
      <c r="U388" s="103" t="s">
        <v>18</v>
      </c>
      <c r="V388" s="105"/>
    </row>
    <row r="389" spans="1:22" ht="13.5">
      <c r="A389" s="102">
        <v>45630.916414432868</v>
      </c>
      <c r="B389" s="103" t="s">
        <v>181</v>
      </c>
      <c r="C389" s="104" t="str">
        <f t="shared" si="57"/>
        <v>×</v>
      </c>
      <c r="D389" s="104" t="str">
        <f t="shared" si="57"/>
        <v>○</v>
      </c>
      <c r="E389" s="104" t="str">
        <f t="shared" si="57"/>
        <v>×</v>
      </c>
      <c r="F389" s="104" t="str">
        <f t="shared" si="57"/>
        <v>×</v>
      </c>
      <c r="G389" s="103" t="s">
        <v>20</v>
      </c>
      <c r="H389" s="105"/>
      <c r="I389" s="105"/>
      <c r="J389" s="103" t="s">
        <v>58</v>
      </c>
      <c r="K389" s="103" t="s">
        <v>16</v>
      </c>
      <c r="L389" s="103" t="s">
        <v>68</v>
      </c>
      <c r="M389" s="108" t="str">
        <f t="shared" si="58"/>
        <v/>
      </c>
      <c r="N389" s="108" t="str">
        <f t="shared" si="58"/>
        <v/>
      </c>
      <c r="O389" s="108" t="str">
        <f t="shared" si="58"/>
        <v/>
      </c>
      <c r="P389" s="108" t="str">
        <f t="shared" si="58"/>
        <v/>
      </c>
      <c r="Q389" s="108" t="str">
        <f t="shared" si="58"/>
        <v>○</v>
      </c>
      <c r="R389" s="103" t="str">
        <f t="shared" si="58"/>
        <v/>
      </c>
      <c r="S389" s="105"/>
      <c r="T389" s="103" t="s">
        <v>30</v>
      </c>
      <c r="U389" s="103" t="s">
        <v>18</v>
      </c>
      <c r="V389" s="105"/>
    </row>
    <row r="390" spans="1:22" ht="13.5">
      <c r="A390" s="102">
        <v>45630.936628912037</v>
      </c>
      <c r="B390" s="103" t="s">
        <v>1712</v>
      </c>
      <c r="C390" s="104" t="str">
        <f t="shared" si="57"/>
        <v>×</v>
      </c>
      <c r="D390" s="104" t="str">
        <f t="shared" si="57"/>
        <v>○</v>
      </c>
      <c r="E390" s="104" t="str">
        <f t="shared" si="57"/>
        <v>○</v>
      </c>
      <c r="F390" s="104" t="str">
        <f t="shared" si="57"/>
        <v>○</v>
      </c>
      <c r="G390" s="103" t="s">
        <v>20</v>
      </c>
      <c r="H390" s="105"/>
      <c r="I390" s="105"/>
      <c r="J390" s="103" t="s">
        <v>58</v>
      </c>
      <c r="K390" s="103" t="s">
        <v>16</v>
      </c>
      <c r="L390" s="103" t="s">
        <v>39</v>
      </c>
      <c r="M390" s="108" t="str">
        <f t="shared" si="58"/>
        <v/>
      </c>
      <c r="N390" s="108" t="str">
        <f t="shared" si="58"/>
        <v>○</v>
      </c>
      <c r="O390" s="108" t="str">
        <f t="shared" si="58"/>
        <v/>
      </c>
      <c r="P390" s="108" t="str">
        <f t="shared" si="58"/>
        <v/>
      </c>
      <c r="Q390" s="108" t="str">
        <f t="shared" si="58"/>
        <v/>
      </c>
      <c r="R390" s="103" t="str">
        <f t="shared" si="58"/>
        <v/>
      </c>
      <c r="S390" s="105"/>
      <c r="T390" s="103" t="s">
        <v>35</v>
      </c>
      <c r="U390" s="103" t="s">
        <v>18</v>
      </c>
      <c r="V390" s="105"/>
    </row>
    <row r="391" spans="1:22" ht="13.5">
      <c r="A391" s="102">
        <v>45630.959601030088</v>
      </c>
      <c r="B391" s="103" t="s">
        <v>213</v>
      </c>
      <c r="C391" s="104" t="str">
        <f t="shared" si="57"/>
        <v>×</v>
      </c>
      <c r="D391" s="104" t="str">
        <f t="shared" si="57"/>
        <v>○</v>
      </c>
      <c r="E391" s="104" t="str">
        <f t="shared" si="57"/>
        <v>○</v>
      </c>
      <c r="F391" s="104" t="str">
        <f t="shared" si="57"/>
        <v>×</v>
      </c>
      <c r="G391" s="103" t="s">
        <v>13</v>
      </c>
      <c r="H391" s="103" t="s">
        <v>27</v>
      </c>
      <c r="I391" s="103" t="s">
        <v>85</v>
      </c>
      <c r="J391" s="105"/>
      <c r="K391" s="103" t="s">
        <v>34</v>
      </c>
      <c r="L391" s="105"/>
      <c r="M391" s="110" t="str">
        <f t="shared" si="58"/>
        <v/>
      </c>
      <c r="N391" s="110" t="str">
        <f t="shared" si="58"/>
        <v/>
      </c>
      <c r="O391" s="110" t="str">
        <f t="shared" si="58"/>
        <v/>
      </c>
      <c r="P391" s="110" t="str">
        <f t="shared" si="58"/>
        <v/>
      </c>
      <c r="Q391" s="110" t="str">
        <f t="shared" si="58"/>
        <v/>
      </c>
      <c r="R391" s="105" t="str">
        <f t="shared" si="58"/>
        <v/>
      </c>
      <c r="S391" s="105"/>
      <c r="T391" s="103" t="s">
        <v>30</v>
      </c>
      <c r="U391" s="103" t="s">
        <v>18</v>
      </c>
      <c r="V391" s="105"/>
    </row>
    <row r="392" spans="1:22" ht="13.5">
      <c r="A392" s="102">
        <v>45630.980322800926</v>
      </c>
      <c r="B392" s="103" t="s">
        <v>41</v>
      </c>
      <c r="C392" s="104" t="str">
        <f t="shared" si="57"/>
        <v>×</v>
      </c>
      <c r="D392" s="104" t="str">
        <f t="shared" si="57"/>
        <v>○</v>
      </c>
      <c r="E392" s="104" t="str">
        <f t="shared" si="57"/>
        <v>×</v>
      </c>
      <c r="F392" s="104" t="str">
        <f t="shared" si="57"/>
        <v>×</v>
      </c>
      <c r="G392" s="103" t="s">
        <v>13</v>
      </c>
      <c r="H392" s="103" t="s">
        <v>77</v>
      </c>
      <c r="I392" s="103" t="s">
        <v>1723</v>
      </c>
      <c r="J392" s="105"/>
      <c r="K392" s="103" t="s">
        <v>34</v>
      </c>
      <c r="L392" s="105"/>
      <c r="M392" s="110" t="str">
        <f t="shared" ref="M392:R401" si="59">IF(ISERROR(SEARCH(M$1,$L392)),"","○")</f>
        <v/>
      </c>
      <c r="N392" s="110" t="str">
        <f t="shared" si="59"/>
        <v/>
      </c>
      <c r="O392" s="110" t="str">
        <f t="shared" si="59"/>
        <v/>
      </c>
      <c r="P392" s="110" t="str">
        <f t="shared" si="59"/>
        <v/>
      </c>
      <c r="Q392" s="110" t="str">
        <f t="shared" si="59"/>
        <v/>
      </c>
      <c r="R392" s="105" t="str">
        <f t="shared" si="59"/>
        <v/>
      </c>
      <c r="S392" s="105"/>
      <c r="T392" s="103" t="s">
        <v>35</v>
      </c>
      <c r="U392" s="103" t="s">
        <v>18</v>
      </c>
      <c r="V392" s="105"/>
    </row>
    <row r="393" spans="1:22" ht="13.5">
      <c r="A393" s="102">
        <v>45630.99983753472</v>
      </c>
      <c r="B393" s="103" t="s">
        <v>64</v>
      </c>
      <c r="C393" s="104" t="str">
        <f t="shared" si="57"/>
        <v>○</v>
      </c>
      <c r="D393" s="104" t="str">
        <f t="shared" si="57"/>
        <v>○</v>
      </c>
      <c r="E393" s="104" t="str">
        <f t="shared" si="57"/>
        <v>×</v>
      </c>
      <c r="F393" s="104" t="str">
        <f t="shared" si="57"/>
        <v>×</v>
      </c>
      <c r="G393" s="103" t="s">
        <v>13</v>
      </c>
      <c r="H393" s="103" t="s">
        <v>32</v>
      </c>
      <c r="I393" s="103" t="s">
        <v>1724</v>
      </c>
      <c r="J393" s="105"/>
      <c r="K393" s="103" t="s">
        <v>34</v>
      </c>
      <c r="L393" s="105"/>
      <c r="M393" s="110" t="str">
        <f t="shared" si="59"/>
        <v/>
      </c>
      <c r="N393" s="110" t="str">
        <f t="shared" si="59"/>
        <v/>
      </c>
      <c r="O393" s="110" t="str">
        <f t="shared" si="59"/>
        <v/>
      </c>
      <c r="P393" s="110" t="str">
        <f t="shared" si="59"/>
        <v/>
      </c>
      <c r="Q393" s="110" t="str">
        <f t="shared" si="59"/>
        <v/>
      </c>
      <c r="R393" s="105" t="str">
        <f t="shared" si="59"/>
        <v/>
      </c>
      <c r="S393" s="105"/>
      <c r="T393" s="103" t="s">
        <v>35</v>
      </c>
      <c r="U393" s="103" t="s">
        <v>18</v>
      </c>
      <c r="V393" s="105"/>
    </row>
    <row r="394" spans="1:22" ht="13.5">
      <c r="A394" s="102">
        <v>45631.017603819448</v>
      </c>
      <c r="B394" s="103" t="s">
        <v>90</v>
      </c>
      <c r="C394" s="104" t="str">
        <f t="shared" si="57"/>
        <v>×</v>
      </c>
      <c r="D394" s="104" t="str">
        <f t="shared" si="57"/>
        <v>×</v>
      </c>
      <c r="E394" s="104" t="str">
        <f t="shared" si="57"/>
        <v>○</v>
      </c>
      <c r="F394" s="104" t="str">
        <f t="shared" si="57"/>
        <v>×</v>
      </c>
      <c r="G394" s="103" t="s">
        <v>20</v>
      </c>
      <c r="H394" s="105"/>
      <c r="I394" s="105"/>
      <c r="J394" s="103" t="s">
        <v>58</v>
      </c>
      <c r="K394" s="103" t="s">
        <v>16</v>
      </c>
      <c r="L394" s="103" t="s">
        <v>1725</v>
      </c>
      <c r="M394" s="108" t="str">
        <f t="shared" si="59"/>
        <v/>
      </c>
      <c r="N394" s="108" t="str">
        <f t="shared" si="59"/>
        <v/>
      </c>
      <c r="O394" s="108" t="str">
        <f t="shared" si="59"/>
        <v/>
      </c>
      <c r="P394" s="108" t="str">
        <f t="shared" si="59"/>
        <v/>
      </c>
      <c r="Q394" s="108" t="str">
        <f t="shared" si="59"/>
        <v/>
      </c>
      <c r="R394" s="103" t="str">
        <f t="shared" si="59"/>
        <v/>
      </c>
      <c r="S394" s="105"/>
      <c r="T394" s="103" t="s">
        <v>30</v>
      </c>
      <c r="U394" s="103" t="s">
        <v>18</v>
      </c>
      <c r="V394" s="103" t="s">
        <v>1726</v>
      </c>
    </row>
    <row r="395" spans="1:22" ht="13.5">
      <c r="A395" s="102">
        <v>45631.140811655088</v>
      </c>
      <c r="B395" s="103" t="s">
        <v>263</v>
      </c>
      <c r="C395" s="104" t="str">
        <f t="shared" si="57"/>
        <v>○</v>
      </c>
      <c r="D395" s="104" t="str">
        <f t="shared" si="57"/>
        <v>○</v>
      </c>
      <c r="E395" s="104" t="str">
        <f t="shared" si="57"/>
        <v>×</v>
      </c>
      <c r="F395" s="104" t="str">
        <f t="shared" si="57"/>
        <v>×</v>
      </c>
      <c r="G395" s="103" t="s">
        <v>13</v>
      </c>
      <c r="H395" s="103" t="s">
        <v>32</v>
      </c>
      <c r="I395" s="103" t="s">
        <v>1729</v>
      </c>
      <c r="J395" s="105"/>
      <c r="K395" s="103" t="s">
        <v>34</v>
      </c>
      <c r="L395" s="105"/>
      <c r="M395" s="110" t="str">
        <f t="shared" si="59"/>
        <v/>
      </c>
      <c r="N395" s="110" t="str">
        <f t="shared" si="59"/>
        <v/>
      </c>
      <c r="O395" s="110" t="str">
        <f t="shared" si="59"/>
        <v/>
      </c>
      <c r="P395" s="110" t="str">
        <f t="shared" si="59"/>
        <v/>
      </c>
      <c r="Q395" s="110" t="str">
        <f t="shared" si="59"/>
        <v/>
      </c>
      <c r="R395" s="105" t="str">
        <f t="shared" si="59"/>
        <v/>
      </c>
      <c r="S395" s="105"/>
      <c r="T395" s="103" t="s">
        <v>30</v>
      </c>
      <c r="U395" s="103" t="s">
        <v>18</v>
      </c>
      <c r="V395" s="105"/>
    </row>
    <row r="396" spans="1:22" ht="13.5">
      <c r="A396" s="102">
        <v>45631.149136446758</v>
      </c>
      <c r="B396" s="103" t="s">
        <v>1730</v>
      </c>
      <c r="C396" s="104" t="str">
        <f t="shared" si="57"/>
        <v>○</v>
      </c>
      <c r="D396" s="104" t="str">
        <f t="shared" si="57"/>
        <v>○</v>
      </c>
      <c r="E396" s="104" t="str">
        <f t="shared" si="57"/>
        <v>×</v>
      </c>
      <c r="F396" s="104" t="str">
        <f t="shared" si="57"/>
        <v>×</v>
      </c>
      <c r="G396" s="103" t="s">
        <v>13</v>
      </c>
      <c r="H396" s="103" t="s">
        <v>32</v>
      </c>
      <c r="I396" s="103" t="s">
        <v>1731</v>
      </c>
      <c r="J396" s="105"/>
      <c r="K396" s="103" t="s">
        <v>16</v>
      </c>
      <c r="L396" s="103" t="s">
        <v>59</v>
      </c>
      <c r="M396" s="108" t="str">
        <f t="shared" si="59"/>
        <v/>
      </c>
      <c r="N396" s="108" t="str">
        <f t="shared" si="59"/>
        <v/>
      </c>
      <c r="O396" s="108" t="str">
        <f t="shared" si="59"/>
        <v/>
      </c>
      <c r="P396" s="108" t="str">
        <f t="shared" si="59"/>
        <v>○</v>
      </c>
      <c r="Q396" s="108" t="str">
        <f t="shared" si="59"/>
        <v/>
      </c>
      <c r="R396" s="103" t="str">
        <f t="shared" si="59"/>
        <v/>
      </c>
      <c r="S396" s="103" t="s">
        <v>1732</v>
      </c>
      <c r="T396" s="103" t="s">
        <v>30</v>
      </c>
      <c r="U396" s="103" t="s">
        <v>18</v>
      </c>
      <c r="V396" s="103" t="s">
        <v>1733</v>
      </c>
    </row>
    <row r="397" spans="1:22" ht="13.5">
      <c r="A397" s="102">
        <v>45631.254380393519</v>
      </c>
      <c r="B397" s="103" t="s">
        <v>41</v>
      </c>
      <c r="C397" s="104" t="str">
        <f t="shared" si="57"/>
        <v>×</v>
      </c>
      <c r="D397" s="104" t="str">
        <f t="shared" si="57"/>
        <v>○</v>
      </c>
      <c r="E397" s="104" t="str">
        <f t="shared" si="57"/>
        <v>×</v>
      </c>
      <c r="F397" s="104" t="str">
        <f t="shared" si="57"/>
        <v>×</v>
      </c>
      <c r="G397" s="103" t="s">
        <v>20</v>
      </c>
      <c r="H397" s="105"/>
      <c r="I397" s="105"/>
      <c r="J397" s="103" t="s">
        <v>38</v>
      </c>
      <c r="K397" s="103" t="s">
        <v>16</v>
      </c>
      <c r="L397" s="103" t="s">
        <v>59</v>
      </c>
      <c r="M397" s="108" t="str">
        <f t="shared" si="59"/>
        <v/>
      </c>
      <c r="N397" s="108" t="str">
        <f t="shared" si="59"/>
        <v/>
      </c>
      <c r="O397" s="108" t="str">
        <f t="shared" si="59"/>
        <v/>
      </c>
      <c r="P397" s="108" t="str">
        <f t="shared" si="59"/>
        <v>○</v>
      </c>
      <c r="Q397" s="108" t="str">
        <f t="shared" si="59"/>
        <v/>
      </c>
      <c r="R397" s="103" t="str">
        <f t="shared" si="59"/>
        <v/>
      </c>
      <c r="S397" s="103" t="s">
        <v>1734</v>
      </c>
      <c r="T397" s="103" t="s">
        <v>30</v>
      </c>
      <c r="U397" s="103" t="s">
        <v>18</v>
      </c>
      <c r="V397" s="103" t="s">
        <v>1735</v>
      </c>
    </row>
    <row r="398" spans="1:22" ht="13.5">
      <c r="A398" s="102">
        <v>45631.282648171298</v>
      </c>
      <c r="B398" s="103" t="s">
        <v>57</v>
      </c>
      <c r="C398" s="104" t="str">
        <f t="shared" si="57"/>
        <v>×</v>
      </c>
      <c r="D398" s="104" t="str">
        <f t="shared" si="57"/>
        <v>○</v>
      </c>
      <c r="E398" s="104" t="str">
        <f t="shared" si="57"/>
        <v>×</v>
      </c>
      <c r="F398" s="104" t="str">
        <f t="shared" si="57"/>
        <v>×</v>
      </c>
      <c r="G398" s="103" t="s">
        <v>13</v>
      </c>
      <c r="H398" s="103" t="s">
        <v>32</v>
      </c>
      <c r="I398" s="103" t="s">
        <v>1742</v>
      </c>
      <c r="J398" s="105"/>
      <c r="K398" s="103" t="s">
        <v>34</v>
      </c>
      <c r="L398" s="105"/>
      <c r="M398" s="110" t="str">
        <f t="shared" si="59"/>
        <v/>
      </c>
      <c r="N398" s="110" t="str">
        <f t="shared" si="59"/>
        <v/>
      </c>
      <c r="O398" s="110" t="str">
        <f t="shared" si="59"/>
        <v/>
      </c>
      <c r="P398" s="110" t="str">
        <f t="shared" si="59"/>
        <v/>
      </c>
      <c r="Q398" s="110" t="str">
        <f t="shared" si="59"/>
        <v/>
      </c>
      <c r="R398" s="105" t="str">
        <f t="shared" si="59"/>
        <v/>
      </c>
      <c r="S398" s="105"/>
      <c r="T398" s="103" t="s">
        <v>30</v>
      </c>
      <c r="U398" s="103" t="s">
        <v>18</v>
      </c>
      <c r="V398" s="103" t="s">
        <v>1743</v>
      </c>
    </row>
    <row r="399" spans="1:22" ht="13.5">
      <c r="A399" s="102">
        <v>45631.303625011569</v>
      </c>
      <c r="B399" s="103" t="s">
        <v>181</v>
      </c>
      <c r="C399" s="104" t="str">
        <f t="shared" si="57"/>
        <v>×</v>
      </c>
      <c r="D399" s="104" t="str">
        <f t="shared" si="57"/>
        <v>○</v>
      </c>
      <c r="E399" s="104" t="str">
        <f t="shared" si="57"/>
        <v>×</v>
      </c>
      <c r="F399" s="104" t="str">
        <f t="shared" si="57"/>
        <v>×</v>
      </c>
      <c r="G399" s="103" t="s">
        <v>13</v>
      </c>
      <c r="H399" s="103" t="s">
        <v>14</v>
      </c>
      <c r="I399" s="103" t="s">
        <v>1746</v>
      </c>
      <c r="J399" s="105"/>
      <c r="K399" s="103" t="s">
        <v>16</v>
      </c>
      <c r="L399" s="103" t="s">
        <v>1747</v>
      </c>
      <c r="M399" s="108" t="str">
        <f t="shared" si="59"/>
        <v/>
      </c>
      <c r="N399" s="108" t="str">
        <f t="shared" si="59"/>
        <v/>
      </c>
      <c r="O399" s="108" t="str">
        <f t="shared" si="59"/>
        <v/>
      </c>
      <c r="P399" s="108" t="str">
        <f t="shared" si="59"/>
        <v/>
      </c>
      <c r="Q399" s="108" t="str">
        <f t="shared" si="59"/>
        <v/>
      </c>
      <c r="R399" s="103" t="str">
        <f t="shared" si="59"/>
        <v/>
      </c>
      <c r="S399" s="105"/>
      <c r="T399" s="103" t="s">
        <v>61</v>
      </c>
      <c r="U399" s="103" t="s">
        <v>18</v>
      </c>
      <c r="V399" s="105"/>
    </row>
    <row r="400" spans="1:22" ht="13.5">
      <c r="A400" s="102">
        <v>45631.345128518515</v>
      </c>
      <c r="B400" s="103" t="s">
        <v>41</v>
      </c>
      <c r="C400" s="104" t="str">
        <f t="shared" si="57"/>
        <v>×</v>
      </c>
      <c r="D400" s="104" t="str">
        <f t="shared" si="57"/>
        <v>○</v>
      </c>
      <c r="E400" s="104" t="str">
        <f t="shared" si="57"/>
        <v>×</v>
      </c>
      <c r="F400" s="104" t="str">
        <f t="shared" si="57"/>
        <v>×</v>
      </c>
      <c r="G400" s="103" t="s">
        <v>13</v>
      </c>
      <c r="H400" s="103" t="s">
        <v>32</v>
      </c>
      <c r="I400" s="103" t="s">
        <v>1748</v>
      </c>
      <c r="J400" s="105"/>
      <c r="K400" s="103" t="s">
        <v>16</v>
      </c>
      <c r="L400" s="103" t="s">
        <v>945</v>
      </c>
      <c r="M400" s="108" t="str">
        <f t="shared" si="59"/>
        <v/>
      </c>
      <c r="N400" s="108" t="str">
        <f t="shared" si="59"/>
        <v/>
      </c>
      <c r="O400" s="108" t="str">
        <f t="shared" si="59"/>
        <v/>
      </c>
      <c r="P400" s="108" t="str">
        <f t="shared" si="59"/>
        <v/>
      </c>
      <c r="Q400" s="108" t="str">
        <f t="shared" si="59"/>
        <v/>
      </c>
      <c r="R400" s="103" t="str">
        <f t="shared" si="59"/>
        <v/>
      </c>
      <c r="S400" s="105"/>
      <c r="T400" s="103" t="s">
        <v>61</v>
      </c>
      <c r="U400" s="103" t="s">
        <v>18</v>
      </c>
      <c r="V400" s="103" t="s">
        <v>1749</v>
      </c>
    </row>
    <row r="401" spans="1:22" ht="13.5">
      <c r="A401" s="102">
        <v>45631.399879571763</v>
      </c>
      <c r="B401" s="103" t="s">
        <v>49</v>
      </c>
      <c r="C401" s="104" t="str">
        <f t="shared" si="57"/>
        <v>×</v>
      </c>
      <c r="D401" s="104" t="str">
        <f t="shared" si="57"/>
        <v>○</v>
      </c>
      <c r="E401" s="104" t="str">
        <f t="shared" si="57"/>
        <v>×</v>
      </c>
      <c r="F401" s="104" t="str">
        <f t="shared" si="57"/>
        <v>×</v>
      </c>
      <c r="G401" s="103" t="s">
        <v>13</v>
      </c>
      <c r="H401" s="103" t="s">
        <v>32</v>
      </c>
      <c r="I401" s="103" t="s">
        <v>1751</v>
      </c>
      <c r="J401" s="105"/>
      <c r="K401" s="103" t="s">
        <v>16</v>
      </c>
      <c r="L401" s="103" t="s">
        <v>39</v>
      </c>
      <c r="M401" s="108" t="str">
        <f t="shared" si="59"/>
        <v/>
      </c>
      <c r="N401" s="108" t="str">
        <f t="shared" si="59"/>
        <v>○</v>
      </c>
      <c r="O401" s="108" t="str">
        <f t="shared" si="59"/>
        <v/>
      </c>
      <c r="P401" s="108" t="str">
        <f t="shared" si="59"/>
        <v/>
      </c>
      <c r="Q401" s="108" t="str">
        <f t="shared" si="59"/>
        <v/>
      </c>
      <c r="R401" s="103" t="str">
        <f t="shared" si="59"/>
        <v/>
      </c>
      <c r="S401" s="103" t="s">
        <v>1752</v>
      </c>
      <c r="T401" s="103" t="s">
        <v>35</v>
      </c>
      <c r="U401" s="103" t="s">
        <v>18</v>
      </c>
      <c r="V401" s="105"/>
    </row>
    <row r="402" spans="1:22" ht="13.5">
      <c r="A402" s="102">
        <v>45631.453953587959</v>
      </c>
      <c r="B402" s="103" t="s">
        <v>93</v>
      </c>
      <c r="C402" s="104" t="str">
        <f t="shared" ref="C402:F421" si="60">IF(ISERROR(FIND(C$1,$B402)),"×","○")</f>
        <v>×</v>
      </c>
      <c r="D402" s="104" t="str">
        <f t="shared" si="60"/>
        <v>×</v>
      </c>
      <c r="E402" s="104" t="str">
        <f t="shared" si="60"/>
        <v>○</v>
      </c>
      <c r="F402" s="104" t="str">
        <f t="shared" si="60"/>
        <v>×</v>
      </c>
      <c r="G402" s="103" t="s">
        <v>20</v>
      </c>
      <c r="H402" s="105"/>
      <c r="I402" s="105"/>
      <c r="J402" s="103" t="s">
        <v>58</v>
      </c>
      <c r="K402" s="103" t="s">
        <v>16</v>
      </c>
      <c r="L402" s="103" t="s">
        <v>88</v>
      </c>
      <c r="M402" s="108" t="str">
        <f t="shared" ref="M402:R411" si="61">IF(ISERROR(SEARCH(M$1,$L402)),"","○")</f>
        <v/>
      </c>
      <c r="N402" s="108" t="str">
        <f t="shared" si="61"/>
        <v>○</v>
      </c>
      <c r="O402" s="108" t="str">
        <f t="shared" si="61"/>
        <v/>
      </c>
      <c r="P402" s="108" t="str">
        <f t="shared" si="61"/>
        <v/>
      </c>
      <c r="Q402" s="108" t="str">
        <f t="shared" si="61"/>
        <v>○</v>
      </c>
      <c r="R402" s="103" t="str">
        <f t="shared" si="61"/>
        <v/>
      </c>
      <c r="S402" s="105"/>
      <c r="T402" s="103" t="s">
        <v>30</v>
      </c>
      <c r="U402" s="103" t="s">
        <v>18</v>
      </c>
      <c r="V402" s="105"/>
    </row>
    <row r="403" spans="1:22" ht="13.5">
      <c r="A403" s="102">
        <v>45631.517342094907</v>
      </c>
      <c r="B403" s="103" t="s">
        <v>49</v>
      </c>
      <c r="C403" s="104" t="str">
        <f t="shared" si="60"/>
        <v>×</v>
      </c>
      <c r="D403" s="104" t="str">
        <f t="shared" si="60"/>
        <v>○</v>
      </c>
      <c r="E403" s="104" t="str">
        <f t="shared" si="60"/>
        <v>×</v>
      </c>
      <c r="F403" s="104" t="str">
        <f t="shared" si="60"/>
        <v>×</v>
      </c>
      <c r="G403" s="103" t="s">
        <v>13</v>
      </c>
      <c r="H403" s="103" t="s">
        <v>27</v>
      </c>
      <c r="I403" s="103" t="s">
        <v>1759</v>
      </c>
      <c r="J403" s="105"/>
      <c r="K403" s="103" t="s">
        <v>34</v>
      </c>
      <c r="L403" s="105"/>
      <c r="M403" s="110" t="str">
        <f t="shared" si="61"/>
        <v/>
      </c>
      <c r="N403" s="110" t="str">
        <f t="shared" si="61"/>
        <v/>
      </c>
      <c r="O403" s="110" t="str">
        <f t="shared" si="61"/>
        <v/>
      </c>
      <c r="P403" s="110" t="str">
        <f t="shared" si="61"/>
        <v/>
      </c>
      <c r="Q403" s="110" t="str">
        <f t="shared" si="61"/>
        <v/>
      </c>
      <c r="R403" s="105" t="str">
        <f t="shared" si="61"/>
        <v/>
      </c>
      <c r="S403" s="105"/>
      <c r="T403" s="103" t="s">
        <v>35</v>
      </c>
      <c r="U403" s="103" t="s">
        <v>18</v>
      </c>
      <c r="V403" s="105"/>
    </row>
    <row r="404" spans="1:22" ht="13.5">
      <c r="A404" s="102">
        <v>45631.652021284724</v>
      </c>
      <c r="B404" s="103" t="s">
        <v>164</v>
      </c>
      <c r="C404" s="104" t="str">
        <f t="shared" si="60"/>
        <v>×</v>
      </c>
      <c r="D404" s="104" t="str">
        <f t="shared" si="60"/>
        <v>○</v>
      </c>
      <c r="E404" s="104" t="str">
        <f t="shared" si="60"/>
        <v>×</v>
      </c>
      <c r="F404" s="104" t="str">
        <f t="shared" si="60"/>
        <v>×</v>
      </c>
      <c r="G404" s="103" t="s">
        <v>13</v>
      </c>
      <c r="H404" s="103" t="s">
        <v>32</v>
      </c>
      <c r="I404" s="103" t="s">
        <v>1760</v>
      </c>
      <c r="J404" s="105"/>
      <c r="K404" s="103" t="s">
        <v>34</v>
      </c>
      <c r="L404" s="105"/>
      <c r="M404" s="110" t="str">
        <f t="shared" si="61"/>
        <v/>
      </c>
      <c r="N404" s="110" t="str">
        <f t="shared" si="61"/>
        <v/>
      </c>
      <c r="O404" s="110" t="str">
        <f t="shared" si="61"/>
        <v/>
      </c>
      <c r="P404" s="110" t="str">
        <f t="shared" si="61"/>
        <v/>
      </c>
      <c r="Q404" s="110" t="str">
        <f t="shared" si="61"/>
        <v/>
      </c>
      <c r="R404" s="105" t="str">
        <f t="shared" si="61"/>
        <v/>
      </c>
      <c r="S404" s="105"/>
      <c r="T404" s="103" t="s">
        <v>30</v>
      </c>
      <c r="U404" s="103" t="s">
        <v>18</v>
      </c>
      <c r="V404" s="105"/>
    </row>
    <row r="405" spans="1:22" ht="13.5">
      <c r="A405" s="102">
        <v>45631.681434479164</v>
      </c>
      <c r="B405" s="103" t="s">
        <v>19</v>
      </c>
      <c r="C405" s="104" t="str">
        <f t="shared" si="60"/>
        <v>×</v>
      </c>
      <c r="D405" s="104" t="str">
        <f t="shared" si="60"/>
        <v>○</v>
      </c>
      <c r="E405" s="104" t="str">
        <f t="shared" si="60"/>
        <v>×</v>
      </c>
      <c r="F405" s="104" t="str">
        <f t="shared" si="60"/>
        <v>×</v>
      </c>
      <c r="G405" s="103" t="s">
        <v>13</v>
      </c>
      <c r="H405" s="103" t="s">
        <v>77</v>
      </c>
      <c r="I405" s="103" t="s">
        <v>1764</v>
      </c>
      <c r="J405" s="105"/>
      <c r="K405" s="103" t="s">
        <v>34</v>
      </c>
      <c r="L405" s="105"/>
      <c r="M405" s="110" t="str">
        <f t="shared" si="61"/>
        <v/>
      </c>
      <c r="N405" s="110" t="str">
        <f t="shared" si="61"/>
        <v/>
      </c>
      <c r="O405" s="110" t="str">
        <f t="shared" si="61"/>
        <v/>
      </c>
      <c r="P405" s="110" t="str">
        <f t="shared" si="61"/>
        <v/>
      </c>
      <c r="Q405" s="110" t="str">
        <f t="shared" si="61"/>
        <v/>
      </c>
      <c r="R405" s="105" t="str">
        <f t="shared" si="61"/>
        <v/>
      </c>
      <c r="S405" s="105"/>
      <c r="T405" s="103" t="s">
        <v>1765</v>
      </c>
      <c r="U405" s="103" t="s">
        <v>18</v>
      </c>
      <c r="V405" s="105"/>
    </row>
    <row r="406" spans="1:22" ht="13.5">
      <c r="A406" s="102">
        <v>45631.740119097223</v>
      </c>
      <c r="B406" s="103" t="s">
        <v>64</v>
      </c>
      <c r="C406" s="104" t="str">
        <f t="shared" si="60"/>
        <v>○</v>
      </c>
      <c r="D406" s="104" t="str">
        <f t="shared" si="60"/>
        <v>○</v>
      </c>
      <c r="E406" s="104" t="str">
        <f t="shared" si="60"/>
        <v>×</v>
      </c>
      <c r="F406" s="104" t="str">
        <f t="shared" si="60"/>
        <v>×</v>
      </c>
      <c r="G406" s="103" t="s">
        <v>13</v>
      </c>
      <c r="H406" s="103" t="s">
        <v>77</v>
      </c>
      <c r="I406" s="103" t="s">
        <v>1774</v>
      </c>
      <c r="J406" s="105"/>
      <c r="K406" s="103" t="s">
        <v>34</v>
      </c>
      <c r="L406" s="105"/>
      <c r="M406" s="110" t="str">
        <f t="shared" si="61"/>
        <v/>
      </c>
      <c r="N406" s="110" t="str">
        <f t="shared" si="61"/>
        <v/>
      </c>
      <c r="O406" s="110" t="str">
        <f t="shared" si="61"/>
        <v/>
      </c>
      <c r="P406" s="110" t="str">
        <f t="shared" si="61"/>
        <v/>
      </c>
      <c r="Q406" s="110" t="str">
        <f t="shared" si="61"/>
        <v/>
      </c>
      <c r="R406" s="105" t="str">
        <f t="shared" si="61"/>
        <v/>
      </c>
      <c r="S406" s="105"/>
      <c r="T406" s="103" t="s">
        <v>30</v>
      </c>
      <c r="U406" s="103" t="s">
        <v>18</v>
      </c>
      <c r="V406" s="103" t="s">
        <v>1775</v>
      </c>
    </row>
    <row r="407" spans="1:22" ht="13.5">
      <c r="A407" s="102">
        <v>45631.769781354167</v>
      </c>
      <c r="B407" s="103" t="s">
        <v>93</v>
      </c>
      <c r="C407" s="104" t="str">
        <f t="shared" si="60"/>
        <v>×</v>
      </c>
      <c r="D407" s="104" t="str">
        <f t="shared" si="60"/>
        <v>×</v>
      </c>
      <c r="E407" s="104" t="str">
        <f t="shared" si="60"/>
        <v>○</v>
      </c>
      <c r="F407" s="104" t="str">
        <f t="shared" si="60"/>
        <v>×</v>
      </c>
      <c r="G407" s="103" t="s">
        <v>13</v>
      </c>
      <c r="H407" s="103" t="s">
        <v>32</v>
      </c>
      <c r="I407" s="103" t="s">
        <v>1776</v>
      </c>
      <c r="J407" s="105"/>
      <c r="K407" s="103" t="s">
        <v>34</v>
      </c>
      <c r="L407" s="105"/>
      <c r="M407" s="110" t="str">
        <f t="shared" si="61"/>
        <v/>
      </c>
      <c r="N407" s="110" t="str">
        <f t="shared" si="61"/>
        <v/>
      </c>
      <c r="O407" s="110" t="str">
        <f t="shared" si="61"/>
        <v/>
      </c>
      <c r="P407" s="110" t="str">
        <f t="shared" si="61"/>
        <v/>
      </c>
      <c r="Q407" s="110" t="str">
        <f t="shared" si="61"/>
        <v/>
      </c>
      <c r="R407" s="105" t="str">
        <f t="shared" si="61"/>
        <v/>
      </c>
      <c r="S407" s="105"/>
      <c r="T407" s="103" t="s">
        <v>35</v>
      </c>
      <c r="U407" s="103" t="s">
        <v>18</v>
      </c>
      <c r="V407" s="103" t="s">
        <v>1777</v>
      </c>
    </row>
    <row r="408" spans="1:22" ht="13.5">
      <c r="A408" s="102">
        <v>45631.77490931713</v>
      </c>
      <c r="B408" s="103" t="s">
        <v>649</v>
      </c>
      <c r="C408" s="104" t="str">
        <f t="shared" si="60"/>
        <v>×</v>
      </c>
      <c r="D408" s="104" t="str">
        <f t="shared" si="60"/>
        <v>○</v>
      </c>
      <c r="E408" s="104" t="str">
        <f t="shared" si="60"/>
        <v>○</v>
      </c>
      <c r="F408" s="104" t="str">
        <f t="shared" si="60"/>
        <v>×</v>
      </c>
      <c r="G408" s="103" t="s">
        <v>20</v>
      </c>
      <c r="H408" s="105"/>
      <c r="I408" s="105"/>
      <c r="J408" s="103" t="s">
        <v>58</v>
      </c>
      <c r="K408" s="103" t="s">
        <v>16</v>
      </c>
      <c r="L408" s="103" t="s">
        <v>68</v>
      </c>
      <c r="M408" s="108" t="str">
        <f t="shared" si="61"/>
        <v/>
      </c>
      <c r="N408" s="108" t="str">
        <f t="shared" si="61"/>
        <v/>
      </c>
      <c r="O408" s="108" t="str">
        <f t="shared" si="61"/>
        <v/>
      </c>
      <c r="P408" s="108" t="str">
        <f t="shared" si="61"/>
        <v/>
      </c>
      <c r="Q408" s="108" t="str">
        <f t="shared" si="61"/>
        <v>○</v>
      </c>
      <c r="R408" s="103" t="str">
        <f t="shared" si="61"/>
        <v/>
      </c>
      <c r="S408" s="103" t="s">
        <v>1781</v>
      </c>
      <c r="T408" s="103" t="s">
        <v>30</v>
      </c>
      <c r="U408" s="103" t="s">
        <v>18</v>
      </c>
      <c r="V408" s="103" t="s">
        <v>1782</v>
      </c>
    </row>
    <row r="409" spans="1:22" ht="13.5">
      <c r="A409" s="102">
        <v>45631.792231122687</v>
      </c>
      <c r="B409" s="103" t="s">
        <v>71</v>
      </c>
      <c r="C409" s="104" t="str">
        <f t="shared" si="60"/>
        <v>×</v>
      </c>
      <c r="D409" s="104" t="str">
        <f t="shared" si="60"/>
        <v>○</v>
      </c>
      <c r="E409" s="104" t="str">
        <f t="shared" si="60"/>
        <v>○</v>
      </c>
      <c r="F409" s="104" t="str">
        <f t="shared" si="60"/>
        <v>×</v>
      </c>
      <c r="G409" s="103" t="s">
        <v>20</v>
      </c>
      <c r="H409" s="105"/>
      <c r="I409" s="105"/>
      <c r="J409" s="103" t="s">
        <v>58</v>
      </c>
      <c r="K409" s="103" t="s">
        <v>16</v>
      </c>
      <c r="L409" s="103" t="s">
        <v>255</v>
      </c>
      <c r="M409" s="108" t="str">
        <f t="shared" si="61"/>
        <v/>
      </c>
      <c r="N409" s="108" t="str">
        <f t="shared" si="61"/>
        <v>○</v>
      </c>
      <c r="O409" s="108" t="str">
        <f t="shared" si="61"/>
        <v/>
      </c>
      <c r="P409" s="108" t="str">
        <f t="shared" si="61"/>
        <v>○</v>
      </c>
      <c r="Q409" s="108" t="str">
        <f t="shared" si="61"/>
        <v/>
      </c>
      <c r="R409" s="103" t="str">
        <f t="shared" si="61"/>
        <v/>
      </c>
      <c r="S409" s="103" t="s">
        <v>1783</v>
      </c>
      <c r="T409" s="103" t="s">
        <v>1784</v>
      </c>
      <c r="U409" s="103" t="s">
        <v>18</v>
      </c>
      <c r="V409" s="103" t="s">
        <v>1785</v>
      </c>
    </row>
    <row r="410" spans="1:22" ht="13.5">
      <c r="A410" s="102">
        <v>45631.850136793983</v>
      </c>
      <c r="B410" s="103" t="s">
        <v>164</v>
      </c>
      <c r="C410" s="104" t="str">
        <f t="shared" si="60"/>
        <v>×</v>
      </c>
      <c r="D410" s="104" t="str">
        <f t="shared" si="60"/>
        <v>○</v>
      </c>
      <c r="E410" s="104" t="str">
        <f t="shared" si="60"/>
        <v>×</v>
      </c>
      <c r="F410" s="104" t="str">
        <f t="shared" si="60"/>
        <v>×</v>
      </c>
      <c r="G410" s="103" t="s">
        <v>20</v>
      </c>
      <c r="H410" s="105"/>
      <c r="I410" s="105"/>
      <c r="J410" s="103" t="s">
        <v>38</v>
      </c>
      <c r="K410" s="103" t="s">
        <v>16</v>
      </c>
      <c r="L410" s="103" t="s">
        <v>107</v>
      </c>
      <c r="M410" s="108" t="str">
        <f t="shared" si="61"/>
        <v/>
      </c>
      <c r="N410" s="108" t="str">
        <f t="shared" si="61"/>
        <v/>
      </c>
      <c r="O410" s="108" t="str">
        <f t="shared" si="61"/>
        <v>○</v>
      </c>
      <c r="P410" s="108" t="str">
        <f t="shared" si="61"/>
        <v/>
      </c>
      <c r="Q410" s="108" t="str">
        <f t="shared" si="61"/>
        <v/>
      </c>
      <c r="R410" s="103" t="str">
        <f t="shared" si="61"/>
        <v/>
      </c>
      <c r="S410" s="105"/>
      <c r="T410" s="103" t="s">
        <v>24</v>
      </c>
      <c r="U410" s="103" t="s">
        <v>18</v>
      </c>
      <c r="V410" s="105"/>
    </row>
    <row r="411" spans="1:22" ht="13.5">
      <c r="A411" s="102">
        <v>45631.886813935183</v>
      </c>
      <c r="B411" s="103" t="s">
        <v>19</v>
      </c>
      <c r="C411" s="104" t="str">
        <f t="shared" si="60"/>
        <v>×</v>
      </c>
      <c r="D411" s="104" t="str">
        <f t="shared" si="60"/>
        <v>○</v>
      </c>
      <c r="E411" s="104" t="str">
        <f t="shared" si="60"/>
        <v>×</v>
      </c>
      <c r="F411" s="104" t="str">
        <f t="shared" si="60"/>
        <v>×</v>
      </c>
      <c r="G411" s="103" t="s">
        <v>20</v>
      </c>
      <c r="H411" s="105"/>
      <c r="I411" s="105"/>
      <c r="J411" s="103" t="s">
        <v>58</v>
      </c>
      <c r="K411" s="103" t="s">
        <v>16</v>
      </c>
      <c r="L411" s="103" t="s">
        <v>68</v>
      </c>
      <c r="M411" s="108" t="str">
        <f t="shared" si="61"/>
        <v/>
      </c>
      <c r="N411" s="108" t="str">
        <f t="shared" si="61"/>
        <v/>
      </c>
      <c r="O411" s="108" t="str">
        <f t="shared" si="61"/>
        <v/>
      </c>
      <c r="P411" s="108" t="str">
        <f t="shared" si="61"/>
        <v/>
      </c>
      <c r="Q411" s="108" t="str">
        <f t="shared" si="61"/>
        <v>○</v>
      </c>
      <c r="R411" s="103" t="str">
        <f t="shared" si="61"/>
        <v/>
      </c>
      <c r="S411" s="103" t="s">
        <v>1797</v>
      </c>
      <c r="T411" s="103" t="s">
        <v>30</v>
      </c>
      <c r="U411" s="103" t="s">
        <v>18</v>
      </c>
      <c r="V411" s="105"/>
    </row>
    <row r="412" spans="1:22" ht="13.5">
      <c r="A412" s="102">
        <v>45631.943481469905</v>
      </c>
      <c r="B412" s="103" t="s">
        <v>57</v>
      </c>
      <c r="C412" s="104" t="str">
        <f t="shared" si="60"/>
        <v>×</v>
      </c>
      <c r="D412" s="104" t="str">
        <f t="shared" si="60"/>
        <v>○</v>
      </c>
      <c r="E412" s="104" t="str">
        <f t="shared" si="60"/>
        <v>×</v>
      </c>
      <c r="F412" s="104" t="str">
        <f t="shared" si="60"/>
        <v>×</v>
      </c>
      <c r="G412" s="103" t="s">
        <v>13</v>
      </c>
      <c r="H412" s="103" t="s">
        <v>27</v>
      </c>
      <c r="I412" s="103" t="s">
        <v>1798</v>
      </c>
      <c r="J412" s="105"/>
      <c r="K412" s="103" t="s">
        <v>34</v>
      </c>
      <c r="L412" s="105"/>
      <c r="M412" s="110" t="str">
        <f t="shared" ref="M412:R421" si="62">IF(ISERROR(SEARCH(M$1,$L412)),"","○")</f>
        <v/>
      </c>
      <c r="N412" s="110" t="str">
        <f t="shared" si="62"/>
        <v/>
      </c>
      <c r="O412" s="110" t="str">
        <f t="shared" si="62"/>
        <v/>
      </c>
      <c r="P412" s="110" t="str">
        <f t="shared" si="62"/>
        <v/>
      </c>
      <c r="Q412" s="110" t="str">
        <f t="shared" si="62"/>
        <v/>
      </c>
      <c r="R412" s="105" t="str">
        <f t="shared" si="62"/>
        <v/>
      </c>
      <c r="S412" s="105"/>
      <c r="T412" s="103" t="s">
        <v>30</v>
      </c>
      <c r="U412" s="103" t="s">
        <v>18</v>
      </c>
      <c r="V412" s="105"/>
    </row>
    <row r="413" spans="1:22" ht="13.5">
      <c r="A413" s="102">
        <v>45631.961134618061</v>
      </c>
      <c r="B413" s="103" t="s">
        <v>825</v>
      </c>
      <c r="C413" s="104" t="str">
        <f t="shared" si="60"/>
        <v>×</v>
      </c>
      <c r="D413" s="104" t="str">
        <f t="shared" si="60"/>
        <v>○</v>
      </c>
      <c r="E413" s="104" t="str">
        <f t="shared" si="60"/>
        <v>○</v>
      </c>
      <c r="F413" s="104" t="str">
        <f t="shared" si="60"/>
        <v>×</v>
      </c>
      <c r="G413" s="103" t="s">
        <v>20</v>
      </c>
      <c r="H413" s="105"/>
      <c r="I413" s="105"/>
      <c r="J413" s="103" t="s">
        <v>58</v>
      </c>
      <c r="K413" s="103" t="s">
        <v>16</v>
      </c>
      <c r="L413" s="103" t="s">
        <v>68</v>
      </c>
      <c r="M413" s="108" t="str">
        <f t="shared" si="62"/>
        <v/>
      </c>
      <c r="N413" s="108" t="str">
        <f t="shared" si="62"/>
        <v/>
      </c>
      <c r="O413" s="108" t="str">
        <f t="shared" si="62"/>
        <v/>
      </c>
      <c r="P413" s="108" t="str">
        <f t="shared" si="62"/>
        <v/>
      </c>
      <c r="Q413" s="108" t="str">
        <f t="shared" si="62"/>
        <v>○</v>
      </c>
      <c r="R413" s="103" t="str">
        <f t="shared" si="62"/>
        <v/>
      </c>
      <c r="S413" s="103" t="s">
        <v>1799</v>
      </c>
      <c r="T413" s="103" t="s">
        <v>30</v>
      </c>
      <c r="U413" s="103" t="s">
        <v>18</v>
      </c>
      <c r="V413" s="103" t="s">
        <v>1800</v>
      </c>
    </row>
    <row r="414" spans="1:22" ht="13.5">
      <c r="A414" s="102">
        <v>45632.210541932873</v>
      </c>
      <c r="B414" s="103" t="s">
        <v>1807</v>
      </c>
      <c r="C414" s="104" t="str">
        <f t="shared" si="60"/>
        <v>×</v>
      </c>
      <c r="D414" s="104" t="str">
        <f t="shared" si="60"/>
        <v>○</v>
      </c>
      <c r="E414" s="104" t="str">
        <f t="shared" si="60"/>
        <v>○</v>
      </c>
      <c r="F414" s="104" t="str">
        <f t="shared" si="60"/>
        <v>×</v>
      </c>
      <c r="G414" s="103" t="s">
        <v>13</v>
      </c>
      <c r="H414" s="103" t="s">
        <v>27</v>
      </c>
      <c r="I414" s="103" t="s">
        <v>1808</v>
      </c>
      <c r="J414" s="105"/>
      <c r="K414" s="103" t="s">
        <v>34</v>
      </c>
      <c r="L414" s="105"/>
      <c r="M414" s="110" t="str">
        <f t="shared" si="62"/>
        <v/>
      </c>
      <c r="N414" s="110" t="str">
        <f t="shared" si="62"/>
        <v/>
      </c>
      <c r="O414" s="110" t="str">
        <f t="shared" si="62"/>
        <v/>
      </c>
      <c r="P414" s="110" t="str">
        <f t="shared" si="62"/>
        <v/>
      </c>
      <c r="Q414" s="110" t="str">
        <f t="shared" si="62"/>
        <v/>
      </c>
      <c r="R414" s="105" t="str">
        <f t="shared" si="62"/>
        <v/>
      </c>
      <c r="S414" s="105"/>
      <c r="T414" s="103" t="s">
        <v>757</v>
      </c>
      <c r="U414" s="103" t="s">
        <v>18</v>
      </c>
      <c r="V414" s="105"/>
    </row>
    <row r="415" spans="1:22" ht="13.5">
      <c r="A415" s="102">
        <v>45632.281532210647</v>
      </c>
      <c r="B415" s="103" t="s">
        <v>93</v>
      </c>
      <c r="C415" s="104" t="str">
        <f t="shared" si="60"/>
        <v>×</v>
      </c>
      <c r="D415" s="104" t="str">
        <f t="shared" si="60"/>
        <v>×</v>
      </c>
      <c r="E415" s="104" t="str">
        <f t="shared" si="60"/>
        <v>○</v>
      </c>
      <c r="F415" s="104" t="str">
        <f t="shared" si="60"/>
        <v>×</v>
      </c>
      <c r="G415" s="103" t="s">
        <v>13</v>
      </c>
      <c r="H415" s="103" t="s">
        <v>32</v>
      </c>
      <c r="I415" s="103" t="s">
        <v>1812</v>
      </c>
      <c r="J415" s="105"/>
      <c r="K415" s="103" t="s">
        <v>34</v>
      </c>
      <c r="L415" s="105"/>
      <c r="M415" s="110" t="str">
        <f t="shared" si="62"/>
        <v/>
      </c>
      <c r="N415" s="110" t="str">
        <f t="shared" si="62"/>
        <v/>
      </c>
      <c r="O415" s="110" t="str">
        <f t="shared" si="62"/>
        <v/>
      </c>
      <c r="P415" s="110" t="str">
        <f t="shared" si="62"/>
        <v/>
      </c>
      <c r="Q415" s="110" t="str">
        <f t="shared" si="62"/>
        <v/>
      </c>
      <c r="R415" s="105" t="str">
        <f t="shared" si="62"/>
        <v/>
      </c>
      <c r="S415" s="105"/>
      <c r="T415" s="103" t="s">
        <v>30</v>
      </c>
      <c r="U415" s="103" t="s">
        <v>18</v>
      </c>
      <c r="V415" s="103" t="s">
        <v>1813</v>
      </c>
    </row>
    <row r="416" spans="1:22" ht="13.5">
      <c r="A416" s="102">
        <v>45632.324782523152</v>
      </c>
      <c r="B416" s="103" t="s">
        <v>49</v>
      </c>
      <c r="C416" s="104" t="str">
        <f t="shared" si="60"/>
        <v>×</v>
      </c>
      <c r="D416" s="104" t="str">
        <f t="shared" si="60"/>
        <v>○</v>
      </c>
      <c r="E416" s="104" t="str">
        <f t="shared" si="60"/>
        <v>×</v>
      </c>
      <c r="F416" s="104" t="str">
        <f t="shared" si="60"/>
        <v>×</v>
      </c>
      <c r="G416" s="103" t="s">
        <v>20</v>
      </c>
      <c r="H416" s="105"/>
      <c r="I416" s="105"/>
      <c r="J416" s="103" t="s">
        <v>38</v>
      </c>
      <c r="K416" s="103" t="s">
        <v>16</v>
      </c>
      <c r="L416" s="103" t="s">
        <v>68</v>
      </c>
      <c r="M416" s="108" t="str">
        <f t="shared" si="62"/>
        <v/>
      </c>
      <c r="N416" s="108" t="str">
        <f t="shared" si="62"/>
        <v/>
      </c>
      <c r="O416" s="108" t="str">
        <f t="shared" si="62"/>
        <v/>
      </c>
      <c r="P416" s="108" t="str">
        <f t="shared" si="62"/>
        <v/>
      </c>
      <c r="Q416" s="108" t="str">
        <f t="shared" si="62"/>
        <v>○</v>
      </c>
      <c r="R416" s="103" t="str">
        <f t="shared" si="62"/>
        <v/>
      </c>
      <c r="S416" s="103" t="s">
        <v>1819</v>
      </c>
      <c r="T416" s="103" t="s">
        <v>61</v>
      </c>
      <c r="U416" s="103" t="s">
        <v>18</v>
      </c>
      <c r="V416" s="103" t="s">
        <v>1820</v>
      </c>
    </row>
    <row r="417" spans="1:22" ht="13.5">
      <c r="A417" s="102">
        <v>45632.516491261573</v>
      </c>
      <c r="B417" s="103" t="s">
        <v>514</v>
      </c>
      <c r="C417" s="104" t="str">
        <f t="shared" si="60"/>
        <v>○</v>
      </c>
      <c r="D417" s="104" t="str">
        <f t="shared" si="60"/>
        <v>○</v>
      </c>
      <c r="E417" s="104" t="str">
        <f t="shared" si="60"/>
        <v>×</v>
      </c>
      <c r="F417" s="104" t="str">
        <f t="shared" si="60"/>
        <v>×</v>
      </c>
      <c r="G417" s="103" t="s">
        <v>13</v>
      </c>
      <c r="H417" s="103" t="s">
        <v>77</v>
      </c>
      <c r="I417" s="103" t="s">
        <v>1823</v>
      </c>
      <c r="J417" s="105"/>
      <c r="K417" s="103" t="s">
        <v>34</v>
      </c>
      <c r="L417" s="105"/>
      <c r="M417" s="110" t="str">
        <f t="shared" si="62"/>
        <v/>
      </c>
      <c r="N417" s="110" t="str">
        <f t="shared" si="62"/>
        <v/>
      </c>
      <c r="O417" s="110" t="str">
        <f t="shared" si="62"/>
        <v/>
      </c>
      <c r="P417" s="110" t="str">
        <f t="shared" si="62"/>
        <v/>
      </c>
      <c r="Q417" s="110" t="str">
        <f t="shared" si="62"/>
        <v/>
      </c>
      <c r="R417" s="105" t="str">
        <f t="shared" si="62"/>
        <v/>
      </c>
      <c r="S417" s="105"/>
      <c r="T417" s="103" t="s">
        <v>35</v>
      </c>
      <c r="U417" s="103" t="s">
        <v>18</v>
      </c>
      <c r="V417" s="105"/>
    </row>
    <row r="418" spans="1:22" ht="13.5">
      <c r="A418" s="102">
        <v>45632.76650996528</v>
      </c>
      <c r="B418" s="103" t="s">
        <v>131</v>
      </c>
      <c r="C418" s="104" t="str">
        <f t="shared" si="60"/>
        <v>×</v>
      </c>
      <c r="D418" s="104" t="str">
        <f t="shared" si="60"/>
        <v>○</v>
      </c>
      <c r="E418" s="104" t="str">
        <f t="shared" si="60"/>
        <v>○</v>
      </c>
      <c r="F418" s="104" t="str">
        <f t="shared" si="60"/>
        <v>×</v>
      </c>
      <c r="G418" s="103" t="s">
        <v>20</v>
      </c>
      <c r="H418" s="105"/>
      <c r="I418" s="105"/>
      <c r="J418" s="103" t="s">
        <v>1838</v>
      </c>
      <c r="K418" s="103" t="s">
        <v>16</v>
      </c>
      <c r="L418" s="103" t="s">
        <v>1839</v>
      </c>
      <c r="M418" s="108" t="str">
        <f t="shared" si="62"/>
        <v/>
      </c>
      <c r="N418" s="108" t="str">
        <f t="shared" si="62"/>
        <v/>
      </c>
      <c r="O418" s="108" t="str">
        <f t="shared" si="62"/>
        <v/>
      </c>
      <c r="P418" s="108" t="str">
        <f t="shared" si="62"/>
        <v/>
      </c>
      <c r="Q418" s="108" t="str">
        <f t="shared" si="62"/>
        <v/>
      </c>
      <c r="R418" s="103" t="str">
        <f t="shared" si="62"/>
        <v/>
      </c>
      <c r="S418" s="105"/>
      <c r="T418" s="103" t="s">
        <v>30</v>
      </c>
      <c r="U418" s="103" t="s">
        <v>18</v>
      </c>
      <c r="V418" s="105"/>
    </row>
    <row r="419" spans="1:22" ht="13.5">
      <c r="A419" s="102">
        <v>45632.773534953703</v>
      </c>
      <c r="B419" s="103" t="s">
        <v>19</v>
      </c>
      <c r="C419" s="104" t="str">
        <f t="shared" si="60"/>
        <v>×</v>
      </c>
      <c r="D419" s="104" t="str">
        <f t="shared" si="60"/>
        <v>○</v>
      </c>
      <c r="E419" s="104" t="str">
        <f t="shared" si="60"/>
        <v>×</v>
      </c>
      <c r="F419" s="104" t="str">
        <f t="shared" si="60"/>
        <v>×</v>
      </c>
      <c r="G419" s="103" t="s">
        <v>13</v>
      </c>
      <c r="H419" s="103" t="s">
        <v>27</v>
      </c>
      <c r="I419" s="103" t="s">
        <v>1840</v>
      </c>
      <c r="J419" s="105"/>
      <c r="K419" s="103" t="s">
        <v>34</v>
      </c>
      <c r="L419" s="105"/>
      <c r="M419" s="110" t="str">
        <f t="shared" si="62"/>
        <v/>
      </c>
      <c r="N419" s="110" t="str">
        <f t="shared" si="62"/>
        <v/>
      </c>
      <c r="O419" s="110" t="str">
        <f t="shared" si="62"/>
        <v/>
      </c>
      <c r="P419" s="110" t="str">
        <f t="shared" si="62"/>
        <v/>
      </c>
      <c r="Q419" s="110" t="str">
        <f t="shared" si="62"/>
        <v/>
      </c>
      <c r="R419" s="105" t="str">
        <f t="shared" si="62"/>
        <v/>
      </c>
      <c r="S419" s="105"/>
      <c r="T419" s="103" t="s">
        <v>35</v>
      </c>
      <c r="U419" s="103" t="s">
        <v>18</v>
      </c>
      <c r="V419" s="103" t="s">
        <v>1841</v>
      </c>
    </row>
    <row r="420" spans="1:22" ht="13.5">
      <c r="A420" s="102">
        <v>45632.874059583337</v>
      </c>
      <c r="B420" s="103" t="s">
        <v>49</v>
      </c>
      <c r="C420" s="104" t="str">
        <f t="shared" si="60"/>
        <v>×</v>
      </c>
      <c r="D420" s="104" t="str">
        <f t="shared" si="60"/>
        <v>○</v>
      </c>
      <c r="E420" s="104" t="str">
        <f t="shared" si="60"/>
        <v>×</v>
      </c>
      <c r="F420" s="104" t="str">
        <f t="shared" si="60"/>
        <v>×</v>
      </c>
      <c r="G420" s="103" t="s">
        <v>13</v>
      </c>
      <c r="H420" s="103" t="s">
        <v>27</v>
      </c>
      <c r="I420" s="103" t="s">
        <v>1847</v>
      </c>
      <c r="J420" s="105"/>
      <c r="K420" s="103" t="s">
        <v>34</v>
      </c>
      <c r="L420" s="105"/>
      <c r="M420" s="110" t="str">
        <f t="shared" si="62"/>
        <v/>
      </c>
      <c r="N420" s="110" t="str">
        <f t="shared" si="62"/>
        <v/>
      </c>
      <c r="O420" s="110" t="str">
        <f t="shared" si="62"/>
        <v/>
      </c>
      <c r="P420" s="110" t="str">
        <f t="shared" si="62"/>
        <v/>
      </c>
      <c r="Q420" s="110" t="str">
        <f t="shared" si="62"/>
        <v/>
      </c>
      <c r="R420" s="105" t="str">
        <f t="shared" si="62"/>
        <v/>
      </c>
      <c r="S420" s="105"/>
      <c r="T420" s="103" t="s">
        <v>35</v>
      </c>
      <c r="U420" s="103" t="s">
        <v>18</v>
      </c>
      <c r="V420" s="103" t="s">
        <v>1848</v>
      </c>
    </row>
    <row r="421" spans="1:22" ht="13.5">
      <c r="A421" s="102">
        <v>45632.934042662033</v>
      </c>
      <c r="B421" s="103" t="s">
        <v>312</v>
      </c>
      <c r="C421" s="104" t="str">
        <f t="shared" si="60"/>
        <v>×</v>
      </c>
      <c r="D421" s="104" t="str">
        <f t="shared" si="60"/>
        <v>○</v>
      </c>
      <c r="E421" s="104" t="str">
        <f t="shared" si="60"/>
        <v>×</v>
      </c>
      <c r="F421" s="104" t="str">
        <f t="shared" si="60"/>
        <v>×</v>
      </c>
      <c r="G421" s="103" t="s">
        <v>13</v>
      </c>
      <c r="H421" s="103" t="s">
        <v>27</v>
      </c>
      <c r="I421" s="103" t="s">
        <v>1854</v>
      </c>
      <c r="J421" s="105"/>
      <c r="K421" s="103" t="s">
        <v>16</v>
      </c>
      <c r="L421" s="103" t="s">
        <v>29</v>
      </c>
      <c r="M421" s="108" t="str">
        <f t="shared" si="62"/>
        <v/>
      </c>
      <c r="N421" s="108" t="str">
        <f t="shared" si="62"/>
        <v/>
      </c>
      <c r="O421" s="108" t="str">
        <f t="shared" si="62"/>
        <v/>
      </c>
      <c r="P421" s="108" t="str">
        <f t="shared" si="62"/>
        <v/>
      </c>
      <c r="Q421" s="108" t="str">
        <f t="shared" si="62"/>
        <v/>
      </c>
      <c r="R421" s="103" t="str">
        <f t="shared" si="62"/>
        <v>○</v>
      </c>
      <c r="S421" s="105"/>
      <c r="T421" s="103" t="s">
        <v>30</v>
      </c>
      <c r="U421" s="103" t="s">
        <v>18</v>
      </c>
      <c r="V421" s="103" t="s">
        <v>1855</v>
      </c>
    </row>
    <row r="422" spans="1:22" ht="13.5">
      <c r="A422" s="102">
        <v>45633.401990636572</v>
      </c>
      <c r="B422" s="103" t="s">
        <v>41</v>
      </c>
      <c r="C422" s="104" t="str">
        <f t="shared" ref="C422:F441" si="63">IF(ISERROR(FIND(C$1,$B422)),"×","○")</f>
        <v>×</v>
      </c>
      <c r="D422" s="104" t="str">
        <f t="shared" si="63"/>
        <v>○</v>
      </c>
      <c r="E422" s="104" t="str">
        <f t="shared" si="63"/>
        <v>×</v>
      </c>
      <c r="F422" s="104" t="str">
        <f t="shared" si="63"/>
        <v>×</v>
      </c>
      <c r="G422" s="103" t="s">
        <v>13</v>
      </c>
      <c r="H422" s="103" t="s">
        <v>27</v>
      </c>
      <c r="I422" s="103" t="s">
        <v>1862</v>
      </c>
      <c r="J422" s="105"/>
      <c r="K422" s="103" t="s">
        <v>34</v>
      </c>
      <c r="L422" s="105"/>
      <c r="M422" s="110" t="str">
        <f t="shared" ref="M422:R431" si="64">IF(ISERROR(SEARCH(M$1,$L422)),"","○")</f>
        <v/>
      </c>
      <c r="N422" s="110" t="str">
        <f t="shared" si="64"/>
        <v/>
      </c>
      <c r="O422" s="110" t="str">
        <f t="shared" si="64"/>
        <v/>
      </c>
      <c r="P422" s="110" t="str">
        <f t="shared" si="64"/>
        <v/>
      </c>
      <c r="Q422" s="110" t="str">
        <f t="shared" si="64"/>
        <v/>
      </c>
      <c r="R422" s="105" t="str">
        <f t="shared" si="64"/>
        <v/>
      </c>
      <c r="S422" s="105"/>
      <c r="T422" s="103" t="s">
        <v>35</v>
      </c>
      <c r="U422" s="103" t="s">
        <v>18</v>
      </c>
      <c r="V422" s="103" t="s">
        <v>1863</v>
      </c>
    </row>
    <row r="423" spans="1:22" ht="13.5">
      <c r="A423" s="102">
        <v>45633.420329432869</v>
      </c>
      <c r="B423" s="103" t="s">
        <v>90</v>
      </c>
      <c r="C423" s="104" t="str">
        <f t="shared" si="63"/>
        <v>×</v>
      </c>
      <c r="D423" s="104" t="str">
        <f t="shared" si="63"/>
        <v>×</v>
      </c>
      <c r="E423" s="104" t="str">
        <f t="shared" si="63"/>
        <v>○</v>
      </c>
      <c r="F423" s="104" t="str">
        <f t="shared" si="63"/>
        <v>×</v>
      </c>
      <c r="G423" s="103" t="s">
        <v>13</v>
      </c>
      <c r="H423" s="103" t="s">
        <v>32</v>
      </c>
      <c r="I423" s="103" t="s">
        <v>1865</v>
      </c>
      <c r="J423" s="105"/>
      <c r="K423" s="103" t="s">
        <v>34</v>
      </c>
      <c r="L423" s="105"/>
      <c r="M423" s="110" t="str">
        <f t="shared" si="64"/>
        <v/>
      </c>
      <c r="N423" s="110" t="str">
        <f t="shared" si="64"/>
        <v/>
      </c>
      <c r="O423" s="110" t="str">
        <f t="shared" si="64"/>
        <v/>
      </c>
      <c r="P423" s="110" t="str">
        <f t="shared" si="64"/>
        <v/>
      </c>
      <c r="Q423" s="110" t="str">
        <f t="shared" si="64"/>
        <v/>
      </c>
      <c r="R423" s="105" t="str">
        <f t="shared" si="64"/>
        <v/>
      </c>
      <c r="S423" s="105"/>
      <c r="T423" s="103" t="s">
        <v>61</v>
      </c>
      <c r="U423" s="103" t="s">
        <v>18</v>
      </c>
      <c r="V423" s="105"/>
    </row>
    <row r="424" spans="1:22" ht="13.5">
      <c r="A424" s="102">
        <v>45633.556015972223</v>
      </c>
      <c r="B424" s="103" t="s">
        <v>528</v>
      </c>
      <c r="C424" s="104" t="str">
        <f t="shared" si="63"/>
        <v>×</v>
      </c>
      <c r="D424" s="104" t="str">
        <f t="shared" si="63"/>
        <v>○</v>
      </c>
      <c r="E424" s="104" t="str">
        <f t="shared" si="63"/>
        <v>×</v>
      </c>
      <c r="F424" s="104" t="str">
        <f t="shared" si="63"/>
        <v>×</v>
      </c>
      <c r="G424" s="103" t="s">
        <v>13</v>
      </c>
      <c r="H424" s="103" t="s">
        <v>27</v>
      </c>
      <c r="I424" s="103" t="s">
        <v>1873</v>
      </c>
      <c r="J424" s="105"/>
      <c r="K424" s="103" t="s">
        <v>34</v>
      </c>
      <c r="L424" s="105"/>
      <c r="M424" s="110" t="str">
        <f t="shared" si="64"/>
        <v/>
      </c>
      <c r="N424" s="110" t="str">
        <f t="shared" si="64"/>
        <v/>
      </c>
      <c r="O424" s="110" t="str">
        <f t="shared" si="64"/>
        <v/>
      </c>
      <c r="P424" s="110" t="str">
        <f t="shared" si="64"/>
        <v/>
      </c>
      <c r="Q424" s="110" t="str">
        <f t="shared" si="64"/>
        <v/>
      </c>
      <c r="R424" s="105" t="str">
        <f t="shared" si="64"/>
        <v/>
      </c>
      <c r="S424" s="105"/>
      <c r="T424" s="103" t="s">
        <v>30</v>
      </c>
      <c r="U424" s="103" t="s">
        <v>18</v>
      </c>
      <c r="V424" s="103" t="s">
        <v>1874</v>
      </c>
    </row>
    <row r="425" spans="1:22" ht="13.5">
      <c r="A425" s="102">
        <v>45633.569240520832</v>
      </c>
      <c r="B425" s="103" t="s">
        <v>105</v>
      </c>
      <c r="C425" s="104" t="str">
        <f t="shared" si="63"/>
        <v>×</v>
      </c>
      <c r="D425" s="104" t="str">
        <f t="shared" si="63"/>
        <v>×</v>
      </c>
      <c r="E425" s="104" t="str">
        <f t="shared" si="63"/>
        <v>○</v>
      </c>
      <c r="F425" s="104" t="str">
        <f t="shared" si="63"/>
        <v>×</v>
      </c>
      <c r="G425" s="103" t="s">
        <v>20</v>
      </c>
      <c r="H425" s="105"/>
      <c r="I425" s="105"/>
      <c r="J425" s="103" t="s">
        <v>1875</v>
      </c>
      <c r="K425" s="103" t="s">
        <v>16</v>
      </c>
      <c r="L425" s="103" t="s">
        <v>39</v>
      </c>
      <c r="M425" s="108" t="str">
        <f t="shared" si="64"/>
        <v/>
      </c>
      <c r="N425" s="108" t="str">
        <f t="shared" si="64"/>
        <v>○</v>
      </c>
      <c r="O425" s="108" t="str">
        <f t="shared" si="64"/>
        <v/>
      </c>
      <c r="P425" s="108" t="str">
        <f t="shared" si="64"/>
        <v/>
      </c>
      <c r="Q425" s="108" t="str">
        <f t="shared" si="64"/>
        <v/>
      </c>
      <c r="R425" s="103" t="str">
        <f t="shared" si="64"/>
        <v/>
      </c>
      <c r="S425" s="105"/>
      <c r="T425" s="103" t="s">
        <v>30</v>
      </c>
      <c r="U425" s="103" t="s">
        <v>18</v>
      </c>
      <c r="V425" s="105"/>
    </row>
    <row r="426" spans="1:22" ht="13.5">
      <c r="A426" s="102">
        <v>45633.712616759258</v>
      </c>
      <c r="B426" s="103" t="s">
        <v>1075</v>
      </c>
      <c r="C426" s="104" t="str">
        <f t="shared" si="63"/>
        <v>×</v>
      </c>
      <c r="D426" s="104" t="str">
        <f t="shared" si="63"/>
        <v>○</v>
      </c>
      <c r="E426" s="104" t="str">
        <f t="shared" si="63"/>
        <v>×</v>
      </c>
      <c r="F426" s="104" t="str">
        <f t="shared" si="63"/>
        <v>×</v>
      </c>
      <c r="G426" s="103" t="s">
        <v>13</v>
      </c>
      <c r="H426" s="103" t="s">
        <v>14</v>
      </c>
      <c r="I426" s="103" t="s">
        <v>1891</v>
      </c>
      <c r="J426" s="105"/>
      <c r="K426" s="103" t="s">
        <v>34</v>
      </c>
      <c r="L426" s="105"/>
      <c r="M426" s="110" t="str">
        <f t="shared" si="64"/>
        <v/>
      </c>
      <c r="N426" s="110" t="str">
        <f t="shared" si="64"/>
        <v/>
      </c>
      <c r="O426" s="110" t="str">
        <f t="shared" si="64"/>
        <v/>
      </c>
      <c r="P426" s="110" t="str">
        <f t="shared" si="64"/>
        <v/>
      </c>
      <c r="Q426" s="110" t="str">
        <f t="shared" si="64"/>
        <v/>
      </c>
      <c r="R426" s="105" t="str">
        <f t="shared" si="64"/>
        <v/>
      </c>
      <c r="S426" s="105"/>
      <c r="T426" s="103" t="s">
        <v>30</v>
      </c>
      <c r="U426" s="103" t="s">
        <v>18</v>
      </c>
      <c r="V426" s="103" t="s">
        <v>1892</v>
      </c>
    </row>
    <row r="427" spans="1:22" ht="13.5">
      <c r="A427" s="102">
        <v>45633.749908715283</v>
      </c>
      <c r="B427" s="103" t="s">
        <v>181</v>
      </c>
      <c r="C427" s="104" t="str">
        <f t="shared" si="63"/>
        <v>×</v>
      </c>
      <c r="D427" s="104" t="str">
        <f t="shared" si="63"/>
        <v>○</v>
      </c>
      <c r="E427" s="104" t="str">
        <f t="shared" si="63"/>
        <v>×</v>
      </c>
      <c r="F427" s="104" t="str">
        <f t="shared" si="63"/>
        <v>×</v>
      </c>
      <c r="G427" s="103" t="s">
        <v>13</v>
      </c>
      <c r="H427" s="103" t="s">
        <v>77</v>
      </c>
      <c r="I427" s="103" t="s">
        <v>1895</v>
      </c>
      <c r="J427" s="105"/>
      <c r="K427" s="103" t="s">
        <v>34</v>
      </c>
      <c r="L427" s="105"/>
      <c r="M427" s="110" t="str">
        <f t="shared" si="64"/>
        <v/>
      </c>
      <c r="N427" s="110" t="str">
        <f t="shared" si="64"/>
        <v/>
      </c>
      <c r="O427" s="110" t="str">
        <f t="shared" si="64"/>
        <v/>
      </c>
      <c r="P427" s="110" t="str">
        <f t="shared" si="64"/>
        <v/>
      </c>
      <c r="Q427" s="110" t="str">
        <f t="shared" si="64"/>
        <v/>
      </c>
      <c r="R427" s="105" t="str">
        <f t="shared" si="64"/>
        <v/>
      </c>
      <c r="S427" s="105"/>
      <c r="T427" s="103" t="s">
        <v>30</v>
      </c>
      <c r="U427" s="103" t="s">
        <v>18</v>
      </c>
      <c r="V427" s="105"/>
    </row>
    <row r="428" spans="1:22" ht="13.5">
      <c r="A428" s="102">
        <v>45633.844746805553</v>
      </c>
      <c r="B428" s="103" t="s">
        <v>105</v>
      </c>
      <c r="C428" s="104" t="str">
        <f t="shared" si="63"/>
        <v>×</v>
      </c>
      <c r="D428" s="104" t="str">
        <f t="shared" si="63"/>
        <v>×</v>
      </c>
      <c r="E428" s="104" t="str">
        <f t="shared" si="63"/>
        <v>○</v>
      </c>
      <c r="F428" s="104" t="str">
        <f t="shared" si="63"/>
        <v>×</v>
      </c>
      <c r="G428" s="103" t="s">
        <v>13</v>
      </c>
      <c r="H428" s="103" t="s">
        <v>27</v>
      </c>
      <c r="I428" s="103" t="s">
        <v>1900</v>
      </c>
      <c r="J428" s="105"/>
      <c r="K428" s="103" t="s">
        <v>34</v>
      </c>
      <c r="L428" s="105"/>
      <c r="M428" s="110" t="str">
        <f t="shared" si="64"/>
        <v/>
      </c>
      <c r="N428" s="110" t="str">
        <f t="shared" si="64"/>
        <v/>
      </c>
      <c r="O428" s="110" t="str">
        <f t="shared" si="64"/>
        <v/>
      </c>
      <c r="P428" s="110" t="str">
        <f t="shared" si="64"/>
        <v/>
      </c>
      <c r="Q428" s="110" t="str">
        <f t="shared" si="64"/>
        <v/>
      </c>
      <c r="R428" s="105" t="str">
        <f t="shared" si="64"/>
        <v/>
      </c>
      <c r="S428" s="105"/>
      <c r="T428" s="103" t="s">
        <v>229</v>
      </c>
      <c r="U428" s="103" t="s">
        <v>18</v>
      </c>
      <c r="V428" s="105"/>
    </row>
    <row r="429" spans="1:22" ht="13.5">
      <c r="A429" s="102">
        <v>45633.947148912033</v>
      </c>
      <c r="B429" s="103" t="s">
        <v>181</v>
      </c>
      <c r="C429" s="104" t="str">
        <f t="shared" si="63"/>
        <v>×</v>
      </c>
      <c r="D429" s="104" t="str">
        <f t="shared" si="63"/>
        <v>○</v>
      </c>
      <c r="E429" s="104" t="str">
        <f t="shared" si="63"/>
        <v>×</v>
      </c>
      <c r="F429" s="104" t="str">
        <f t="shared" si="63"/>
        <v>×</v>
      </c>
      <c r="G429" s="103" t="s">
        <v>20</v>
      </c>
      <c r="H429" s="105"/>
      <c r="I429" s="105"/>
      <c r="J429" s="103" t="s">
        <v>58</v>
      </c>
      <c r="K429" s="103" t="s">
        <v>16</v>
      </c>
      <c r="L429" s="103" t="s">
        <v>88</v>
      </c>
      <c r="M429" s="108" t="str">
        <f t="shared" si="64"/>
        <v/>
      </c>
      <c r="N429" s="108" t="str">
        <f t="shared" si="64"/>
        <v>○</v>
      </c>
      <c r="O429" s="108" t="str">
        <f t="shared" si="64"/>
        <v/>
      </c>
      <c r="P429" s="108" t="str">
        <f t="shared" si="64"/>
        <v/>
      </c>
      <c r="Q429" s="108" t="str">
        <f t="shared" si="64"/>
        <v>○</v>
      </c>
      <c r="R429" s="103" t="str">
        <f t="shared" si="64"/>
        <v/>
      </c>
      <c r="S429" s="105"/>
      <c r="T429" s="103" t="s">
        <v>35</v>
      </c>
      <c r="U429" s="103" t="s">
        <v>18</v>
      </c>
      <c r="V429" s="105"/>
    </row>
    <row r="430" spans="1:22" ht="13.5">
      <c r="A430" s="102">
        <v>45634.423741574079</v>
      </c>
      <c r="B430" s="103" t="s">
        <v>314</v>
      </c>
      <c r="C430" s="104" t="str">
        <f t="shared" si="63"/>
        <v>×</v>
      </c>
      <c r="D430" s="104" t="str">
        <f t="shared" si="63"/>
        <v>○</v>
      </c>
      <c r="E430" s="104" t="str">
        <f t="shared" si="63"/>
        <v>×</v>
      </c>
      <c r="F430" s="104" t="str">
        <f t="shared" si="63"/>
        <v>×</v>
      </c>
      <c r="G430" s="103" t="s">
        <v>13</v>
      </c>
      <c r="H430" s="103" t="s">
        <v>77</v>
      </c>
      <c r="I430" s="103" t="s">
        <v>1905</v>
      </c>
      <c r="J430" s="105"/>
      <c r="K430" s="103" t="s">
        <v>34</v>
      </c>
      <c r="L430" s="105"/>
      <c r="M430" s="110" t="str">
        <f t="shared" si="64"/>
        <v/>
      </c>
      <c r="N430" s="110" t="str">
        <f t="shared" si="64"/>
        <v/>
      </c>
      <c r="O430" s="110" t="str">
        <f t="shared" si="64"/>
        <v/>
      </c>
      <c r="P430" s="110" t="str">
        <f t="shared" si="64"/>
        <v/>
      </c>
      <c r="Q430" s="110" t="str">
        <f t="shared" si="64"/>
        <v/>
      </c>
      <c r="R430" s="105" t="str">
        <f t="shared" si="64"/>
        <v/>
      </c>
      <c r="S430" s="105"/>
      <c r="T430" s="103" t="s">
        <v>30</v>
      </c>
      <c r="U430" s="103" t="s">
        <v>18</v>
      </c>
      <c r="V430" s="103" t="s">
        <v>1906</v>
      </c>
    </row>
    <row r="431" spans="1:22" ht="13.5">
      <c r="A431" s="102">
        <v>45634.507787013892</v>
      </c>
      <c r="B431" s="103" t="s">
        <v>105</v>
      </c>
      <c r="C431" s="104" t="str">
        <f t="shared" si="63"/>
        <v>×</v>
      </c>
      <c r="D431" s="104" t="str">
        <f t="shared" si="63"/>
        <v>×</v>
      </c>
      <c r="E431" s="104" t="str">
        <f t="shared" si="63"/>
        <v>○</v>
      </c>
      <c r="F431" s="104" t="str">
        <f t="shared" si="63"/>
        <v>×</v>
      </c>
      <c r="G431" s="103" t="s">
        <v>13</v>
      </c>
      <c r="H431" s="103" t="s">
        <v>14</v>
      </c>
      <c r="I431" s="103" t="s">
        <v>1912</v>
      </c>
      <c r="J431" s="105"/>
      <c r="K431" s="103" t="s">
        <v>16</v>
      </c>
      <c r="L431" s="103" t="s">
        <v>39</v>
      </c>
      <c r="M431" s="108" t="str">
        <f t="shared" si="64"/>
        <v/>
      </c>
      <c r="N431" s="108" t="str">
        <f t="shared" si="64"/>
        <v>○</v>
      </c>
      <c r="O431" s="108" t="str">
        <f t="shared" si="64"/>
        <v/>
      </c>
      <c r="P431" s="108" t="str">
        <f t="shared" si="64"/>
        <v/>
      </c>
      <c r="Q431" s="108" t="str">
        <f t="shared" si="64"/>
        <v/>
      </c>
      <c r="R431" s="103" t="str">
        <f t="shared" si="64"/>
        <v/>
      </c>
      <c r="S431" s="105"/>
      <c r="T431" s="103" t="s">
        <v>30</v>
      </c>
      <c r="U431" s="103" t="s">
        <v>18</v>
      </c>
      <c r="V431" s="105"/>
    </row>
    <row r="432" spans="1:22" ht="13.5">
      <c r="A432" s="102">
        <v>45634.546387800925</v>
      </c>
      <c r="B432" s="103" t="s">
        <v>41</v>
      </c>
      <c r="C432" s="104" t="str">
        <f t="shared" si="63"/>
        <v>×</v>
      </c>
      <c r="D432" s="104" t="str">
        <f t="shared" si="63"/>
        <v>○</v>
      </c>
      <c r="E432" s="104" t="str">
        <f t="shared" si="63"/>
        <v>×</v>
      </c>
      <c r="F432" s="104" t="str">
        <f t="shared" si="63"/>
        <v>×</v>
      </c>
      <c r="G432" s="103" t="s">
        <v>20</v>
      </c>
      <c r="H432" s="105"/>
      <c r="I432" s="105"/>
      <c r="J432" s="103" t="s">
        <v>38</v>
      </c>
      <c r="K432" s="103" t="s">
        <v>16</v>
      </c>
      <c r="L432" s="103" t="s">
        <v>59</v>
      </c>
      <c r="M432" s="108" t="str">
        <f t="shared" ref="M432:R441" si="65">IF(ISERROR(SEARCH(M$1,$L432)),"","○")</f>
        <v/>
      </c>
      <c r="N432" s="108" t="str">
        <f t="shared" si="65"/>
        <v/>
      </c>
      <c r="O432" s="108" t="str">
        <f t="shared" si="65"/>
        <v/>
      </c>
      <c r="P432" s="108" t="str">
        <f t="shared" si="65"/>
        <v>○</v>
      </c>
      <c r="Q432" s="108" t="str">
        <f t="shared" si="65"/>
        <v/>
      </c>
      <c r="R432" s="103" t="str">
        <f t="shared" si="65"/>
        <v/>
      </c>
      <c r="S432" s="103" t="s">
        <v>1913</v>
      </c>
      <c r="T432" s="103" t="s">
        <v>30</v>
      </c>
      <c r="U432" s="103" t="s">
        <v>18</v>
      </c>
      <c r="V432" s="105"/>
    </row>
    <row r="433" spans="1:22" ht="13.5">
      <c r="A433" s="102">
        <v>45634.581014895834</v>
      </c>
      <c r="B433" s="103" t="s">
        <v>181</v>
      </c>
      <c r="C433" s="104" t="str">
        <f t="shared" si="63"/>
        <v>×</v>
      </c>
      <c r="D433" s="104" t="str">
        <f t="shared" si="63"/>
        <v>○</v>
      </c>
      <c r="E433" s="104" t="str">
        <f t="shared" si="63"/>
        <v>×</v>
      </c>
      <c r="F433" s="104" t="str">
        <f t="shared" si="63"/>
        <v>×</v>
      </c>
      <c r="G433" s="103" t="s">
        <v>20</v>
      </c>
      <c r="H433" s="105"/>
      <c r="I433" s="105"/>
      <c r="J433" s="103" t="s">
        <v>58</v>
      </c>
      <c r="K433" s="103" t="s">
        <v>16</v>
      </c>
      <c r="L433" s="103" t="s">
        <v>59</v>
      </c>
      <c r="M433" s="108" t="str">
        <f t="shared" si="65"/>
        <v/>
      </c>
      <c r="N433" s="108" t="str">
        <f t="shared" si="65"/>
        <v/>
      </c>
      <c r="O433" s="108" t="str">
        <f t="shared" si="65"/>
        <v/>
      </c>
      <c r="P433" s="108" t="str">
        <f t="shared" si="65"/>
        <v>○</v>
      </c>
      <c r="Q433" s="108" t="str">
        <f t="shared" si="65"/>
        <v/>
      </c>
      <c r="R433" s="103" t="str">
        <f t="shared" si="65"/>
        <v/>
      </c>
      <c r="S433" s="103" t="s">
        <v>1920</v>
      </c>
      <c r="T433" s="103" t="s">
        <v>30</v>
      </c>
      <c r="U433" s="103" t="s">
        <v>18</v>
      </c>
      <c r="V433" s="103" t="s">
        <v>1921</v>
      </c>
    </row>
    <row r="434" spans="1:22" ht="13.5">
      <c r="A434" s="102">
        <v>45634.674694803238</v>
      </c>
      <c r="B434" s="103" t="s">
        <v>514</v>
      </c>
      <c r="C434" s="104" t="str">
        <f t="shared" si="63"/>
        <v>○</v>
      </c>
      <c r="D434" s="104" t="str">
        <f t="shared" si="63"/>
        <v>○</v>
      </c>
      <c r="E434" s="104" t="str">
        <f t="shared" si="63"/>
        <v>×</v>
      </c>
      <c r="F434" s="104" t="str">
        <f t="shared" si="63"/>
        <v>×</v>
      </c>
      <c r="G434" s="103" t="s">
        <v>20</v>
      </c>
      <c r="H434" s="105"/>
      <c r="I434" s="105"/>
      <c r="J434" s="103" t="s">
        <v>58</v>
      </c>
      <c r="K434" s="103" t="s">
        <v>16</v>
      </c>
      <c r="L434" s="103" t="s">
        <v>68</v>
      </c>
      <c r="M434" s="108" t="str">
        <f t="shared" si="65"/>
        <v/>
      </c>
      <c r="N434" s="108" t="str">
        <f t="shared" si="65"/>
        <v/>
      </c>
      <c r="O434" s="108" t="str">
        <f t="shared" si="65"/>
        <v/>
      </c>
      <c r="P434" s="108" t="str">
        <f t="shared" si="65"/>
        <v/>
      </c>
      <c r="Q434" s="108" t="str">
        <f t="shared" si="65"/>
        <v>○</v>
      </c>
      <c r="R434" s="103" t="str">
        <f t="shared" si="65"/>
        <v/>
      </c>
      <c r="S434" s="103" t="s">
        <v>1927</v>
      </c>
      <c r="T434" s="103" t="s">
        <v>30</v>
      </c>
      <c r="U434" s="103" t="s">
        <v>18</v>
      </c>
      <c r="V434" s="105"/>
    </row>
    <row r="435" spans="1:22" ht="13.5">
      <c r="A435" s="102">
        <v>45634.689298645833</v>
      </c>
      <c r="B435" s="103" t="s">
        <v>164</v>
      </c>
      <c r="C435" s="104" t="str">
        <f t="shared" si="63"/>
        <v>×</v>
      </c>
      <c r="D435" s="104" t="str">
        <f t="shared" si="63"/>
        <v>○</v>
      </c>
      <c r="E435" s="104" t="str">
        <f t="shared" si="63"/>
        <v>×</v>
      </c>
      <c r="F435" s="104" t="str">
        <f t="shared" si="63"/>
        <v>×</v>
      </c>
      <c r="G435" s="103" t="s">
        <v>13</v>
      </c>
      <c r="H435" s="103" t="s">
        <v>32</v>
      </c>
      <c r="I435" s="103" t="s">
        <v>1929</v>
      </c>
      <c r="J435" s="105"/>
      <c r="K435" s="103" t="s">
        <v>16</v>
      </c>
      <c r="L435" s="103" t="s">
        <v>29</v>
      </c>
      <c r="M435" s="108" t="str">
        <f t="shared" si="65"/>
        <v/>
      </c>
      <c r="N435" s="108" t="str">
        <f t="shared" si="65"/>
        <v/>
      </c>
      <c r="O435" s="108" t="str">
        <f t="shared" si="65"/>
        <v/>
      </c>
      <c r="P435" s="108" t="str">
        <f t="shared" si="65"/>
        <v/>
      </c>
      <c r="Q435" s="108" t="str">
        <f t="shared" si="65"/>
        <v/>
      </c>
      <c r="R435" s="103" t="str">
        <f t="shared" si="65"/>
        <v>○</v>
      </c>
      <c r="S435" s="105"/>
      <c r="T435" s="103" t="s">
        <v>35</v>
      </c>
      <c r="U435" s="103" t="s">
        <v>18</v>
      </c>
      <c r="V435" s="103" t="s">
        <v>1930</v>
      </c>
    </row>
    <row r="436" spans="1:22" ht="13.5">
      <c r="A436" s="102">
        <v>45634.710175879634</v>
      </c>
      <c r="B436" s="103" t="s">
        <v>1683</v>
      </c>
      <c r="C436" s="104" t="str">
        <f t="shared" si="63"/>
        <v>○</v>
      </c>
      <c r="D436" s="104" t="str">
        <f t="shared" si="63"/>
        <v>○</v>
      </c>
      <c r="E436" s="104" t="str">
        <f t="shared" si="63"/>
        <v>×</v>
      </c>
      <c r="F436" s="104" t="str">
        <f t="shared" si="63"/>
        <v>×</v>
      </c>
      <c r="G436" s="103" t="s">
        <v>20</v>
      </c>
      <c r="H436" s="105"/>
      <c r="I436" s="105"/>
      <c r="J436" s="103" t="s">
        <v>58</v>
      </c>
      <c r="K436" s="103" t="s">
        <v>16</v>
      </c>
      <c r="L436" s="103" t="s">
        <v>39</v>
      </c>
      <c r="M436" s="108" t="str">
        <f t="shared" si="65"/>
        <v/>
      </c>
      <c r="N436" s="108" t="str">
        <f t="shared" si="65"/>
        <v>○</v>
      </c>
      <c r="O436" s="108" t="str">
        <f t="shared" si="65"/>
        <v/>
      </c>
      <c r="P436" s="108" t="str">
        <f t="shared" si="65"/>
        <v/>
      </c>
      <c r="Q436" s="108" t="str">
        <f t="shared" si="65"/>
        <v/>
      </c>
      <c r="R436" s="103" t="str">
        <f t="shared" si="65"/>
        <v/>
      </c>
      <c r="S436" s="105"/>
      <c r="T436" s="103" t="s">
        <v>30</v>
      </c>
      <c r="U436" s="103" t="s">
        <v>18</v>
      </c>
      <c r="V436" s="105"/>
    </row>
    <row r="437" spans="1:22" ht="13.5">
      <c r="A437" s="102">
        <v>45634.726916805557</v>
      </c>
      <c r="B437" s="103" t="s">
        <v>57</v>
      </c>
      <c r="C437" s="104" t="str">
        <f t="shared" si="63"/>
        <v>×</v>
      </c>
      <c r="D437" s="104" t="str">
        <f t="shared" si="63"/>
        <v>○</v>
      </c>
      <c r="E437" s="104" t="str">
        <f t="shared" si="63"/>
        <v>×</v>
      </c>
      <c r="F437" s="104" t="str">
        <f t="shared" si="63"/>
        <v>×</v>
      </c>
      <c r="G437" s="103" t="s">
        <v>13</v>
      </c>
      <c r="H437" s="103" t="s">
        <v>77</v>
      </c>
      <c r="I437" s="103" t="s">
        <v>1942</v>
      </c>
      <c r="J437" s="105"/>
      <c r="K437" s="103" t="s">
        <v>34</v>
      </c>
      <c r="L437" s="105"/>
      <c r="M437" s="110" t="str">
        <f t="shared" si="65"/>
        <v/>
      </c>
      <c r="N437" s="110" t="str">
        <f t="shared" si="65"/>
        <v/>
      </c>
      <c r="O437" s="110" t="str">
        <f t="shared" si="65"/>
        <v/>
      </c>
      <c r="P437" s="110" t="str">
        <f t="shared" si="65"/>
        <v/>
      </c>
      <c r="Q437" s="110" t="str">
        <f t="shared" si="65"/>
        <v/>
      </c>
      <c r="R437" s="105" t="str">
        <f t="shared" si="65"/>
        <v/>
      </c>
      <c r="S437" s="105"/>
      <c r="T437" s="103" t="s">
        <v>24</v>
      </c>
      <c r="U437" s="103" t="s">
        <v>18</v>
      </c>
      <c r="V437" s="105"/>
    </row>
    <row r="438" spans="1:22" ht="13.5">
      <c r="A438" s="102">
        <v>45634.742991793981</v>
      </c>
      <c r="B438" s="103" t="s">
        <v>217</v>
      </c>
      <c r="C438" s="104" t="str">
        <f t="shared" si="63"/>
        <v>○</v>
      </c>
      <c r="D438" s="104" t="str">
        <f t="shared" si="63"/>
        <v>○</v>
      </c>
      <c r="E438" s="104" t="str">
        <f t="shared" si="63"/>
        <v>×</v>
      </c>
      <c r="F438" s="104" t="str">
        <f t="shared" si="63"/>
        <v>×</v>
      </c>
      <c r="G438" s="103" t="s">
        <v>13</v>
      </c>
      <c r="H438" s="103" t="s">
        <v>14</v>
      </c>
      <c r="I438" s="103" t="s">
        <v>1943</v>
      </c>
      <c r="J438" s="105"/>
      <c r="K438" s="103" t="s">
        <v>34</v>
      </c>
      <c r="L438" s="105"/>
      <c r="M438" s="110" t="str">
        <f t="shared" si="65"/>
        <v/>
      </c>
      <c r="N438" s="110" t="str">
        <f t="shared" si="65"/>
        <v/>
      </c>
      <c r="O438" s="110" t="str">
        <f t="shared" si="65"/>
        <v/>
      </c>
      <c r="P438" s="110" t="str">
        <f t="shared" si="65"/>
        <v/>
      </c>
      <c r="Q438" s="110" t="str">
        <f t="shared" si="65"/>
        <v/>
      </c>
      <c r="R438" s="105" t="str">
        <f t="shared" si="65"/>
        <v/>
      </c>
      <c r="S438" s="105"/>
      <c r="T438" s="103" t="s">
        <v>61</v>
      </c>
      <c r="U438" s="103" t="s">
        <v>18</v>
      </c>
      <c r="V438" s="105"/>
    </row>
    <row r="439" spans="1:22" ht="13.5">
      <c r="A439" s="102">
        <v>45634.817904664349</v>
      </c>
      <c r="B439" s="103" t="s">
        <v>389</v>
      </c>
      <c r="C439" s="104" t="str">
        <f t="shared" si="63"/>
        <v>×</v>
      </c>
      <c r="D439" s="104" t="str">
        <f t="shared" si="63"/>
        <v>○</v>
      </c>
      <c r="E439" s="104" t="str">
        <f t="shared" si="63"/>
        <v>×</v>
      </c>
      <c r="F439" s="104" t="str">
        <f t="shared" si="63"/>
        <v>×</v>
      </c>
      <c r="G439" s="103" t="s">
        <v>13</v>
      </c>
      <c r="H439" s="103" t="s">
        <v>77</v>
      </c>
      <c r="I439" s="103" t="s">
        <v>822</v>
      </c>
      <c r="J439" s="105"/>
      <c r="K439" s="103" t="s">
        <v>34</v>
      </c>
      <c r="L439" s="105"/>
      <c r="M439" s="110" t="str">
        <f t="shared" si="65"/>
        <v/>
      </c>
      <c r="N439" s="110" t="str">
        <f t="shared" si="65"/>
        <v/>
      </c>
      <c r="O439" s="110" t="str">
        <f t="shared" si="65"/>
        <v/>
      </c>
      <c r="P439" s="110" t="str">
        <f t="shared" si="65"/>
        <v/>
      </c>
      <c r="Q439" s="110" t="str">
        <f t="shared" si="65"/>
        <v/>
      </c>
      <c r="R439" s="105" t="str">
        <f t="shared" si="65"/>
        <v/>
      </c>
      <c r="S439" s="105"/>
      <c r="T439" s="103" t="s">
        <v>30</v>
      </c>
      <c r="U439" s="103" t="s">
        <v>18</v>
      </c>
      <c r="V439" s="105"/>
    </row>
    <row r="440" spans="1:22" ht="13.5">
      <c r="A440" s="102">
        <v>45634.980778217592</v>
      </c>
      <c r="B440" s="103" t="s">
        <v>759</v>
      </c>
      <c r="C440" s="104" t="str">
        <f t="shared" si="63"/>
        <v>×</v>
      </c>
      <c r="D440" s="104" t="str">
        <f t="shared" si="63"/>
        <v>○</v>
      </c>
      <c r="E440" s="104" t="str">
        <f t="shared" si="63"/>
        <v>○</v>
      </c>
      <c r="F440" s="104" t="str">
        <f t="shared" si="63"/>
        <v>×</v>
      </c>
      <c r="G440" s="103" t="s">
        <v>20</v>
      </c>
      <c r="H440" s="105"/>
      <c r="I440" s="105"/>
      <c r="J440" s="103" t="s">
        <v>58</v>
      </c>
      <c r="K440" s="103" t="s">
        <v>16</v>
      </c>
      <c r="L440" s="103" t="s">
        <v>279</v>
      </c>
      <c r="M440" s="108" t="str">
        <f t="shared" si="65"/>
        <v/>
      </c>
      <c r="N440" s="108" t="str">
        <f t="shared" si="65"/>
        <v>○</v>
      </c>
      <c r="O440" s="108" t="str">
        <f t="shared" si="65"/>
        <v>○</v>
      </c>
      <c r="P440" s="108" t="str">
        <f t="shared" si="65"/>
        <v/>
      </c>
      <c r="Q440" s="108" t="str">
        <f t="shared" si="65"/>
        <v/>
      </c>
      <c r="R440" s="103" t="str">
        <f t="shared" si="65"/>
        <v/>
      </c>
      <c r="S440" s="105"/>
      <c r="T440" s="103" t="s">
        <v>30</v>
      </c>
      <c r="U440" s="103" t="s">
        <v>18</v>
      </c>
      <c r="V440" s="105"/>
    </row>
    <row r="441" spans="1:22" ht="13.5">
      <c r="A441" s="102">
        <v>45634.991750671295</v>
      </c>
      <c r="B441" s="103" t="s">
        <v>90</v>
      </c>
      <c r="C441" s="104" t="str">
        <f t="shared" si="63"/>
        <v>×</v>
      </c>
      <c r="D441" s="104" t="str">
        <f t="shared" si="63"/>
        <v>×</v>
      </c>
      <c r="E441" s="104" t="str">
        <f t="shared" si="63"/>
        <v>○</v>
      </c>
      <c r="F441" s="104" t="str">
        <f t="shared" si="63"/>
        <v>×</v>
      </c>
      <c r="G441" s="103" t="s">
        <v>20</v>
      </c>
      <c r="H441" s="105"/>
      <c r="I441" s="105"/>
      <c r="J441" s="103" t="s">
        <v>58</v>
      </c>
      <c r="K441" s="103" t="s">
        <v>16</v>
      </c>
      <c r="L441" s="103" t="s">
        <v>59</v>
      </c>
      <c r="M441" s="108" t="str">
        <f t="shared" si="65"/>
        <v/>
      </c>
      <c r="N441" s="108" t="str">
        <f t="shared" si="65"/>
        <v/>
      </c>
      <c r="O441" s="108" t="str">
        <f t="shared" si="65"/>
        <v/>
      </c>
      <c r="P441" s="108" t="str">
        <f t="shared" si="65"/>
        <v>○</v>
      </c>
      <c r="Q441" s="108" t="str">
        <f t="shared" si="65"/>
        <v/>
      </c>
      <c r="R441" s="103" t="str">
        <f t="shared" si="65"/>
        <v/>
      </c>
      <c r="S441" s="103" t="s">
        <v>1953</v>
      </c>
      <c r="T441" s="103" t="s">
        <v>30</v>
      </c>
      <c r="U441" s="103" t="s">
        <v>18</v>
      </c>
      <c r="V441" s="103" t="s">
        <v>1954</v>
      </c>
    </row>
    <row r="442" spans="1:22" ht="13.5">
      <c r="A442" s="102">
        <v>45635.016337430556</v>
      </c>
      <c r="B442" s="103" t="s">
        <v>90</v>
      </c>
      <c r="C442" s="104" t="str">
        <f t="shared" ref="C442:F461" si="66">IF(ISERROR(FIND(C$1,$B442)),"×","○")</f>
        <v>×</v>
      </c>
      <c r="D442" s="104" t="str">
        <f t="shared" si="66"/>
        <v>×</v>
      </c>
      <c r="E442" s="104" t="str">
        <f t="shared" si="66"/>
        <v>○</v>
      </c>
      <c r="F442" s="104" t="str">
        <f t="shared" si="66"/>
        <v>×</v>
      </c>
      <c r="G442" s="103" t="s">
        <v>13</v>
      </c>
      <c r="H442" s="103" t="s">
        <v>32</v>
      </c>
      <c r="I442" s="103" t="s">
        <v>1955</v>
      </c>
      <c r="J442" s="105"/>
      <c r="K442" s="103" t="s">
        <v>34</v>
      </c>
      <c r="L442" s="105"/>
      <c r="M442" s="110" t="str">
        <f t="shared" ref="M442:R451" si="67">IF(ISERROR(SEARCH(M$1,$L442)),"","○")</f>
        <v/>
      </c>
      <c r="N442" s="110" t="str">
        <f t="shared" si="67"/>
        <v/>
      </c>
      <c r="O442" s="110" t="str">
        <f t="shared" si="67"/>
        <v/>
      </c>
      <c r="P442" s="110" t="str">
        <f t="shared" si="67"/>
        <v/>
      </c>
      <c r="Q442" s="110" t="str">
        <f t="shared" si="67"/>
        <v/>
      </c>
      <c r="R442" s="105" t="str">
        <f t="shared" si="67"/>
        <v/>
      </c>
      <c r="S442" s="105"/>
      <c r="T442" s="103" t="s">
        <v>30</v>
      </c>
      <c r="U442" s="103" t="s">
        <v>18</v>
      </c>
      <c r="V442" s="105"/>
    </row>
    <row r="443" spans="1:22" ht="13.5">
      <c r="A443" s="102">
        <v>45635.261829560186</v>
      </c>
      <c r="B443" s="103" t="s">
        <v>49</v>
      </c>
      <c r="C443" s="104" t="str">
        <f t="shared" si="66"/>
        <v>×</v>
      </c>
      <c r="D443" s="104" t="str">
        <f t="shared" si="66"/>
        <v>○</v>
      </c>
      <c r="E443" s="104" t="str">
        <f t="shared" si="66"/>
        <v>×</v>
      </c>
      <c r="F443" s="104" t="str">
        <f t="shared" si="66"/>
        <v>×</v>
      </c>
      <c r="G443" s="103" t="s">
        <v>20</v>
      </c>
      <c r="H443" s="105"/>
      <c r="I443" s="105"/>
      <c r="J443" s="103" t="s">
        <v>1961</v>
      </c>
      <c r="K443" s="103" t="s">
        <v>16</v>
      </c>
      <c r="L443" s="103" t="s">
        <v>39</v>
      </c>
      <c r="M443" s="108" t="str">
        <f t="shared" si="67"/>
        <v/>
      </c>
      <c r="N443" s="108" t="str">
        <f t="shared" si="67"/>
        <v>○</v>
      </c>
      <c r="O443" s="108" t="str">
        <f t="shared" si="67"/>
        <v/>
      </c>
      <c r="P443" s="108" t="str">
        <f t="shared" si="67"/>
        <v/>
      </c>
      <c r="Q443" s="108" t="str">
        <f t="shared" si="67"/>
        <v/>
      </c>
      <c r="R443" s="103" t="str">
        <f t="shared" si="67"/>
        <v/>
      </c>
      <c r="S443" s="105"/>
      <c r="T443" s="103" t="s">
        <v>30</v>
      </c>
      <c r="U443" s="103" t="s">
        <v>18</v>
      </c>
      <c r="V443" s="105"/>
    </row>
    <row r="444" spans="1:22" ht="13.5">
      <c r="A444" s="102">
        <v>45635.313626400464</v>
      </c>
      <c r="B444" s="103" t="s">
        <v>330</v>
      </c>
      <c r="C444" s="104" t="str">
        <f t="shared" si="66"/>
        <v>×</v>
      </c>
      <c r="D444" s="104" t="str">
        <f t="shared" si="66"/>
        <v>○</v>
      </c>
      <c r="E444" s="104" t="str">
        <f t="shared" si="66"/>
        <v>○</v>
      </c>
      <c r="F444" s="104" t="str">
        <f t="shared" si="66"/>
        <v>×</v>
      </c>
      <c r="G444" s="103" t="s">
        <v>13</v>
      </c>
      <c r="H444" s="103" t="s">
        <v>32</v>
      </c>
      <c r="I444" s="103" t="s">
        <v>1962</v>
      </c>
      <c r="J444" s="105"/>
      <c r="K444" s="103" t="s">
        <v>16</v>
      </c>
      <c r="L444" s="103" t="s">
        <v>1963</v>
      </c>
      <c r="M444" s="108" t="str">
        <f t="shared" si="67"/>
        <v/>
      </c>
      <c r="N444" s="108" t="str">
        <f t="shared" si="67"/>
        <v/>
      </c>
      <c r="O444" s="108" t="str">
        <f t="shared" si="67"/>
        <v/>
      </c>
      <c r="P444" s="108" t="str">
        <f t="shared" si="67"/>
        <v/>
      </c>
      <c r="Q444" s="108" t="str">
        <f t="shared" si="67"/>
        <v/>
      </c>
      <c r="R444" s="103" t="str">
        <f t="shared" si="67"/>
        <v/>
      </c>
      <c r="S444" s="105"/>
      <c r="T444" s="103" t="s">
        <v>30</v>
      </c>
      <c r="U444" s="103" t="s">
        <v>18</v>
      </c>
      <c r="V444" s="105"/>
    </row>
    <row r="445" spans="1:22" ht="13.5">
      <c r="A445" s="102">
        <v>45635.315145115739</v>
      </c>
      <c r="B445" s="103" t="s">
        <v>649</v>
      </c>
      <c r="C445" s="104" t="str">
        <f t="shared" si="66"/>
        <v>×</v>
      </c>
      <c r="D445" s="104" t="str">
        <f t="shared" si="66"/>
        <v>○</v>
      </c>
      <c r="E445" s="104" t="str">
        <f t="shared" si="66"/>
        <v>○</v>
      </c>
      <c r="F445" s="104" t="str">
        <f t="shared" si="66"/>
        <v>×</v>
      </c>
      <c r="G445" s="103" t="s">
        <v>13</v>
      </c>
      <c r="H445" s="103" t="s">
        <v>27</v>
      </c>
      <c r="I445" s="103" t="s">
        <v>1964</v>
      </c>
      <c r="J445" s="105"/>
      <c r="K445" s="103" t="s">
        <v>34</v>
      </c>
      <c r="L445" s="105"/>
      <c r="M445" s="110" t="str">
        <f t="shared" si="67"/>
        <v/>
      </c>
      <c r="N445" s="110" t="str">
        <f t="shared" si="67"/>
        <v/>
      </c>
      <c r="O445" s="110" t="str">
        <f t="shared" si="67"/>
        <v/>
      </c>
      <c r="P445" s="110" t="str">
        <f t="shared" si="67"/>
        <v/>
      </c>
      <c r="Q445" s="110" t="str">
        <f t="shared" si="67"/>
        <v/>
      </c>
      <c r="R445" s="105" t="str">
        <f t="shared" si="67"/>
        <v/>
      </c>
      <c r="S445" s="105"/>
      <c r="T445" s="103" t="s">
        <v>35</v>
      </c>
      <c r="U445" s="103" t="s">
        <v>18</v>
      </c>
      <c r="V445" s="103" t="s">
        <v>1965</v>
      </c>
    </row>
    <row r="446" spans="1:22" ht="13.5">
      <c r="A446" s="102">
        <v>45635.399235694444</v>
      </c>
      <c r="B446" s="103" t="s">
        <v>84</v>
      </c>
      <c r="C446" s="104" t="str">
        <f t="shared" si="66"/>
        <v>×</v>
      </c>
      <c r="D446" s="104" t="str">
        <f t="shared" si="66"/>
        <v>×</v>
      </c>
      <c r="E446" s="104" t="str">
        <f t="shared" si="66"/>
        <v>○</v>
      </c>
      <c r="F446" s="104" t="str">
        <f t="shared" si="66"/>
        <v>×</v>
      </c>
      <c r="G446" s="103" t="s">
        <v>13</v>
      </c>
      <c r="H446" s="103" t="s">
        <v>27</v>
      </c>
      <c r="I446" s="103" t="s">
        <v>1969</v>
      </c>
      <c r="J446" s="105"/>
      <c r="K446" s="103" t="s">
        <v>34</v>
      </c>
      <c r="L446" s="105"/>
      <c r="M446" s="110" t="str">
        <f t="shared" si="67"/>
        <v/>
      </c>
      <c r="N446" s="110" t="str">
        <f t="shared" si="67"/>
        <v/>
      </c>
      <c r="O446" s="110" t="str">
        <f t="shared" si="67"/>
        <v/>
      </c>
      <c r="P446" s="110" t="str">
        <f t="shared" si="67"/>
        <v/>
      </c>
      <c r="Q446" s="110" t="str">
        <f t="shared" si="67"/>
        <v/>
      </c>
      <c r="R446" s="105" t="str">
        <f t="shared" si="67"/>
        <v/>
      </c>
      <c r="S446" s="105"/>
      <c r="T446" s="103" t="s">
        <v>35</v>
      </c>
      <c r="U446" s="103" t="s">
        <v>18</v>
      </c>
      <c r="V446" s="103" t="s">
        <v>1970</v>
      </c>
    </row>
    <row r="447" spans="1:22" ht="13.5">
      <c r="A447" s="102">
        <v>45635.41213773148</v>
      </c>
      <c r="B447" s="103" t="s">
        <v>164</v>
      </c>
      <c r="C447" s="104" t="str">
        <f t="shared" si="66"/>
        <v>×</v>
      </c>
      <c r="D447" s="104" t="str">
        <f t="shared" si="66"/>
        <v>○</v>
      </c>
      <c r="E447" s="104" t="str">
        <f t="shared" si="66"/>
        <v>×</v>
      </c>
      <c r="F447" s="104" t="str">
        <f t="shared" si="66"/>
        <v>×</v>
      </c>
      <c r="G447" s="103" t="s">
        <v>20</v>
      </c>
      <c r="H447" s="105"/>
      <c r="I447" s="105"/>
      <c r="J447" s="103" t="s">
        <v>21</v>
      </c>
      <c r="K447" s="103" t="s">
        <v>16</v>
      </c>
      <c r="L447" s="103" t="s">
        <v>39</v>
      </c>
      <c r="M447" s="108" t="str">
        <f t="shared" si="67"/>
        <v/>
      </c>
      <c r="N447" s="108" t="str">
        <f t="shared" si="67"/>
        <v>○</v>
      </c>
      <c r="O447" s="108" t="str">
        <f t="shared" si="67"/>
        <v/>
      </c>
      <c r="P447" s="108" t="str">
        <f t="shared" si="67"/>
        <v/>
      </c>
      <c r="Q447" s="108" t="str">
        <f t="shared" si="67"/>
        <v/>
      </c>
      <c r="R447" s="103" t="str">
        <f t="shared" si="67"/>
        <v/>
      </c>
      <c r="S447" s="105"/>
      <c r="T447" s="103" t="s">
        <v>30</v>
      </c>
      <c r="U447" s="103" t="s">
        <v>18</v>
      </c>
      <c r="V447" s="103" t="s">
        <v>1971</v>
      </c>
    </row>
    <row r="448" spans="1:22" ht="13.5">
      <c r="A448" s="102">
        <v>45635.45914413195</v>
      </c>
      <c r="B448" s="103" t="s">
        <v>117</v>
      </c>
      <c r="C448" s="104" t="str">
        <f t="shared" si="66"/>
        <v>×</v>
      </c>
      <c r="D448" s="104" t="str">
        <f t="shared" si="66"/>
        <v>×</v>
      </c>
      <c r="E448" s="104" t="str">
        <f t="shared" si="66"/>
        <v>○</v>
      </c>
      <c r="F448" s="104" t="str">
        <f t="shared" si="66"/>
        <v>○</v>
      </c>
      <c r="G448" s="103" t="s">
        <v>20</v>
      </c>
      <c r="H448" s="105"/>
      <c r="I448" s="105"/>
      <c r="J448" s="103" t="s">
        <v>58</v>
      </c>
      <c r="K448" s="103" t="s">
        <v>16</v>
      </c>
      <c r="L448" s="103" t="s">
        <v>39</v>
      </c>
      <c r="M448" s="108" t="str">
        <f t="shared" si="67"/>
        <v/>
      </c>
      <c r="N448" s="108" t="str">
        <f t="shared" si="67"/>
        <v>○</v>
      </c>
      <c r="O448" s="108" t="str">
        <f t="shared" si="67"/>
        <v/>
      </c>
      <c r="P448" s="108" t="str">
        <f t="shared" si="67"/>
        <v/>
      </c>
      <c r="Q448" s="108" t="str">
        <f t="shared" si="67"/>
        <v/>
      </c>
      <c r="R448" s="103" t="str">
        <f t="shared" si="67"/>
        <v/>
      </c>
      <c r="S448" s="105"/>
      <c r="T448" s="103" t="s">
        <v>30</v>
      </c>
      <c r="U448" s="103" t="s">
        <v>18</v>
      </c>
      <c r="V448" s="105"/>
    </row>
    <row r="449" spans="1:22" ht="13.5">
      <c r="A449" s="102">
        <v>45635.551956990741</v>
      </c>
      <c r="B449" s="103" t="s">
        <v>638</v>
      </c>
      <c r="C449" s="104" t="str">
        <f t="shared" si="66"/>
        <v>×</v>
      </c>
      <c r="D449" s="104" t="str">
        <f t="shared" si="66"/>
        <v>○</v>
      </c>
      <c r="E449" s="104" t="str">
        <f t="shared" si="66"/>
        <v>○</v>
      </c>
      <c r="F449" s="104" t="str">
        <f t="shared" si="66"/>
        <v>×</v>
      </c>
      <c r="G449" s="103" t="s">
        <v>20</v>
      </c>
      <c r="H449" s="105"/>
      <c r="I449" s="105"/>
      <c r="J449" s="103" t="s">
        <v>21</v>
      </c>
      <c r="K449" s="103" t="s">
        <v>16</v>
      </c>
      <c r="L449" s="103" t="s">
        <v>59</v>
      </c>
      <c r="M449" s="108" t="str">
        <f t="shared" si="67"/>
        <v/>
      </c>
      <c r="N449" s="108" t="str">
        <f t="shared" si="67"/>
        <v/>
      </c>
      <c r="O449" s="108" t="str">
        <f t="shared" si="67"/>
        <v/>
      </c>
      <c r="P449" s="108" t="str">
        <f t="shared" si="67"/>
        <v>○</v>
      </c>
      <c r="Q449" s="108" t="str">
        <f t="shared" si="67"/>
        <v/>
      </c>
      <c r="R449" s="103" t="str">
        <f t="shared" si="67"/>
        <v/>
      </c>
      <c r="S449" s="105"/>
      <c r="T449" s="103" t="s">
        <v>30</v>
      </c>
      <c r="U449" s="103" t="s">
        <v>18</v>
      </c>
      <c r="V449" s="105"/>
    </row>
    <row r="450" spans="1:22" ht="13.5">
      <c r="A450" s="102">
        <v>45635.553250381941</v>
      </c>
      <c r="B450" s="103" t="s">
        <v>164</v>
      </c>
      <c r="C450" s="104" t="str">
        <f t="shared" si="66"/>
        <v>×</v>
      </c>
      <c r="D450" s="104" t="str">
        <f t="shared" si="66"/>
        <v>○</v>
      </c>
      <c r="E450" s="104" t="str">
        <f t="shared" si="66"/>
        <v>×</v>
      </c>
      <c r="F450" s="104" t="str">
        <f t="shared" si="66"/>
        <v>×</v>
      </c>
      <c r="G450" s="103" t="s">
        <v>13</v>
      </c>
      <c r="H450" s="103" t="s">
        <v>27</v>
      </c>
      <c r="I450" s="103" t="s">
        <v>1972</v>
      </c>
      <c r="J450" s="105"/>
      <c r="K450" s="103" t="s">
        <v>34</v>
      </c>
      <c r="L450" s="105"/>
      <c r="M450" s="110" t="str">
        <f t="shared" si="67"/>
        <v/>
      </c>
      <c r="N450" s="110" t="str">
        <f t="shared" si="67"/>
        <v/>
      </c>
      <c r="O450" s="110" t="str">
        <f t="shared" si="67"/>
        <v/>
      </c>
      <c r="P450" s="110" t="str">
        <f t="shared" si="67"/>
        <v/>
      </c>
      <c r="Q450" s="110" t="str">
        <f t="shared" si="67"/>
        <v/>
      </c>
      <c r="R450" s="105" t="str">
        <f t="shared" si="67"/>
        <v/>
      </c>
      <c r="S450" s="105"/>
      <c r="T450" s="103" t="s">
        <v>35</v>
      </c>
      <c r="U450" s="103" t="s">
        <v>18</v>
      </c>
      <c r="V450" s="105"/>
    </row>
    <row r="451" spans="1:22" ht="13.5">
      <c r="A451" s="102">
        <v>45635.651483298614</v>
      </c>
      <c r="B451" s="103" t="s">
        <v>1976</v>
      </c>
      <c r="C451" s="104" t="str">
        <f t="shared" si="66"/>
        <v>○</v>
      </c>
      <c r="D451" s="104" t="str">
        <f t="shared" si="66"/>
        <v>×</v>
      </c>
      <c r="E451" s="104" t="str">
        <f t="shared" si="66"/>
        <v>×</v>
      </c>
      <c r="F451" s="104" t="str">
        <f t="shared" si="66"/>
        <v>×</v>
      </c>
      <c r="G451" s="103" t="s">
        <v>13</v>
      </c>
      <c r="H451" s="103" t="s">
        <v>77</v>
      </c>
      <c r="I451" s="103" t="s">
        <v>1977</v>
      </c>
      <c r="J451" s="105"/>
      <c r="K451" s="103" t="s">
        <v>34</v>
      </c>
      <c r="L451" s="105"/>
      <c r="M451" s="110" t="str">
        <f t="shared" si="67"/>
        <v/>
      </c>
      <c r="N451" s="110" t="str">
        <f t="shared" si="67"/>
        <v/>
      </c>
      <c r="O451" s="110" t="str">
        <f t="shared" si="67"/>
        <v/>
      </c>
      <c r="P451" s="110" t="str">
        <f t="shared" si="67"/>
        <v/>
      </c>
      <c r="Q451" s="110" t="str">
        <f t="shared" si="67"/>
        <v/>
      </c>
      <c r="R451" s="105" t="str">
        <f t="shared" si="67"/>
        <v/>
      </c>
      <c r="S451" s="105"/>
      <c r="T451" s="103" t="s">
        <v>35</v>
      </c>
      <c r="U451" s="103" t="s">
        <v>18</v>
      </c>
      <c r="V451" s="105"/>
    </row>
    <row r="452" spans="1:22" ht="13.5">
      <c r="A452" s="102">
        <v>45635.652198518517</v>
      </c>
      <c r="B452" s="103" t="s">
        <v>67</v>
      </c>
      <c r="C452" s="104" t="str">
        <f t="shared" si="66"/>
        <v>×</v>
      </c>
      <c r="D452" s="104" t="str">
        <f t="shared" si="66"/>
        <v>○</v>
      </c>
      <c r="E452" s="104" t="str">
        <f t="shared" si="66"/>
        <v>×</v>
      </c>
      <c r="F452" s="104" t="str">
        <f t="shared" si="66"/>
        <v>×</v>
      </c>
      <c r="G452" s="103" t="s">
        <v>13</v>
      </c>
      <c r="H452" s="103" t="s">
        <v>77</v>
      </c>
      <c r="I452" s="103" t="s">
        <v>1978</v>
      </c>
      <c r="J452" s="105"/>
      <c r="K452" s="103" t="s">
        <v>34</v>
      </c>
      <c r="L452" s="105"/>
      <c r="M452" s="110" t="str">
        <f t="shared" ref="M452:R461" si="68">IF(ISERROR(SEARCH(M$1,$L452)),"","○")</f>
        <v/>
      </c>
      <c r="N452" s="110" t="str">
        <f t="shared" si="68"/>
        <v/>
      </c>
      <c r="O452" s="110" t="str">
        <f t="shared" si="68"/>
        <v/>
      </c>
      <c r="P452" s="110" t="str">
        <f t="shared" si="68"/>
        <v/>
      </c>
      <c r="Q452" s="110" t="str">
        <f t="shared" si="68"/>
        <v/>
      </c>
      <c r="R452" s="105" t="str">
        <f t="shared" si="68"/>
        <v/>
      </c>
      <c r="S452" s="105"/>
      <c r="T452" s="103" t="s">
        <v>35</v>
      </c>
      <c r="U452" s="103" t="s">
        <v>18</v>
      </c>
      <c r="V452" s="105"/>
    </row>
    <row r="453" spans="1:22" ht="13.5">
      <c r="A453" s="102">
        <v>45635.687343703699</v>
      </c>
      <c r="B453" s="103" t="s">
        <v>41</v>
      </c>
      <c r="C453" s="104" t="str">
        <f t="shared" si="66"/>
        <v>×</v>
      </c>
      <c r="D453" s="104" t="str">
        <f t="shared" si="66"/>
        <v>○</v>
      </c>
      <c r="E453" s="104" t="str">
        <f t="shared" si="66"/>
        <v>×</v>
      </c>
      <c r="F453" s="104" t="str">
        <f t="shared" si="66"/>
        <v>×</v>
      </c>
      <c r="G453" s="103" t="s">
        <v>13</v>
      </c>
      <c r="H453" s="103" t="s">
        <v>77</v>
      </c>
      <c r="I453" s="103" t="s">
        <v>1980</v>
      </c>
      <c r="J453" s="105"/>
      <c r="K453" s="103" t="s">
        <v>16</v>
      </c>
      <c r="L453" s="103" t="s">
        <v>29</v>
      </c>
      <c r="M453" s="108" t="str">
        <f t="shared" si="68"/>
        <v/>
      </c>
      <c r="N453" s="108" t="str">
        <f t="shared" si="68"/>
        <v/>
      </c>
      <c r="O453" s="108" t="str">
        <f t="shared" si="68"/>
        <v/>
      </c>
      <c r="P453" s="108" t="str">
        <f t="shared" si="68"/>
        <v/>
      </c>
      <c r="Q453" s="108" t="str">
        <f t="shared" si="68"/>
        <v/>
      </c>
      <c r="R453" s="103" t="str">
        <f t="shared" si="68"/>
        <v>○</v>
      </c>
      <c r="S453" s="105"/>
      <c r="T453" s="103" t="s">
        <v>30</v>
      </c>
      <c r="U453" s="103" t="s">
        <v>18</v>
      </c>
      <c r="V453" s="105"/>
    </row>
    <row r="454" spans="1:22" ht="13.5">
      <c r="A454" s="102">
        <v>45635.700224270833</v>
      </c>
      <c r="B454" s="103" t="s">
        <v>49</v>
      </c>
      <c r="C454" s="104" t="str">
        <f t="shared" si="66"/>
        <v>×</v>
      </c>
      <c r="D454" s="104" t="str">
        <f t="shared" si="66"/>
        <v>○</v>
      </c>
      <c r="E454" s="104" t="str">
        <f t="shared" si="66"/>
        <v>×</v>
      </c>
      <c r="F454" s="104" t="str">
        <f t="shared" si="66"/>
        <v>×</v>
      </c>
      <c r="G454" s="103" t="s">
        <v>13</v>
      </c>
      <c r="H454" s="103" t="s">
        <v>32</v>
      </c>
      <c r="I454" s="103" t="s">
        <v>1986</v>
      </c>
      <c r="J454" s="105"/>
      <c r="K454" s="103" t="s">
        <v>16</v>
      </c>
      <c r="L454" s="103" t="s">
        <v>107</v>
      </c>
      <c r="M454" s="108" t="str">
        <f t="shared" si="68"/>
        <v/>
      </c>
      <c r="N454" s="108" t="str">
        <f t="shared" si="68"/>
        <v/>
      </c>
      <c r="O454" s="108" t="str">
        <f t="shared" si="68"/>
        <v>○</v>
      </c>
      <c r="P454" s="108" t="str">
        <f t="shared" si="68"/>
        <v/>
      </c>
      <c r="Q454" s="108" t="str">
        <f t="shared" si="68"/>
        <v/>
      </c>
      <c r="R454" s="103" t="str">
        <f t="shared" si="68"/>
        <v/>
      </c>
      <c r="S454" s="105"/>
      <c r="T454" s="103" t="s">
        <v>35</v>
      </c>
      <c r="U454" s="103" t="s">
        <v>18</v>
      </c>
      <c r="V454" s="105"/>
    </row>
    <row r="455" spans="1:22" ht="13.5">
      <c r="A455" s="102">
        <v>45635.725052372683</v>
      </c>
      <c r="B455" s="103" t="s">
        <v>64</v>
      </c>
      <c r="C455" s="104" t="str">
        <f t="shared" si="66"/>
        <v>○</v>
      </c>
      <c r="D455" s="104" t="str">
        <f t="shared" si="66"/>
        <v>○</v>
      </c>
      <c r="E455" s="104" t="str">
        <f t="shared" si="66"/>
        <v>×</v>
      </c>
      <c r="F455" s="104" t="str">
        <f t="shared" si="66"/>
        <v>×</v>
      </c>
      <c r="G455" s="103" t="s">
        <v>13</v>
      </c>
      <c r="H455" s="103" t="s">
        <v>77</v>
      </c>
      <c r="I455" s="103" t="s">
        <v>1987</v>
      </c>
      <c r="J455" s="105"/>
      <c r="K455" s="103" t="s">
        <v>34</v>
      </c>
      <c r="L455" s="105"/>
      <c r="M455" s="110" t="str">
        <f t="shared" si="68"/>
        <v/>
      </c>
      <c r="N455" s="110" t="str">
        <f t="shared" si="68"/>
        <v/>
      </c>
      <c r="O455" s="110" t="str">
        <f t="shared" si="68"/>
        <v/>
      </c>
      <c r="P455" s="110" t="str">
        <f t="shared" si="68"/>
        <v/>
      </c>
      <c r="Q455" s="110" t="str">
        <f t="shared" si="68"/>
        <v/>
      </c>
      <c r="R455" s="105" t="str">
        <f t="shared" si="68"/>
        <v/>
      </c>
      <c r="S455" s="105"/>
      <c r="T455" s="103" t="s">
        <v>35</v>
      </c>
      <c r="U455" s="103" t="s">
        <v>18</v>
      </c>
      <c r="V455" s="105"/>
    </row>
    <row r="456" spans="1:22" ht="13.5">
      <c r="A456" s="102">
        <v>45635.743461296297</v>
      </c>
      <c r="B456" s="103" t="s">
        <v>181</v>
      </c>
      <c r="C456" s="104" t="str">
        <f t="shared" si="66"/>
        <v>×</v>
      </c>
      <c r="D456" s="104" t="str">
        <f t="shared" si="66"/>
        <v>○</v>
      </c>
      <c r="E456" s="104" t="str">
        <f t="shared" si="66"/>
        <v>×</v>
      </c>
      <c r="F456" s="104" t="str">
        <f t="shared" si="66"/>
        <v>×</v>
      </c>
      <c r="G456" s="103" t="s">
        <v>20</v>
      </c>
      <c r="H456" s="105"/>
      <c r="I456" s="105"/>
      <c r="J456" s="103" t="s">
        <v>58</v>
      </c>
      <c r="K456" s="103" t="s">
        <v>16</v>
      </c>
      <c r="L456" s="103" t="s">
        <v>1988</v>
      </c>
      <c r="M456" s="108" t="str">
        <f t="shared" si="68"/>
        <v/>
      </c>
      <c r="N456" s="108" t="str">
        <f t="shared" si="68"/>
        <v/>
      </c>
      <c r="O456" s="108" t="str">
        <f t="shared" si="68"/>
        <v/>
      </c>
      <c r="P456" s="108" t="str">
        <f t="shared" si="68"/>
        <v/>
      </c>
      <c r="Q456" s="108" t="str">
        <f t="shared" si="68"/>
        <v/>
      </c>
      <c r="R456" s="103" t="str">
        <f t="shared" si="68"/>
        <v/>
      </c>
      <c r="S456" s="105"/>
      <c r="T456" s="103" t="s">
        <v>35</v>
      </c>
      <c r="U456" s="103" t="s">
        <v>18</v>
      </c>
      <c r="V456" s="105"/>
    </row>
    <row r="457" spans="1:22" ht="13.5">
      <c r="A457" s="102">
        <v>45635.863297418982</v>
      </c>
      <c r="B457" s="103" t="s">
        <v>49</v>
      </c>
      <c r="C457" s="104" t="str">
        <f t="shared" si="66"/>
        <v>×</v>
      </c>
      <c r="D457" s="104" t="str">
        <f t="shared" si="66"/>
        <v>○</v>
      </c>
      <c r="E457" s="104" t="str">
        <f t="shared" si="66"/>
        <v>×</v>
      </c>
      <c r="F457" s="104" t="str">
        <f t="shared" si="66"/>
        <v>×</v>
      </c>
      <c r="G457" s="103" t="s">
        <v>13</v>
      </c>
      <c r="H457" s="103" t="s">
        <v>27</v>
      </c>
      <c r="I457" s="103" t="s">
        <v>1991</v>
      </c>
      <c r="J457" s="105"/>
      <c r="K457" s="103" t="s">
        <v>34</v>
      </c>
      <c r="L457" s="105"/>
      <c r="M457" s="110" t="str">
        <f t="shared" si="68"/>
        <v/>
      </c>
      <c r="N457" s="110" t="str">
        <f t="shared" si="68"/>
        <v/>
      </c>
      <c r="O457" s="110" t="str">
        <f t="shared" si="68"/>
        <v/>
      </c>
      <c r="P457" s="110" t="str">
        <f t="shared" si="68"/>
        <v/>
      </c>
      <c r="Q457" s="110" t="str">
        <f t="shared" si="68"/>
        <v/>
      </c>
      <c r="R457" s="105" t="str">
        <f t="shared" si="68"/>
        <v/>
      </c>
      <c r="S457" s="105"/>
      <c r="T457" s="103" t="s">
        <v>30</v>
      </c>
      <c r="U457" s="103" t="s">
        <v>18</v>
      </c>
      <c r="V457" s="103" t="s">
        <v>1992</v>
      </c>
    </row>
    <row r="458" spans="1:22" ht="13.5">
      <c r="A458" s="102">
        <v>45635.888005462963</v>
      </c>
      <c r="B458" s="103" t="s">
        <v>57</v>
      </c>
      <c r="C458" s="104" t="str">
        <f t="shared" si="66"/>
        <v>×</v>
      </c>
      <c r="D458" s="104" t="str">
        <f t="shared" si="66"/>
        <v>○</v>
      </c>
      <c r="E458" s="104" t="str">
        <f t="shared" si="66"/>
        <v>×</v>
      </c>
      <c r="F458" s="104" t="str">
        <f t="shared" si="66"/>
        <v>×</v>
      </c>
      <c r="G458" s="103" t="s">
        <v>13</v>
      </c>
      <c r="H458" s="103" t="s">
        <v>27</v>
      </c>
      <c r="I458" s="103" t="s">
        <v>1996</v>
      </c>
      <c r="J458" s="105"/>
      <c r="K458" s="103" t="s">
        <v>34</v>
      </c>
      <c r="L458" s="105"/>
      <c r="M458" s="110" t="str">
        <f t="shared" si="68"/>
        <v/>
      </c>
      <c r="N458" s="110" t="str">
        <f t="shared" si="68"/>
        <v/>
      </c>
      <c r="O458" s="110" t="str">
        <f t="shared" si="68"/>
        <v/>
      </c>
      <c r="P458" s="110" t="str">
        <f t="shared" si="68"/>
        <v/>
      </c>
      <c r="Q458" s="110" t="str">
        <f t="shared" si="68"/>
        <v/>
      </c>
      <c r="R458" s="105" t="str">
        <f t="shared" si="68"/>
        <v/>
      </c>
      <c r="S458" s="105"/>
      <c r="T458" s="103" t="s">
        <v>35</v>
      </c>
      <c r="U458" s="103" t="s">
        <v>18</v>
      </c>
      <c r="V458" s="103" t="s">
        <v>1997</v>
      </c>
    </row>
    <row r="459" spans="1:22" ht="13.5">
      <c r="A459" s="102">
        <v>45635.953554988431</v>
      </c>
      <c r="B459" s="103" t="s">
        <v>2000</v>
      </c>
      <c r="C459" s="104" t="str">
        <f t="shared" si="66"/>
        <v>○</v>
      </c>
      <c r="D459" s="104" t="str">
        <f t="shared" si="66"/>
        <v>○</v>
      </c>
      <c r="E459" s="104" t="str">
        <f t="shared" si="66"/>
        <v>×</v>
      </c>
      <c r="F459" s="104" t="str">
        <f t="shared" si="66"/>
        <v>×</v>
      </c>
      <c r="G459" s="103" t="s">
        <v>13</v>
      </c>
      <c r="H459" s="103" t="s">
        <v>27</v>
      </c>
      <c r="I459" s="103" t="s">
        <v>2001</v>
      </c>
      <c r="J459" s="105"/>
      <c r="K459" s="103" t="s">
        <v>34</v>
      </c>
      <c r="L459" s="105"/>
      <c r="M459" s="110" t="str">
        <f t="shared" si="68"/>
        <v/>
      </c>
      <c r="N459" s="110" t="str">
        <f t="shared" si="68"/>
        <v/>
      </c>
      <c r="O459" s="110" t="str">
        <f t="shared" si="68"/>
        <v/>
      </c>
      <c r="P459" s="110" t="str">
        <f t="shared" si="68"/>
        <v/>
      </c>
      <c r="Q459" s="110" t="str">
        <f t="shared" si="68"/>
        <v/>
      </c>
      <c r="R459" s="105" t="str">
        <f t="shared" si="68"/>
        <v/>
      </c>
      <c r="S459" s="105"/>
      <c r="T459" s="103" t="s">
        <v>61</v>
      </c>
      <c r="U459" s="103" t="s">
        <v>18</v>
      </c>
      <c r="V459" s="105"/>
    </row>
    <row r="460" spans="1:22" ht="13.5">
      <c r="A460" s="102">
        <v>45636.314865497683</v>
      </c>
      <c r="B460" s="103" t="s">
        <v>57</v>
      </c>
      <c r="C460" s="104" t="str">
        <f t="shared" si="66"/>
        <v>×</v>
      </c>
      <c r="D460" s="104" t="str">
        <f t="shared" si="66"/>
        <v>○</v>
      </c>
      <c r="E460" s="104" t="str">
        <f t="shared" si="66"/>
        <v>×</v>
      </c>
      <c r="F460" s="104" t="str">
        <f t="shared" si="66"/>
        <v>×</v>
      </c>
      <c r="G460" s="103" t="s">
        <v>20</v>
      </c>
      <c r="H460" s="105"/>
      <c r="I460" s="105"/>
      <c r="J460" s="103" t="s">
        <v>58</v>
      </c>
      <c r="K460" s="103" t="s">
        <v>16</v>
      </c>
      <c r="L460" s="103" t="s">
        <v>39</v>
      </c>
      <c r="M460" s="108" t="str">
        <f t="shared" si="68"/>
        <v/>
      </c>
      <c r="N460" s="108" t="str">
        <f t="shared" si="68"/>
        <v>○</v>
      </c>
      <c r="O460" s="108" t="str">
        <f t="shared" si="68"/>
        <v/>
      </c>
      <c r="P460" s="108" t="str">
        <f t="shared" si="68"/>
        <v/>
      </c>
      <c r="Q460" s="108" t="str">
        <f t="shared" si="68"/>
        <v/>
      </c>
      <c r="R460" s="103" t="str">
        <f t="shared" si="68"/>
        <v/>
      </c>
      <c r="S460" s="105"/>
      <c r="T460" s="103" t="s">
        <v>30</v>
      </c>
      <c r="U460" s="103" t="s">
        <v>18</v>
      </c>
      <c r="V460" s="103" t="s">
        <v>2010</v>
      </c>
    </row>
    <row r="461" spans="1:22" ht="13.5">
      <c r="A461" s="102">
        <v>45627.377639999999</v>
      </c>
      <c r="B461" s="103" t="s">
        <v>528</v>
      </c>
      <c r="C461" s="104" t="str">
        <f t="shared" si="66"/>
        <v>×</v>
      </c>
      <c r="D461" s="104" t="str">
        <f t="shared" si="66"/>
        <v>○</v>
      </c>
      <c r="E461" s="104" t="str">
        <f t="shared" si="66"/>
        <v>×</v>
      </c>
      <c r="F461" s="104" t="str">
        <f t="shared" si="66"/>
        <v>×</v>
      </c>
      <c r="G461" s="103" t="s">
        <v>13</v>
      </c>
      <c r="H461" s="103" t="s">
        <v>27</v>
      </c>
      <c r="I461" s="103" t="s">
        <v>162</v>
      </c>
      <c r="J461" s="105"/>
      <c r="K461" s="103" t="s">
        <v>34</v>
      </c>
      <c r="L461" s="105"/>
      <c r="M461" s="110" t="str">
        <f t="shared" si="68"/>
        <v/>
      </c>
      <c r="N461" s="110" t="str">
        <f t="shared" si="68"/>
        <v/>
      </c>
      <c r="O461" s="110" t="str">
        <f t="shared" si="68"/>
        <v/>
      </c>
      <c r="P461" s="110" t="str">
        <f t="shared" si="68"/>
        <v/>
      </c>
      <c r="Q461" s="110" t="str">
        <f t="shared" si="68"/>
        <v/>
      </c>
      <c r="R461" s="105" t="str">
        <f t="shared" si="68"/>
        <v/>
      </c>
      <c r="S461" s="105"/>
      <c r="T461" s="103" t="s">
        <v>662</v>
      </c>
      <c r="U461" s="103" t="s">
        <v>663</v>
      </c>
      <c r="V461" s="103" t="s">
        <v>664</v>
      </c>
    </row>
    <row r="462" spans="1:22" ht="13.5">
      <c r="A462" s="102">
        <v>45627.91616403935</v>
      </c>
      <c r="B462" s="103" t="s">
        <v>41</v>
      </c>
      <c r="C462" s="104" t="str">
        <f t="shared" ref="C462:F481" si="69">IF(ISERROR(FIND(C$1,$B462)),"×","○")</f>
        <v>×</v>
      </c>
      <c r="D462" s="104" t="str">
        <f t="shared" si="69"/>
        <v>○</v>
      </c>
      <c r="E462" s="104" t="str">
        <f t="shared" si="69"/>
        <v>×</v>
      </c>
      <c r="F462" s="104" t="str">
        <f t="shared" si="69"/>
        <v>×</v>
      </c>
      <c r="G462" s="103" t="s">
        <v>13</v>
      </c>
      <c r="H462" s="103" t="s">
        <v>27</v>
      </c>
      <c r="I462" s="103" t="s">
        <v>807</v>
      </c>
      <c r="J462" s="105"/>
      <c r="K462" s="103" t="s">
        <v>34</v>
      </c>
      <c r="L462" s="105"/>
      <c r="M462" s="110" t="str">
        <f t="shared" ref="M462:R471" si="70">IF(ISERROR(SEARCH(M$1,$L462)),"","○")</f>
        <v/>
      </c>
      <c r="N462" s="110" t="str">
        <f t="shared" si="70"/>
        <v/>
      </c>
      <c r="O462" s="110" t="str">
        <f t="shared" si="70"/>
        <v/>
      </c>
      <c r="P462" s="110" t="str">
        <f t="shared" si="70"/>
        <v/>
      </c>
      <c r="Q462" s="110" t="str">
        <f t="shared" si="70"/>
        <v/>
      </c>
      <c r="R462" s="105" t="str">
        <f t="shared" si="70"/>
        <v/>
      </c>
      <c r="S462" s="105"/>
      <c r="T462" s="103" t="s">
        <v>24</v>
      </c>
      <c r="U462" s="103" t="s">
        <v>808</v>
      </c>
      <c r="V462" s="103" t="s">
        <v>809</v>
      </c>
    </row>
    <row r="463" spans="1:22" ht="13.5">
      <c r="A463" s="102">
        <v>45625.818186099539</v>
      </c>
      <c r="B463" s="103" t="s">
        <v>264</v>
      </c>
      <c r="C463" s="104" t="str">
        <f t="shared" si="69"/>
        <v>○</v>
      </c>
      <c r="D463" s="104" t="str">
        <f t="shared" si="69"/>
        <v>○</v>
      </c>
      <c r="E463" s="104" t="str">
        <f t="shared" si="69"/>
        <v>×</v>
      </c>
      <c r="F463" s="104" t="str">
        <f t="shared" si="69"/>
        <v>×</v>
      </c>
      <c r="G463" s="103" t="s">
        <v>13</v>
      </c>
      <c r="H463" s="103" t="s">
        <v>32</v>
      </c>
      <c r="I463" s="103" t="s">
        <v>300</v>
      </c>
      <c r="J463" s="105"/>
      <c r="K463" s="103" t="s">
        <v>34</v>
      </c>
      <c r="L463" s="105"/>
      <c r="M463" s="110" t="str">
        <f t="shared" si="70"/>
        <v/>
      </c>
      <c r="N463" s="110" t="str">
        <f t="shared" si="70"/>
        <v/>
      </c>
      <c r="O463" s="110" t="str">
        <f t="shared" si="70"/>
        <v/>
      </c>
      <c r="P463" s="110" t="str">
        <f t="shared" si="70"/>
        <v/>
      </c>
      <c r="Q463" s="110" t="str">
        <f t="shared" si="70"/>
        <v/>
      </c>
      <c r="R463" s="105" t="str">
        <f t="shared" si="70"/>
        <v/>
      </c>
      <c r="S463" s="105"/>
      <c r="T463" s="103" t="s">
        <v>30</v>
      </c>
      <c r="U463" s="103" t="s">
        <v>301</v>
      </c>
      <c r="V463" s="103" t="s">
        <v>302</v>
      </c>
    </row>
    <row r="464" spans="1:22" ht="13.5">
      <c r="A464" s="102">
        <v>45628.903933078705</v>
      </c>
      <c r="B464" s="103" t="s">
        <v>528</v>
      </c>
      <c r="C464" s="104" t="str">
        <f t="shared" si="69"/>
        <v>×</v>
      </c>
      <c r="D464" s="104" t="str">
        <f t="shared" si="69"/>
        <v>○</v>
      </c>
      <c r="E464" s="104" t="str">
        <f t="shared" si="69"/>
        <v>×</v>
      </c>
      <c r="F464" s="104" t="str">
        <f t="shared" si="69"/>
        <v>×</v>
      </c>
      <c r="G464" s="103" t="s">
        <v>13</v>
      </c>
      <c r="H464" s="103" t="s">
        <v>27</v>
      </c>
      <c r="I464" s="103" t="s">
        <v>1226</v>
      </c>
      <c r="J464" s="105"/>
      <c r="K464" s="103" t="s">
        <v>34</v>
      </c>
      <c r="L464" s="105"/>
      <c r="M464" s="110" t="str">
        <f t="shared" si="70"/>
        <v/>
      </c>
      <c r="N464" s="110" t="str">
        <f t="shared" si="70"/>
        <v/>
      </c>
      <c r="O464" s="110" t="str">
        <f t="shared" si="70"/>
        <v/>
      </c>
      <c r="P464" s="110" t="str">
        <f t="shared" si="70"/>
        <v/>
      </c>
      <c r="Q464" s="110" t="str">
        <f t="shared" si="70"/>
        <v/>
      </c>
      <c r="R464" s="105" t="str">
        <f t="shared" si="70"/>
        <v/>
      </c>
      <c r="S464" s="105"/>
      <c r="T464" s="103" t="s">
        <v>61</v>
      </c>
      <c r="U464" s="103" t="s">
        <v>1227</v>
      </c>
      <c r="V464" s="103" t="s">
        <v>1228</v>
      </c>
    </row>
    <row r="465" spans="1:22" ht="13.5">
      <c r="A465" s="102">
        <v>45626.376072106483</v>
      </c>
      <c r="B465" s="103" t="s">
        <v>93</v>
      </c>
      <c r="C465" s="104" t="str">
        <f t="shared" si="69"/>
        <v>×</v>
      </c>
      <c r="D465" s="104" t="str">
        <f t="shared" si="69"/>
        <v>×</v>
      </c>
      <c r="E465" s="104" t="str">
        <f t="shared" si="69"/>
        <v>○</v>
      </c>
      <c r="F465" s="104" t="str">
        <f t="shared" si="69"/>
        <v>×</v>
      </c>
      <c r="G465" s="103" t="s">
        <v>20</v>
      </c>
      <c r="H465" s="105"/>
      <c r="I465" s="105"/>
      <c r="J465" s="103" t="s">
        <v>21</v>
      </c>
      <c r="K465" s="103" t="s">
        <v>34</v>
      </c>
      <c r="L465" s="105"/>
      <c r="M465" s="110" t="str">
        <f t="shared" si="70"/>
        <v/>
      </c>
      <c r="N465" s="110" t="str">
        <f t="shared" si="70"/>
        <v/>
      </c>
      <c r="O465" s="110" t="str">
        <f t="shared" si="70"/>
        <v/>
      </c>
      <c r="P465" s="110" t="str">
        <f t="shared" si="70"/>
        <v/>
      </c>
      <c r="Q465" s="110" t="str">
        <f t="shared" si="70"/>
        <v/>
      </c>
      <c r="R465" s="105" t="str">
        <f t="shared" si="70"/>
        <v/>
      </c>
      <c r="S465" s="105"/>
      <c r="T465" s="103" t="s">
        <v>35</v>
      </c>
      <c r="U465" s="103" t="s">
        <v>483</v>
      </c>
      <c r="V465" s="105"/>
    </row>
    <row r="466" spans="1:22" ht="13.5">
      <c r="A466" s="102">
        <v>45626.49445982639</v>
      </c>
      <c r="B466" s="103" t="s">
        <v>105</v>
      </c>
      <c r="C466" s="104" t="str">
        <f t="shared" si="69"/>
        <v>×</v>
      </c>
      <c r="D466" s="104" t="str">
        <f t="shared" si="69"/>
        <v>×</v>
      </c>
      <c r="E466" s="104" t="str">
        <f t="shared" si="69"/>
        <v>○</v>
      </c>
      <c r="F466" s="104" t="str">
        <f t="shared" si="69"/>
        <v>×</v>
      </c>
      <c r="G466" s="103" t="s">
        <v>13</v>
      </c>
      <c r="H466" s="103" t="s">
        <v>32</v>
      </c>
      <c r="I466" s="103" t="s">
        <v>542</v>
      </c>
      <c r="J466" s="105"/>
      <c r="K466" s="103" t="s">
        <v>34</v>
      </c>
      <c r="L466" s="105"/>
      <c r="M466" s="110" t="str">
        <f t="shared" si="70"/>
        <v/>
      </c>
      <c r="N466" s="110" t="str">
        <f t="shared" si="70"/>
        <v/>
      </c>
      <c r="O466" s="110" t="str">
        <f t="shared" si="70"/>
        <v/>
      </c>
      <c r="P466" s="110" t="str">
        <f t="shared" si="70"/>
        <v/>
      </c>
      <c r="Q466" s="110" t="str">
        <f t="shared" si="70"/>
        <v/>
      </c>
      <c r="R466" s="105" t="str">
        <f t="shared" si="70"/>
        <v/>
      </c>
      <c r="S466" s="105"/>
      <c r="T466" s="103" t="s">
        <v>543</v>
      </c>
      <c r="U466" s="103" t="s">
        <v>544</v>
      </c>
      <c r="V466" s="105"/>
    </row>
    <row r="467" spans="1:22" ht="13.5">
      <c r="A467" s="102">
        <v>45625.992243865738</v>
      </c>
      <c r="B467" s="103" t="s">
        <v>49</v>
      </c>
      <c r="C467" s="104" t="str">
        <f t="shared" si="69"/>
        <v>×</v>
      </c>
      <c r="D467" s="104" t="str">
        <f t="shared" si="69"/>
        <v>○</v>
      </c>
      <c r="E467" s="104" t="str">
        <f t="shared" si="69"/>
        <v>×</v>
      </c>
      <c r="F467" s="104" t="str">
        <f t="shared" si="69"/>
        <v>×</v>
      </c>
      <c r="G467" s="103" t="s">
        <v>20</v>
      </c>
      <c r="H467" s="105"/>
      <c r="I467" s="105"/>
      <c r="J467" s="103" t="s">
        <v>21</v>
      </c>
      <c r="K467" s="103" t="s">
        <v>16</v>
      </c>
      <c r="L467" s="103" t="s">
        <v>39</v>
      </c>
      <c r="M467" s="108" t="str">
        <f t="shared" si="70"/>
        <v/>
      </c>
      <c r="N467" s="108" t="str">
        <f t="shared" si="70"/>
        <v>○</v>
      </c>
      <c r="O467" s="108" t="str">
        <f t="shared" si="70"/>
        <v/>
      </c>
      <c r="P467" s="108" t="str">
        <f t="shared" si="70"/>
        <v/>
      </c>
      <c r="Q467" s="108" t="str">
        <f t="shared" si="70"/>
        <v/>
      </c>
      <c r="R467" s="103" t="str">
        <f t="shared" si="70"/>
        <v/>
      </c>
      <c r="S467" s="105"/>
      <c r="T467" s="103" t="s">
        <v>30</v>
      </c>
      <c r="U467" s="103" t="s">
        <v>393</v>
      </c>
      <c r="V467" s="105"/>
    </row>
    <row r="468" spans="1:22" ht="13.5">
      <c r="A468" s="102">
        <v>45625.858901712963</v>
      </c>
      <c r="B468" s="103" t="s">
        <v>315</v>
      </c>
      <c r="C468" s="104" t="str">
        <f t="shared" si="69"/>
        <v>×</v>
      </c>
      <c r="D468" s="104" t="str">
        <f t="shared" si="69"/>
        <v>○</v>
      </c>
      <c r="E468" s="104" t="str">
        <f t="shared" si="69"/>
        <v>×</v>
      </c>
      <c r="F468" s="104" t="str">
        <f t="shared" si="69"/>
        <v>×</v>
      </c>
      <c r="G468" s="103" t="s">
        <v>20</v>
      </c>
      <c r="H468" s="105"/>
      <c r="I468" s="105"/>
      <c r="J468" s="103" t="s">
        <v>38</v>
      </c>
      <c r="K468" s="103" t="s">
        <v>16</v>
      </c>
      <c r="L468" s="103" t="s">
        <v>39</v>
      </c>
      <c r="M468" s="108" t="str">
        <f t="shared" si="70"/>
        <v/>
      </c>
      <c r="N468" s="108" t="str">
        <f t="shared" si="70"/>
        <v>○</v>
      </c>
      <c r="O468" s="108" t="str">
        <f t="shared" si="70"/>
        <v/>
      </c>
      <c r="P468" s="108" t="str">
        <f t="shared" si="70"/>
        <v/>
      </c>
      <c r="Q468" s="108" t="str">
        <f t="shared" si="70"/>
        <v/>
      </c>
      <c r="R468" s="103" t="str">
        <f t="shared" si="70"/>
        <v/>
      </c>
      <c r="S468" s="105"/>
      <c r="T468" s="103" t="s">
        <v>30</v>
      </c>
      <c r="U468" s="103" t="s">
        <v>316</v>
      </c>
      <c r="V468" s="105"/>
    </row>
    <row r="469" spans="1:22" ht="67.5">
      <c r="A469" s="106">
        <v>45621.471249363429</v>
      </c>
      <c r="B469" s="104" t="s">
        <v>57</v>
      </c>
      <c r="C469" s="104" t="str">
        <f t="shared" si="69"/>
        <v>×</v>
      </c>
      <c r="D469" s="104" t="str">
        <f t="shared" si="69"/>
        <v>○</v>
      </c>
      <c r="E469" s="104" t="str">
        <f t="shared" si="69"/>
        <v>×</v>
      </c>
      <c r="F469" s="104" t="str">
        <f t="shared" si="69"/>
        <v>×</v>
      </c>
      <c r="G469" s="104" t="s">
        <v>20</v>
      </c>
      <c r="H469" s="104"/>
      <c r="I469" s="104"/>
      <c r="J469" s="104" t="s">
        <v>58</v>
      </c>
      <c r="K469" s="104" t="s">
        <v>16</v>
      </c>
      <c r="L469" s="104" t="s">
        <v>59</v>
      </c>
      <c r="M469" s="109" t="str">
        <f t="shared" si="70"/>
        <v/>
      </c>
      <c r="N469" s="109" t="str">
        <f t="shared" si="70"/>
        <v/>
      </c>
      <c r="O469" s="109" t="str">
        <f t="shared" si="70"/>
        <v/>
      </c>
      <c r="P469" s="109" t="str">
        <f t="shared" si="70"/>
        <v>○</v>
      </c>
      <c r="Q469" s="109" t="str">
        <f t="shared" si="70"/>
        <v/>
      </c>
      <c r="R469" s="104" t="str">
        <f t="shared" si="70"/>
        <v/>
      </c>
      <c r="S469" s="104" t="s">
        <v>60</v>
      </c>
      <c r="T469" s="104" t="s">
        <v>61</v>
      </c>
      <c r="U469" s="104" t="s">
        <v>62</v>
      </c>
      <c r="V469" s="104" t="s">
        <v>63</v>
      </c>
    </row>
    <row r="470" spans="1:22" ht="54">
      <c r="A470" s="106">
        <v>45621.46602133102</v>
      </c>
      <c r="B470" s="104" t="s">
        <v>49</v>
      </c>
      <c r="C470" s="104" t="str">
        <f t="shared" si="69"/>
        <v>×</v>
      </c>
      <c r="D470" s="104" t="str">
        <f t="shared" si="69"/>
        <v>○</v>
      </c>
      <c r="E470" s="104" t="str">
        <f t="shared" si="69"/>
        <v>×</v>
      </c>
      <c r="F470" s="104" t="str">
        <f t="shared" si="69"/>
        <v>×</v>
      </c>
      <c r="G470" s="104" t="s">
        <v>13</v>
      </c>
      <c r="H470" s="104" t="s">
        <v>14</v>
      </c>
      <c r="I470" s="104" t="s">
        <v>55</v>
      </c>
      <c r="J470" s="104"/>
      <c r="K470" s="104" t="s">
        <v>34</v>
      </c>
      <c r="L470" s="104"/>
      <c r="M470" s="109" t="str">
        <f t="shared" si="70"/>
        <v/>
      </c>
      <c r="N470" s="109" t="str">
        <f t="shared" si="70"/>
        <v/>
      </c>
      <c r="O470" s="109" t="str">
        <f t="shared" si="70"/>
        <v/>
      </c>
      <c r="P470" s="109" t="str">
        <f t="shared" si="70"/>
        <v/>
      </c>
      <c r="Q470" s="109" t="str">
        <f t="shared" si="70"/>
        <v/>
      </c>
      <c r="R470" s="104" t="str">
        <f t="shared" si="70"/>
        <v/>
      </c>
      <c r="S470" s="104"/>
      <c r="T470" s="104" t="s">
        <v>35</v>
      </c>
      <c r="U470" s="104" t="s">
        <v>56</v>
      </c>
      <c r="V470" s="104"/>
    </row>
    <row r="471" spans="1:22" ht="40.5">
      <c r="A471" s="106">
        <v>45621.474580104172</v>
      </c>
      <c r="B471" s="104" t="s">
        <v>67</v>
      </c>
      <c r="C471" s="104" t="str">
        <f t="shared" si="69"/>
        <v>×</v>
      </c>
      <c r="D471" s="104" t="str">
        <f t="shared" si="69"/>
        <v>○</v>
      </c>
      <c r="E471" s="104" t="str">
        <f t="shared" si="69"/>
        <v>×</v>
      </c>
      <c r="F471" s="104" t="str">
        <f t="shared" si="69"/>
        <v>×</v>
      </c>
      <c r="G471" s="104" t="s">
        <v>20</v>
      </c>
      <c r="H471" s="104"/>
      <c r="I471" s="104"/>
      <c r="J471" s="104" t="s">
        <v>21</v>
      </c>
      <c r="K471" s="104" t="s">
        <v>16</v>
      </c>
      <c r="L471" s="104" t="s">
        <v>68</v>
      </c>
      <c r="M471" s="109" t="str">
        <f t="shared" si="70"/>
        <v/>
      </c>
      <c r="N471" s="109" t="str">
        <f t="shared" si="70"/>
        <v/>
      </c>
      <c r="O471" s="109" t="str">
        <f t="shared" si="70"/>
        <v/>
      </c>
      <c r="P471" s="109" t="str">
        <f t="shared" si="70"/>
        <v/>
      </c>
      <c r="Q471" s="109" t="str">
        <f t="shared" si="70"/>
        <v>○</v>
      </c>
      <c r="R471" s="104" t="str">
        <f t="shared" si="70"/>
        <v/>
      </c>
      <c r="S471" s="104" t="s">
        <v>69</v>
      </c>
      <c r="T471" s="104" t="s">
        <v>24</v>
      </c>
      <c r="U471" s="104" t="s">
        <v>56</v>
      </c>
      <c r="V471" s="104" t="s">
        <v>70</v>
      </c>
    </row>
    <row r="472" spans="1:22" ht="13.5">
      <c r="A472" s="102">
        <v>45624.739863252311</v>
      </c>
      <c r="B472" s="103" t="s">
        <v>87</v>
      </c>
      <c r="C472" s="104" t="str">
        <f t="shared" si="69"/>
        <v>×</v>
      </c>
      <c r="D472" s="104" t="str">
        <f t="shared" si="69"/>
        <v>○</v>
      </c>
      <c r="E472" s="104" t="str">
        <f t="shared" si="69"/>
        <v>○</v>
      </c>
      <c r="F472" s="104" t="str">
        <f t="shared" si="69"/>
        <v>×</v>
      </c>
      <c r="G472" s="103" t="s">
        <v>20</v>
      </c>
      <c r="H472" s="105"/>
      <c r="I472" s="105"/>
      <c r="J472" s="103" t="s">
        <v>58</v>
      </c>
      <c r="K472" s="103" t="s">
        <v>16</v>
      </c>
      <c r="L472" s="103" t="s">
        <v>88</v>
      </c>
      <c r="M472" s="108" t="str">
        <f t="shared" ref="M472:R481" si="71">IF(ISERROR(SEARCH(M$1,$L472)),"","○")</f>
        <v/>
      </c>
      <c r="N472" s="108" t="str">
        <f t="shared" si="71"/>
        <v>○</v>
      </c>
      <c r="O472" s="108" t="str">
        <f t="shared" si="71"/>
        <v/>
      </c>
      <c r="P472" s="108" t="str">
        <f t="shared" si="71"/>
        <v/>
      </c>
      <c r="Q472" s="108" t="str">
        <f t="shared" si="71"/>
        <v>○</v>
      </c>
      <c r="R472" s="103" t="str">
        <f t="shared" si="71"/>
        <v/>
      </c>
      <c r="S472" s="103" t="s">
        <v>89</v>
      </c>
      <c r="T472" s="103" t="s">
        <v>30</v>
      </c>
      <c r="U472" s="103" t="s">
        <v>56</v>
      </c>
      <c r="V472" s="105"/>
    </row>
    <row r="473" spans="1:22" ht="13.5">
      <c r="A473" s="102">
        <v>45624.826696469907</v>
      </c>
      <c r="B473" s="103" t="s">
        <v>90</v>
      </c>
      <c r="C473" s="104" t="str">
        <f t="shared" si="69"/>
        <v>×</v>
      </c>
      <c r="D473" s="104" t="str">
        <f t="shared" si="69"/>
        <v>×</v>
      </c>
      <c r="E473" s="104" t="str">
        <f t="shared" si="69"/>
        <v>○</v>
      </c>
      <c r="F473" s="104" t="str">
        <f t="shared" si="69"/>
        <v>×</v>
      </c>
      <c r="G473" s="103" t="s">
        <v>20</v>
      </c>
      <c r="H473" s="105"/>
      <c r="I473" s="105"/>
      <c r="J473" s="103" t="s">
        <v>21</v>
      </c>
      <c r="K473" s="103" t="s">
        <v>16</v>
      </c>
      <c r="L473" s="103" t="s">
        <v>88</v>
      </c>
      <c r="M473" s="108" t="str">
        <f t="shared" si="71"/>
        <v/>
      </c>
      <c r="N473" s="108" t="str">
        <f t="shared" si="71"/>
        <v>○</v>
      </c>
      <c r="O473" s="108" t="str">
        <f t="shared" si="71"/>
        <v/>
      </c>
      <c r="P473" s="108" t="str">
        <f t="shared" si="71"/>
        <v/>
      </c>
      <c r="Q473" s="108" t="str">
        <f t="shared" si="71"/>
        <v>○</v>
      </c>
      <c r="R473" s="103" t="str">
        <f t="shared" si="71"/>
        <v/>
      </c>
      <c r="S473" s="103" t="s">
        <v>104</v>
      </c>
      <c r="T473" s="103" t="s">
        <v>30</v>
      </c>
      <c r="U473" s="103" t="s">
        <v>56</v>
      </c>
      <c r="V473" s="105"/>
    </row>
    <row r="474" spans="1:22" ht="13.5">
      <c r="A474" s="102">
        <v>45624.829183657406</v>
      </c>
      <c r="B474" s="103" t="s">
        <v>105</v>
      </c>
      <c r="C474" s="104" t="str">
        <f t="shared" si="69"/>
        <v>×</v>
      </c>
      <c r="D474" s="104" t="str">
        <f t="shared" si="69"/>
        <v>×</v>
      </c>
      <c r="E474" s="104" t="str">
        <f t="shared" si="69"/>
        <v>○</v>
      </c>
      <c r="F474" s="104" t="str">
        <f t="shared" si="69"/>
        <v>×</v>
      </c>
      <c r="G474" s="103" t="s">
        <v>20</v>
      </c>
      <c r="H474" s="105"/>
      <c r="I474" s="105"/>
      <c r="J474" s="103" t="s">
        <v>106</v>
      </c>
      <c r="K474" s="103" t="s">
        <v>16</v>
      </c>
      <c r="L474" s="103" t="s">
        <v>107</v>
      </c>
      <c r="M474" s="108" t="str">
        <f t="shared" si="71"/>
        <v/>
      </c>
      <c r="N474" s="108" t="str">
        <f t="shared" si="71"/>
        <v/>
      </c>
      <c r="O474" s="108" t="str">
        <f t="shared" si="71"/>
        <v>○</v>
      </c>
      <c r="P474" s="108" t="str">
        <f t="shared" si="71"/>
        <v/>
      </c>
      <c r="Q474" s="108" t="str">
        <f t="shared" si="71"/>
        <v/>
      </c>
      <c r="R474" s="103" t="str">
        <f t="shared" si="71"/>
        <v/>
      </c>
      <c r="S474" s="105"/>
      <c r="T474" s="103" t="s">
        <v>35</v>
      </c>
      <c r="U474" s="103" t="s">
        <v>56</v>
      </c>
      <c r="V474" s="105"/>
    </row>
    <row r="475" spans="1:22" ht="13.5">
      <c r="A475" s="102">
        <v>45624.865221273147</v>
      </c>
      <c r="B475" s="103" t="s">
        <v>84</v>
      </c>
      <c r="C475" s="104" t="str">
        <f t="shared" si="69"/>
        <v>×</v>
      </c>
      <c r="D475" s="104" t="str">
        <f t="shared" si="69"/>
        <v>×</v>
      </c>
      <c r="E475" s="104" t="str">
        <f t="shared" si="69"/>
        <v>○</v>
      </c>
      <c r="F475" s="104" t="str">
        <f t="shared" si="69"/>
        <v>×</v>
      </c>
      <c r="G475" s="103" t="s">
        <v>13</v>
      </c>
      <c r="H475" s="103" t="s">
        <v>32</v>
      </c>
      <c r="I475" s="103" t="s">
        <v>121</v>
      </c>
      <c r="J475" s="105"/>
      <c r="K475" s="103" t="s">
        <v>34</v>
      </c>
      <c r="L475" s="105"/>
      <c r="M475" s="110" t="str">
        <f t="shared" si="71"/>
        <v/>
      </c>
      <c r="N475" s="110" t="str">
        <f t="shared" si="71"/>
        <v/>
      </c>
      <c r="O475" s="110" t="str">
        <f t="shared" si="71"/>
        <v/>
      </c>
      <c r="P475" s="110" t="str">
        <f t="shared" si="71"/>
        <v/>
      </c>
      <c r="Q475" s="110" t="str">
        <f t="shared" si="71"/>
        <v/>
      </c>
      <c r="R475" s="105" t="str">
        <f t="shared" si="71"/>
        <v/>
      </c>
      <c r="S475" s="105"/>
      <c r="T475" s="103" t="s">
        <v>24</v>
      </c>
      <c r="U475" s="103" t="s">
        <v>56</v>
      </c>
      <c r="V475" s="103" t="s">
        <v>122</v>
      </c>
    </row>
    <row r="476" spans="1:22" ht="13.5">
      <c r="A476" s="102">
        <v>45624.956193402773</v>
      </c>
      <c r="B476" s="103" t="s">
        <v>105</v>
      </c>
      <c r="C476" s="104" t="str">
        <f t="shared" si="69"/>
        <v>×</v>
      </c>
      <c r="D476" s="104" t="str">
        <f t="shared" si="69"/>
        <v>×</v>
      </c>
      <c r="E476" s="104" t="str">
        <f t="shared" si="69"/>
        <v>○</v>
      </c>
      <c r="F476" s="104" t="str">
        <f t="shared" si="69"/>
        <v>×</v>
      </c>
      <c r="G476" s="103" t="s">
        <v>20</v>
      </c>
      <c r="H476" s="105"/>
      <c r="I476" s="105"/>
      <c r="J476" s="103" t="s">
        <v>128</v>
      </c>
      <c r="K476" s="103" t="s">
        <v>34</v>
      </c>
      <c r="L476" s="105"/>
      <c r="M476" s="110" t="str">
        <f t="shared" si="71"/>
        <v/>
      </c>
      <c r="N476" s="110" t="str">
        <f t="shared" si="71"/>
        <v/>
      </c>
      <c r="O476" s="110" t="str">
        <f t="shared" si="71"/>
        <v/>
      </c>
      <c r="P476" s="110" t="str">
        <f t="shared" si="71"/>
        <v/>
      </c>
      <c r="Q476" s="110" t="str">
        <f t="shared" si="71"/>
        <v/>
      </c>
      <c r="R476" s="105" t="str">
        <f t="shared" si="71"/>
        <v/>
      </c>
      <c r="S476" s="105"/>
      <c r="T476" s="103" t="s">
        <v>30</v>
      </c>
      <c r="U476" s="103" t="s">
        <v>56</v>
      </c>
      <c r="V476" s="105"/>
    </row>
    <row r="477" spans="1:22" ht="13.5">
      <c r="A477" s="102">
        <v>45625.047864768523</v>
      </c>
      <c r="B477" s="103" t="s">
        <v>131</v>
      </c>
      <c r="C477" s="104" t="str">
        <f t="shared" si="69"/>
        <v>×</v>
      </c>
      <c r="D477" s="104" t="str">
        <f t="shared" si="69"/>
        <v>○</v>
      </c>
      <c r="E477" s="104" t="str">
        <f t="shared" si="69"/>
        <v>○</v>
      </c>
      <c r="F477" s="104" t="str">
        <f t="shared" si="69"/>
        <v>×</v>
      </c>
      <c r="G477" s="103" t="s">
        <v>13</v>
      </c>
      <c r="H477" s="103" t="s">
        <v>27</v>
      </c>
      <c r="I477" s="103" t="s">
        <v>132</v>
      </c>
      <c r="J477" s="105"/>
      <c r="K477" s="103" t="s">
        <v>34</v>
      </c>
      <c r="L477" s="105"/>
      <c r="M477" s="110" t="str">
        <f t="shared" si="71"/>
        <v/>
      </c>
      <c r="N477" s="110" t="str">
        <f t="shared" si="71"/>
        <v/>
      </c>
      <c r="O477" s="110" t="str">
        <f t="shared" si="71"/>
        <v/>
      </c>
      <c r="P477" s="110" t="str">
        <f t="shared" si="71"/>
        <v/>
      </c>
      <c r="Q477" s="110" t="str">
        <f t="shared" si="71"/>
        <v/>
      </c>
      <c r="R477" s="105" t="str">
        <f t="shared" si="71"/>
        <v/>
      </c>
      <c r="S477" s="105"/>
      <c r="T477" s="103" t="s">
        <v>30</v>
      </c>
      <c r="U477" s="103" t="s">
        <v>56</v>
      </c>
      <c r="V477" s="103" t="s">
        <v>133</v>
      </c>
    </row>
    <row r="478" spans="1:22" ht="13.5">
      <c r="A478" s="102">
        <v>45625.327250405091</v>
      </c>
      <c r="B478" s="103" t="s">
        <v>84</v>
      </c>
      <c r="C478" s="104" t="str">
        <f t="shared" si="69"/>
        <v>×</v>
      </c>
      <c r="D478" s="104" t="str">
        <f t="shared" si="69"/>
        <v>×</v>
      </c>
      <c r="E478" s="104" t="str">
        <f t="shared" si="69"/>
        <v>○</v>
      </c>
      <c r="F478" s="104" t="str">
        <f t="shared" si="69"/>
        <v>×</v>
      </c>
      <c r="G478" s="103" t="s">
        <v>13</v>
      </c>
      <c r="H478" s="103" t="s">
        <v>32</v>
      </c>
      <c r="I478" s="103" t="s">
        <v>136</v>
      </c>
      <c r="J478" s="105"/>
      <c r="K478" s="103" t="s">
        <v>16</v>
      </c>
      <c r="L478" s="103" t="s">
        <v>137</v>
      </c>
      <c r="M478" s="108" t="str">
        <f t="shared" si="71"/>
        <v/>
      </c>
      <c r="N478" s="108" t="str">
        <f t="shared" si="71"/>
        <v/>
      </c>
      <c r="O478" s="108" t="str">
        <f t="shared" si="71"/>
        <v/>
      </c>
      <c r="P478" s="108" t="str">
        <f t="shared" si="71"/>
        <v/>
      </c>
      <c r="Q478" s="108" t="str">
        <f t="shared" si="71"/>
        <v/>
      </c>
      <c r="R478" s="103" t="str">
        <f t="shared" si="71"/>
        <v/>
      </c>
      <c r="S478" s="105"/>
      <c r="T478" s="103" t="s">
        <v>24</v>
      </c>
      <c r="U478" s="103" t="s">
        <v>56</v>
      </c>
      <c r="V478" s="105"/>
    </row>
    <row r="479" spans="1:22" ht="13.5">
      <c r="A479" s="102">
        <v>45625.328254247681</v>
      </c>
      <c r="B479" s="103" t="s">
        <v>105</v>
      </c>
      <c r="C479" s="104" t="str">
        <f t="shared" si="69"/>
        <v>×</v>
      </c>
      <c r="D479" s="104" t="str">
        <f t="shared" si="69"/>
        <v>×</v>
      </c>
      <c r="E479" s="104" t="str">
        <f t="shared" si="69"/>
        <v>○</v>
      </c>
      <c r="F479" s="104" t="str">
        <f t="shared" si="69"/>
        <v>×</v>
      </c>
      <c r="G479" s="103" t="s">
        <v>13</v>
      </c>
      <c r="H479" s="103" t="s">
        <v>27</v>
      </c>
      <c r="I479" s="103" t="s">
        <v>138</v>
      </c>
      <c r="J479" s="105"/>
      <c r="K479" s="103" t="s">
        <v>34</v>
      </c>
      <c r="L479" s="105"/>
      <c r="M479" s="110" t="str">
        <f t="shared" si="71"/>
        <v/>
      </c>
      <c r="N479" s="110" t="str">
        <f t="shared" si="71"/>
        <v/>
      </c>
      <c r="O479" s="110" t="str">
        <f t="shared" si="71"/>
        <v/>
      </c>
      <c r="P479" s="110" t="str">
        <f t="shared" si="71"/>
        <v/>
      </c>
      <c r="Q479" s="110" t="str">
        <f t="shared" si="71"/>
        <v/>
      </c>
      <c r="R479" s="105" t="str">
        <f t="shared" si="71"/>
        <v/>
      </c>
      <c r="S479" s="105"/>
      <c r="T479" s="103" t="s">
        <v>35</v>
      </c>
      <c r="U479" s="103" t="s">
        <v>56</v>
      </c>
      <c r="V479" s="103" t="s">
        <v>139</v>
      </c>
    </row>
    <row r="480" spans="1:22" ht="13.5">
      <c r="A480" s="102">
        <v>45625.355597349539</v>
      </c>
      <c r="B480" s="103" t="s">
        <v>144</v>
      </c>
      <c r="C480" s="104" t="str">
        <f t="shared" si="69"/>
        <v>×</v>
      </c>
      <c r="D480" s="104" t="str">
        <f t="shared" si="69"/>
        <v>○</v>
      </c>
      <c r="E480" s="104" t="str">
        <f t="shared" si="69"/>
        <v>○</v>
      </c>
      <c r="F480" s="104" t="str">
        <f t="shared" si="69"/>
        <v>×</v>
      </c>
      <c r="G480" s="103" t="s">
        <v>13</v>
      </c>
      <c r="H480" s="103" t="s">
        <v>32</v>
      </c>
      <c r="I480" s="103" t="s">
        <v>145</v>
      </c>
      <c r="J480" s="105"/>
      <c r="K480" s="103" t="s">
        <v>34</v>
      </c>
      <c r="L480" s="105"/>
      <c r="M480" s="110" t="str">
        <f t="shared" si="71"/>
        <v/>
      </c>
      <c r="N480" s="110" t="str">
        <f t="shared" si="71"/>
        <v/>
      </c>
      <c r="O480" s="110" t="str">
        <f t="shared" si="71"/>
        <v/>
      </c>
      <c r="P480" s="110" t="str">
        <f t="shared" si="71"/>
        <v/>
      </c>
      <c r="Q480" s="110" t="str">
        <f t="shared" si="71"/>
        <v/>
      </c>
      <c r="R480" s="105" t="str">
        <f t="shared" si="71"/>
        <v/>
      </c>
      <c r="S480" s="105"/>
      <c r="T480" s="103" t="s">
        <v>35</v>
      </c>
      <c r="U480" s="103" t="s">
        <v>56</v>
      </c>
      <c r="V480" s="103" t="s">
        <v>146</v>
      </c>
    </row>
    <row r="481" spans="1:22" ht="13.5">
      <c r="A481" s="102">
        <v>45625.683955405097</v>
      </c>
      <c r="B481" s="103" t="s">
        <v>164</v>
      </c>
      <c r="C481" s="104" t="str">
        <f t="shared" si="69"/>
        <v>×</v>
      </c>
      <c r="D481" s="104" t="str">
        <f t="shared" si="69"/>
        <v>○</v>
      </c>
      <c r="E481" s="104" t="str">
        <f t="shared" si="69"/>
        <v>×</v>
      </c>
      <c r="F481" s="104" t="str">
        <f t="shared" si="69"/>
        <v>×</v>
      </c>
      <c r="G481" s="103" t="s">
        <v>20</v>
      </c>
      <c r="H481" s="105"/>
      <c r="I481" s="105"/>
      <c r="J481" s="103" t="s">
        <v>21</v>
      </c>
      <c r="K481" s="103" t="s">
        <v>16</v>
      </c>
      <c r="L481" s="103" t="s">
        <v>39</v>
      </c>
      <c r="M481" s="108" t="str">
        <f t="shared" si="71"/>
        <v/>
      </c>
      <c r="N481" s="108" t="str">
        <f t="shared" si="71"/>
        <v>○</v>
      </c>
      <c r="O481" s="108" t="str">
        <f t="shared" si="71"/>
        <v/>
      </c>
      <c r="P481" s="108" t="str">
        <f t="shared" si="71"/>
        <v/>
      </c>
      <c r="Q481" s="108" t="str">
        <f t="shared" si="71"/>
        <v/>
      </c>
      <c r="R481" s="103" t="str">
        <f t="shared" si="71"/>
        <v/>
      </c>
      <c r="S481" s="105"/>
      <c r="T481" s="103" t="s">
        <v>30</v>
      </c>
      <c r="U481" s="103" t="s">
        <v>56</v>
      </c>
      <c r="V481" s="105"/>
    </row>
    <row r="482" spans="1:22" ht="13.5">
      <c r="A482" s="102">
        <v>45625.704644791665</v>
      </c>
      <c r="B482" s="103" t="s">
        <v>49</v>
      </c>
      <c r="C482" s="104" t="str">
        <f t="shared" ref="C482:F501" si="72">IF(ISERROR(FIND(C$1,$B482)),"×","○")</f>
        <v>×</v>
      </c>
      <c r="D482" s="104" t="str">
        <f t="shared" si="72"/>
        <v>○</v>
      </c>
      <c r="E482" s="104" t="str">
        <f t="shared" si="72"/>
        <v>×</v>
      </c>
      <c r="F482" s="104" t="str">
        <f t="shared" si="72"/>
        <v>×</v>
      </c>
      <c r="G482" s="103" t="s">
        <v>13</v>
      </c>
      <c r="H482" s="103" t="s">
        <v>32</v>
      </c>
      <c r="I482" s="103" t="s">
        <v>206</v>
      </c>
      <c r="J482" s="105"/>
      <c r="K482" s="103" t="s">
        <v>16</v>
      </c>
      <c r="L482" s="103" t="s">
        <v>207</v>
      </c>
      <c r="M482" s="108" t="str">
        <f t="shared" ref="M482:R491" si="73">IF(ISERROR(SEARCH(M$1,$L482)),"","○")</f>
        <v/>
      </c>
      <c r="N482" s="108" t="str">
        <f t="shared" si="73"/>
        <v/>
      </c>
      <c r="O482" s="108" t="str">
        <f t="shared" si="73"/>
        <v/>
      </c>
      <c r="P482" s="108" t="str">
        <f t="shared" si="73"/>
        <v/>
      </c>
      <c r="Q482" s="108" t="str">
        <f t="shared" si="73"/>
        <v/>
      </c>
      <c r="R482" s="103" t="str">
        <f t="shared" si="73"/>
        <v/>
      </c>
      <c r="S482" s="105"/>
      <c r="T482" s="103" t="s">
        <v>30</v>
      </c>
      <c r="U482" s="103" t="s">
        <v>56</v>
      </c>
      <c r="V482" s="103" t="s">
        <v>208</v>
      </c>
    </row>
    <row r="483" spans="1:22" ht="13.5">
      <c r="A483" s="102">
        <v>45625.714338171296</v>
      </c>
      <c r="B483" s="103" t="s">
        <v>215</v>
      </c>
      <c r="C483" s="104" t="str">
        <f t="shared" si="72"/>
        <v>×</v>
      </c>
      <c r="D483" s="104" t="str">
        <f t="shared" si="72"/>
        <v>○</v>
      </c>
      <c r="E483" s="104" t="str">
        <f t="shared" si="72"/>
        <v>○</v>
      </c>
      <c r="F483" s="104" t="str">
        <f t="shared" si="72"/>
        <v>○</v>
      </c>
      <c r="G483" s="103" t="s">
        <v>13</v>
      </c>
      <c r="H483" s="103" t="s">
        <v>32</v>
      </c>
      <c r="I483" s="103" t="s">
        <v>216</v>
      </c>
      <c r="J483" s="105"/>
      <c r="K483" s="103" t="s">
        <v>16</v>
      </c>
      <c r="L483" s="103" t="s">
        <v>68</v>
      </c>
      <c r="M483" s="108" t="str">
        <f t="shared" si="73"/>
        <v/>
      </c>
      <c r="N483" s="108" t="str">
        <f t="shared" si="73"/>
        <v/>
      </c>
      <c r="O483" s="108" t="str">
        <f t="shared" si="73"/>
        <v/>
      </c>
      <c r="P483" s="108" t="str">
        <f t="shared" si="73"/>
        <v/>
      </c>
      <c r="Q483" s="108" t="str">
        <f t="shared" si="73"/>
        <v>○</v>
      </c>
      <c r="R483" s="103" t="str">
        <f t="shared" si="73"/>
        <v/>
      </c>
      <c r="S483" s="105"/>
      <c r="T483" s="103" t="s">
        <v>61</v>
      </c>
      <c r="U483" s="103" t="s">
        <v>56</v>
      </c>
      <c r="V483" s="105"/>
    </row>
    <row r="484" spans="1:22" ht="13.5">
      <c r="A484" s="102">
        <v>45625.715565196762</v>
      </c>
      <c r="B484" s="103" t="s">
        <v>217</v>
      </c>
      <c r="C484" s="104" t="str">
        <f t="shared" si="72"/>
        <v>○</v>
      </c>
      <c r="D484" s="104" t="str">
        <f t="shared" si="72"/>
        <v>○</v>
      </c>
      <c r="E484" s="104" t="str">
        <f t="shared" si="72"/>
        <v>×</v>
      </c>
      <c r="F484" s="104" t="str">
        <f t="shared" si="72"/>
        <v>×</v>
      </c>
      <c r="G484" s="103" t="s">
        <v>13</v>
      </c>
      <c r="H484" s="103" t="s">
        <v>32</v>
      </c>
      <c r="I484" s="103" t="s">
        <v>218</v>
      </c>
      <c r="J484" s="105"/>
      <c r="K484" s="103" t="s">
        <v>34</v>
      </c>
      <c r="L484" s="105"/>
      <c r="M484" s="110" t="str">
        <f t="shared" si="73"/>
        <v/>
      </c>
      <c r="N484" s="110" t="str">
        <f t="shared" si="73"/>
        <v/>
      </c>
      <c r="O484" s="110" t="str">
        <f t="shared" si="73"/>
        <v/>
      </c>
      <c r="P484" s="110" t="str">
        <f t="shared" si="73"/>
        <v/>
      </c>
      <c r="Q484" s="110" t="str">
        <f t="shared" si="73"/>
        <v/>
      </c>
      <c r="R484" s="105" t="str">
        <f t="shared" si="73"/>
        <v/>
      </c>
      <c r="S484" s="105"/>
      <c r="T484" s="103" t="s">
        <v>30</v>
      </c>
      <c r="U484" s="103" t="s">
        <v>56</v>
      </c>
      <c r="V484" s="105"/>
    </row>
    <row r="485" spans="1:22" ht="13.5">
      <c r="A485" s="102">
        <v>45625.735756979164</v>
      </c>
      <c r="B485" s="103" t="s">
        <v>232</v>
      </c>
      <c r="C485" s="104" t="str">
        <f t="shared" si="72"/>
        <v>×</v>
      </c>
      <c r="D485" s="104" t="str">
        <f t="shared" si="72"/>
        <v>○</v>
      </c>
      <c r="E485" s="104" t="str">
        <f t="shared" si="72"/>
        <v>○</v>
      </c>
      <c r="F485" s="104" t="str">
        <f t="shared" si="72"/>
        <v>○</v>
      </c>
      <c r="G485" s="103" t="s">
        <v>13</v>
      </c>
      <c r="H485" s="103" t="s">
        <v>77</v>
      </c>
      <c r="I485" s="103" t="s">
        <v>85</v>
      </c>
      <c r="J485" s="105"/>
      <c r="K485" s="103" t="s">
        <v>16</v>
      </c>
      <c r="L485" s="103" t="s">
        <v>29</v>
      </c>
      <c r="M485" s="108" t="str">
        <f t="shared" si="73"/>
        <v/>
      </c>
      <c r="N485" s="108" t="str">
        <f t="shared" si="73"/>
        <v/>
      </c>
      <c r="O485" s="108" t="str">
        <f t="shared" si="73"/>
        <v/>
      </c>
      <c r="P485" s="108" t="str">
        <f t="shared" si="73"/>
        <v/>
      </c>
      <c r="Q485" s="108" t="str">
        <f t="shared" si="73"/>
        <v/>
      </c>
      <c r="R485" s="103" t="str">
        <f t="shared" si="73"/>
        <v>○</v>
      </c>
      <c r="S485" s="105"/>
      <c r="T485" s="103" t="s">
        <v>30</v>
      </c>
      <c r="U485" s="103" t="s">
        <v>56</v>
      </c>
      <c r="V485" s="103" t="s">
        <v>233</v>
      </c>
    </row>
    <row r="486" spans="1:22" ht="13.5">
      <c r="A486" s="102">
        <v>45625.754896273153</v>
      </c>
      <c r="B486" s="103" t="s">
        <v>93</v>
      </c>
      <c r="C486" s="104" t="str">
        <f t="shared" si="72"/>
        <v>×</v>
      </c>
      <c r="D486" s="104" t="str">
        <f t="shared" si="72"/>
        <v>×</v>
      </c>
      <c r="E486" s="104" t="str">
        <f t="shared" si="72"/>
        <v>○</v>
      </c>
      <c r="F486" s="104" t="str">
        <f t="shared" si="72"/>
        <v>×</v>
      </c>
      <c r="G486" s="103" t="s">
        <v>20</v>
      </c>
      <c r="H486" s="105"/>
      <c r="I486" s="105"/>
      <c r="J486" s="103" t="s">
        <v>21</v>
      </c>
      <c r="K486" s="103" t="s">
        <v>16</v>
      </c>
      <c r="L486" s="103" t="s">
        <v>68</v>
      </c>
      <c r="M486" s="108" t="str">
        <f t="shared" si="73"/>
        <v/>
      </c>
      <c r="N486" s="108" t="str">
        <f t="shared" si="73"/>
        <v/>
      </c>
      <c r="O486" s="108" t="str">
        <f t="shared" si="73"/>
        <v/>
      </c>
      <c r="P486" s="108" t="str">
        <f t="shared" si="73"/>
        <v/>
      </c>
      <c r="Q486" s="108" t="str">
        <f t="shared" si="73"/>
        <v>○</v>
      </c>
      <c r="R486" s="103" t="str">
        <f t="shared" si="73"/>
        <v/>
      </c>
      <c r="S486" s="103" t="s">
        <v>243</v>
      </c>
      <c r="T486" s="103" t="s">
        <v>30</v>
      </c>
      <c r="U486" s="103" t="s">
        <v>56</v>
      </c>
      <c r="V486" s="105"/>
    </row>
    <row r="487" spans="1:22" ht="13.5">
      <c r="A487" s="102">
        <v>45625.768354479165</v>
      </c>
      <c r="B487" s="103" t="s">
        <v>105</v>
      </c>
      <c r="C487" s="104" t="str">
        <f t="shared" si="72"/>
        <v>×</v>
      </c>
      <c r="D487" s="104" t="str">
        <f t="shared" si="72"/>
        <v>×</v>
      </c>
      <c r="E487" s="104" t="str">
        <f t="shared" si="72"/>
        <v>○</v>
      </c>
      <c r="F487" s="104" t="str">
        <f t="shared" si="72"/>
        <v>×</v>
      </c>
      <c r="G487" s="103" t="s">
        <v>20</v>
      </c>
      <c r="H487" s="105"/>
      <c r="I487" s="105"/>
      <c r="J487" s="103" t="s">
        <v>58</v>
      </c>
      <c r="K487" s="103" t="s">
        <v>16</v>
      </c>
      <c r="L487" s="103" t="s">
        <v>255</v>
      </c>
      <c r="M487" s="108" t="str">
        <f t="shared" si="73"/>
        <v/>
      </c>
      <c r="N487" s="108" t="str">
        <f t="shared" si="73"/>
        <v>○</v>
      </c>
      <c r="O487" s="108" t="str">
        <f t="shared" si="73"/>
        <v/>
      </c>
      <c r="P487" s="108" t="str">
        <f t="shared" si="73"/>
        <v>○</v>
      </c>
      <c r="Q487" s="108" t="str">
        <f t="shared" si="73"/>
        <v/>
      </c>
      <c r="R487" s="103" t="str">
        <f t="shared" si="73"/>
        <v/>
      </c>
      <c r="S487" s="103" t="s">
        <v>256</v>
      </c>
      <c r="T487" s="103" t="s">
        <v>257</v>
      </c>
      <c r="U487" s="103" t="s">
        <v>56</v>
      </c>
      <c r="V487" s="105"/>
    </row>
    <row r="488" spans="1:22" ht="13.5">
      <c r="A488" s="102">
        <v>45625.771258067129</v>
      </c>
      <c r="B488" s="103" t="s">
        <v>49</v>
      </c>
      <c r="C488" s="104" t="str">
        <f t="shared" si="72"/>
        <v>×</v>
      </c>
      <c r="D488" s="104" t="str">
        <f t="shared" si="72"/>
        <v>○</v>
      </c>
      <c r="E488" s="104" t="str">
        <f t="shared" si="72"/>
        <v>×</v>
      </c>
      <c r="F488" s="104" t="str">
        <f t="shared" si="72"/>
        <v>×</v>
      </c>
      <c r="G488" s="103" t="s">
        <v>13</v>
      </c>
      <c r="H488" s="103" t="s">
        <v>27</v>
      </c>
      <c r="I488" s="103" t="s">
        <v>258</v>
      </c>
      <c r="J488" s="105"/>
      <c r="K488" s="103" t="s">
        <v>34</v>
      </c>
      <c r="L488" s="105"/>
      <c r="M488" s="110" t="str">
        <f t="shared" si="73"/>
        <v/>
      </c>
      <c r="N488" s="110" t="str">
        <f t="shared" si="73"/>
        <v/>
      </c>
      <c r="O488" s="110" t="str">
        <f t="shared" si="73"/>
        <v/>
      </c>
      <c r="P488" s="110" t="str">
        <f t="shared" si="73"/>
        <v/>
      </c>
      <c r="Q488" s="110" t="str">
        <f t="shared" si="73"/>
        <v/>
      </c>
      <c r="R488" s="105" t="str">
        <f t="shared" si="73"/>
        <v/>
      </c>
      <c r="S488" s="105"/>
      <c r="T488" s="103" t="s">
        <v>30</v>
      </c>
      <c r="U488" s="103" t="s">
        <v>56</v>
      </c>
      <c r="V488" s="103" t="s">
        <v>259</v>
      </c>
    </row>
    <row r="489" spans="1:22" ht="13.5">
      <c r="A489" s="102">
        <v>45625.771948009264</v>
      </c>
      <c r="B489" s="103" t="s">
        <v>71</v>
      </c>
      <c r="C489" s="104" t="str">
        <f t="shared" si="72"/>
        <v>×</v>
      </c>
      <c r="D489" s="104" t="str">
        <f t="shared" si="72"/>
        <v>○</v>
      </c>
      <c r="E489" s="104" t="str">
        <f t="shared" si="72"/>
        <v>○</v>
      </c>
      <c r="F489" s="104" t="str">
        <f t="shared" si="72"/>
        <v>×</v>
      </c>
      <c r="G489" s="103" t="s">
        <v>20</v>
      </c>
      <c r="H489" s="105"/>
      <c r="I489" s="105"/>
      <c r="J489" s="103" t="s">
        <v>58</v>
      </c>
      <c r="K489" s="103" t="s">
        <v>16</v>
      </c>
      <c r="L489" s="103" t="s">
        <v>39</v>
      </c>
      <c r="M489" s="108" t="str">
        <f t="shared" si="73"/>
        <v/>
      </c>
      <c r="N489" s="108" t="str">
        <f t="shared" si="73"/>
        <v>○</v>
      </c>
      <c r="O489" s="108" t="str">
        <f t="shared" si="73"/>
        <v/>
      </c>
      <c r="P489" s="108" t="str">
        <f t="shared" si="73"/>
        <v/>
      </c>
      <c r="Q489" s="108" t="str">
        <f t="shared" si="73"/>
        <v/>
      </c>
      <c r="R489" s="103" t="str">
        <f t="shared" si="73"/>
        <v/>
      </c>
      <c r="S489" s="105"/>
      <c r="T489" s="103" t="s">
        <v>30</v>
      </c>
      <c r="U489" s="103" t="s">
        <v>56</v>
      </c>
      <c r="V489" s="105"/>
    </row>
    <row r="490" spans="1:22" ht="13.5">
      <c r="A490" s="102">
        <v>45625.777105127316</v>
      </c>
      <c r="B490" s="103" t="s">
        <v>19</v>
      </c>
      <c r="C490" s="104" t="str">
        <f t="shared" si="72"/>
        <v>×</v>
      </c>
      <c r="D490" s="104" t="str">
        <f t="shared" si="72"/>
        <v>○</v>
      </c>
      <c r="E490" s="104" t="str">
        <f t="shared" si="72"/>
        <v>×</v>
      </c>
      <c r="F490" s="104" t="str">
        <f t="shared" si="72"/>
        <v>×</v>
      </c>
      <c r="G490" s="103" t="s">
        <v>13</v>
      </c>
      <c r="H490" s="103" t="s">
        <v>77</v>
      </c>
      <c r="I490" s="103" t="s">
        <v>260</v>
      </c>
      <c r="J490" s="105"/>
      <c r="K490" s="103" t="s">
        <v>34</v>
      </c>
      <c r="L490" s="105"/>
      <c r="M490" s="110" t="str">
        <f t="shared" si="73"/>
        <v/>
      </c>
      <c r="N490" s="110" t="str">
        <f t="shared" si="73"/>
        <v/>
      </c>
      <c r="O490" s="110" t="str">
        <f t="shared" si="73"/>
        <v/>
      </c>
      <c r="P490" s="110" t="str">
        <f t="shared" si="73"/>
        <v/>
      </c>
      <c r="Q490" s="110" t="str">
        <f t="shared" si="73"/>
        <v/>
      </c>
      <c r="R490" s="105" t="str">
        <f t="shared" si="73"/>
        <v/>
      </c>
      <c r="S490" s="105"/>
      <c r="T490" s="103" t="s">
        <v>30</v>
      </c>
      <c r="U490" s="103" t="s">
        <v>56</v>
      </c>
      <c r="V490" s="105"/>
    </row>
    <row r="491" spans="1:22" ht="13.5">
      <c r="A491" s="102">
        <v>45625.778914965282</v>
      </c>
      <c r="B491" s="103" t="s">
        <v>263</v>
      </c>
      <c r="C491" s="104" t="str">
        <f t="shared" si="72"/>
        <v>○</v>
      </c>
      <c r="D491" s="104" t="str">
        <f t="shared" si="72"/>
        <v>○</v>
      </c>
      <c r="E491" s="104" t="str">
        <f t="shared" si="72"/>
        <v>×</v>
      </c>
      <c r="F491" s="104" t="str">
        <f t="shared" si="72"/>
        <v>×</v>
      </c>
      <c r="G491" s="103" t="s">
        <v>20</v>
      </c>
      <c r="H491" s="105"/>
      <c r="I491" s="105"/>
      <c r="J491" s="103" t="s">
        <v>21</v>
      </c>
      <c r="K491" s="103" t="s">
        <v>16</v>
      </c>
      <c r="L491" s="103" t="s">
        <v>59</v>
      </c>
      <c r="M491" s="108" t="str">
        <f t="shared" si="73"/>
        <v/>
      </c>
      <c r="N491" s="108" t="str">
        <f t="shared" si="73"/>
        <v/>
      </c>
      <c r="O491" s="108" t="str">
        <f t="shared" si="73"/>
        <v/>
      </c>
      <c r="P491" s="108" t="str">
        <f t="shared" si="73"/>
        <v>○</v>
      </c>
      <c r="Q491" s="108" t="str">
        <f t="shared" si="73"/>
        <v/>
      </c>
      <c r="R491" s="103" t="str">
        <f t="shared" si="73"/>
        <v/>
      </c>
      <c r="S491" s="105"/>
      <c r="T491" s="103" t="s">
        <v>30</v>
      </c>
      <c r="U491" s="103" t="s">
        <v>56</v>
      </c>
      <c r="V491" s="105"/>
    </row>
    <row r="492" spans="1:22" ht="13.5">
      <c r="A492" s="102">
        <v>45625.783974918981</v>
      </c>
      <c r="B492" s="103" t="s">
        <v>266</v>
      </c>
      <c r="C492" s="104" t="str">
        <f t="shared" si="72"/>
        <v>×</v>
      </c>
      <c r="D492" s="104" t="str">
        <f t="shared" si="72"/>
        <v>○</v>
      </c>
      <c r="E492" s="104" t="str">
        <f t="shared" si="72"/>
        <v>○</v>
      </c>
      <c r="F492" s="104" t="str">
        <f t="shared" si="72"/>
        <v>×</v>
      </c>
      <c r="G492" s="103" t="s">
        <v>20</v>
      </c>
      <c r="H492" s="105"/>
      <c r="I492" s="105"/>
      <c r="J492" s="103" t="s">
        <v>38</v>
      </c>
      <c r="K492" s="103" t="s">
        <v>16</v>
      </c>
      <c r="L492" s="103" t="s">
        <v>267</v>
      </c>
      <c r="M492" s="108" t="str">
        <f t="shared" ref="M492:R501" si="74">IF(ISERROR(SEARCH(M$1,$L492)),"","○")</f>
        <v/>
      </c>
      <c r="N492" s="108" t="str">
        <f t="shared" si="74"/>
        <v/>
      </c>
      <c r="O492" s="108" t="str">
        <f t="shared" si="74"/>
        <v/>
      </c>
      <c r="P492" s="108" t="str">
        <f t="shared" si="74"/>
        <v/>
      </c>
      <c r="Q492" s="108" t="str">
        <f t="shared" si="74"/>
        <v>○</v>
      </c>
      <c r="R492" s="103" t="str">
        <f t="shared" si="74"/>
        <v/>
      </c>
      <c r="S492" s="103" t="s">
        <v>268</v>
      </c>
      <c r="T492" s="103" t="s">
        <v>269</v>
      </c>
      <c r="U492" s="103" t="s">
        <v>56</v>
      </c>
      <c r="V492" s="105"/>
    </row>
    <row r="493" spans="1:22" ht="13.5">
      <c r="A493" s="102">
        <v>45625.787612615743</v>
      </c>
      <c r="B493" s="103" t="s">
        <v>266</v>
      </c>
      <c r="C493" s="104" t="str">
        <f t="shared" si="72"/>
        <v>×</v>
      </c>
      <c r="D493" s="104" t="str">
        <f t="shared" si="72"/>
        <v>○</v>
      </c>
      <c r="E493" s="104" t="str">
        <f t="shared" si="72"/>
        <v>○</v>
      </c>
      <c r="F493" s="104" t="str">
        <f t="shared" si="72"/>
        <v>×</v>
      </c>
      <c r="G493" s="103" t="s">
        <v>20</v>
      </c>
      <c r="H493" s="105"/>
      <c r="I493" s="105"/>
      <c r="J493" s="103" t="s">
        <v>38</v>
      </c>
      <c r="K493" s="103" t="s">
        <v>16</v>
      </c>
      <c r="L493" s="103" t="s">
        <v>272</v>
      </c>
      <c r="M493" s="108" t="str">
        <f t="shared" si="74"/>
        <v/>
      </c>
      <c r="N493" s="108" t="str">
        <f t="shared" si="74"/>
        <v/>
      </c>
      <c r="O493" s="108" t="str">
        <f t="shared" si="74"/>
        <v/>
      </c>
      <c r="P493" s="108" t="str">
        <f t="shared" si="74"/>
        <v/>
      </c>
      <c r="Q493" s="108" t="str">
        <f t="shared" si="74"/>
        <v>○</v>
      </c>
      <c r="R493" s="103" t="str">
        <f t="shared" si="74"/>
        <v/>
      </c>
      <c r="S493" s="103" t="s">
        <v>273</v>
      </c>
      <c r="T493" s="103" t="s">
        <v>274</v>
      </c>
      <c r="U493" s="103" t="s">
        <v>56</v>
      </c>
      <c r="V493" s="103" t="s">
        <v>275</v>
      </c>
    </row>
    <row r="494" spans="1:22" ht="13.5">
      <c r="A494" s="102">
        <v>45625.789971516206</v>
      </c>
      <c r="B494" s="103" t="s">
        <v>57</v>
      </c>
      <c r="C494" s="104" t="str">
        <f t="shared" si="72"/>
        <v>×</v>
      </c>
      <c r="D494" s="104" t="str">
        <f t="shared" si="72"/>
        <v>○</v>
      </c>
      <c r="E494" s="104" t="str">
        <f t="shared" si="72"/>
        <v>×</v>
      </c>
      <c r="F494" s="104" t="str">
        <f t="shared" si="72"/>
        <v>×</v>
      </c>
      <c r="G494" s="103" t="s">
        <v>20</v>
      </c>
      <c r="H494" s="105"/>
      <c r="I494" s="105"/>
      <c r="J494" s="103" t="s">
        <v>21</v>
      </c>
      <c r="K494" s="103" t="s">
        <v>16</v>
      </c>
      <c r="L494" s="103" t="s">
        <v>279</v>
      </c>
      <c r="M494" s="108" t="str">
        <f t="shared" si="74"/>
        <v/>
      </c>
      <c r="N494" s="108" t="str">
        <f t="shared" si="74"/>
        <v>○</v>
      </c>
      <c r="O494" s="108" t="str">
        <f t="shared" si="74"/>
        <v>○</v>
      </c>
      <c r="P494" s="108" t="str">
        <f t="shared" si="74"/>
        <v/>
      </c>
      <c r="Q494" s="108" t="str">
        <f t="shared" si="74"/>
        <v/>
      </c>
      <c r="R494" s="103" t="str">
        <f t="shared" si="74"/>
        <v/>
      </c>
      <c r="S494" s="105"/>
      <c r="T494" s="103" t="s">
        <v>24</v>
      </c>
      <c r="U494" s="103" t="s">
        <v>56</v>
      </c>
      <c r="V494" s="105"/>
    </row>
    <row r="495" spans="1:22" ht="13.5">
      <c r="A495" s="102">
        <v>45625.803970277775</v>
      </c>
      <c r="B495" s="103" t="s">
        <v>288</v>
      </c>
      <c r="C495" s="104" t="str">
        <f t="shared" si="72"/>
        <v>×</v>
      </c>
      <c r="D495" s="104" t="str">
        <f t="shared" si="72"/>
        <v>○</v>
      </c>
      <c r="E495" s="104" t="str">
        <f t="shared" si="72"/>
        <v>○</v>
      </c>
      <c r="F495" s="104" t="str">
        <f t="shared" si="72"/>
        <v>×</v>
      </c>
      <c r="G495" s="103" t="s">
        <v>13</v>
      </c>
      <c r="H495" s="103" t="s">
        <v>27</v>
      </c>
      <c r="I495" s="103" t="s">
        <v>289</v>
      </c>
      <c r="J495" s="105"/>
      <c r="K495" s="103" t="s">
        <v>34</v>
      </c>
      <c r="L495" s="105"/>
      <c r="M495" s="110" t="str">
        <f t="shared" si="74"/>
        <v/>
      </c>
      <c r="N495" s="110" t="str">
        <f t="shared" si="74"/>
        <v/>
      </c>
      <c r="O495" s="110" t="str">
        <f t="shared" si="74"/>
        <v/>
      </c>
      <c r="P495" s="110" t="str">
        <f t="shared" si="74"/>
        <v/>
      </c>
      <c r="Q495" s="110" t="str">
        <f t="shared" si="74"/>
        <v/>
      </c>
      <c r="R495" s="105" t="str">
        <f t="shared" si="74"/>
        <v/>
      </c>
      <c r="S495" s="105"/>
      <c r="T495" s="103" t="s">
        <v>290</v>
      </c>
      <c r="U495" s="103" t="s">
        <v>56</v>
      </c>
      <c r="V495" s="105"/>
    </row>
    <row r="496" spans="1:22" ht="13.5">
      <c r="A496" s="102">
        <v>45625.809190254629</v>
      </c>
      <c r="B496" s="103" t="s">
        <v>49</v>
      </c>
      <c r="C496" s="104" t="str">
        <f t="shared" si="72"/>
        <v>×</v>
      </c>
      <c r="D496" s="104" t="str">
        <f t="shared" si="72"/>
        <v>○</v>
      </c>
      <c r="E496" s="104" t="str">
        <f t="shared" si="72"/>
        <v>×</v>
      </c>
      <c r="F496" s="104" t="str">
        <f t="shared" si="72"/>
        <v>×</v>
      </c>
      <c r="G496" s="103" t="s">
        <v>20</v>
      </c>
      <c r="H496" s="105"/>
      <c r="I496" s="105"/>
      <c r="J496" s="103" t="s">
        <v>291</v>
      </c>
      <c r="K496" s="103" t="s">
        <v>16</v>
      </c>
      <c r="L496" s="103" t="s">
        <v>107</v>
      </c>
      <c r="M496" s="108" t="str">
        <f t="shared" si="74"/>
        <v/>
      </c>
      <c r="N496" s="108" t="str">
        <f t="shared" si="74"/>
        <v/>
      </c>
      <c r="O496" s="108" t="str">
        <f t="shared" si="74"/>
        <v>○</v>
      </c>
      <c r="P496" s="108" t="str">
        <f t="shared" si="74"/>
        <v/>
      </c>
      <c r="Q496" s="108" t="str">
        <f t="shared" si="74"/>
        <v/>
      </c>
      <c r="R496" s="103" t="str">
        <f t="shared" si="74"/>
        <v/>
      </c>
      <c r="S496" s="105"/>
      <c r="T496" s="103" t="s">
        <v>24</v>
      </c>
      <c r="U496" s="103" t="s">
        <v>56</v>
      </c>
      <c r="V496" s="103" t="s">
        <v>292</v>
      </c>
    </row>
    <row r="497" spans="1:22" ht="13.5">
      <c r="A497" s="102">
        <v>45625.813853043983</v>
      </c>
      <c r="B497" s="103" t="s">
        <v>164</v>
      </c>
      <c r="C497" s="104" t="str">
        <f t="shared" si="72"/>
        <v>×</v>
      </c>
      <c r="D497" s="104" t="str">
        <f t="shared" si="72"/>
        <v>○</v>
      </c>
      <c r="E497" s="104" t="str">
        <f t="shared" si="72"/>
        <v>×</v>
      </c>
      <c r="F497" s="104" t="str">
        <f t="shared" si="72"/>
        <v>×</v>
      </c>
      <c r="G497" s="103" t="s">
        <v>20</v>
      </c>
      <c r="H497" s="105"/>
      <c r="I497" s="105"/>
      <c r="J497" s="103" t="s">
        <v>21</v>
      </c>
      <c r="K497" s="103" t="s">
        <v>16</v>
      </c>
      <c r="L497" s="103" t="s">
        <v>68</v>
      </c>
      <c r="M497" s="108" t="str">
        <f t="shared" si="74"/>
        <v/>
      </c>
      <c r="N497" s="108" t="str">
        <f t="shared" si="74"/>
        <v/>
      </c>
      <c r="O497" s="108" t="str">
        <f t="shared" si="74"/>
        <v/>
      </c>
      <c r="P497" s="108" t="str">
        <f t="shared" si="74"/>
        <v/>
      </c>
      <c r="Q497" s="108" t="str">
        <f t="shared" si="74"/>
        <v>○</v>
      </c>
      <c r="R497" s="103" t="str">
        <f t="shared" si="74"/>
        <v/>
      </c>
      <c r="S497" s="103" t="s">
        <v>294</v>
      </c>
      <c r="T497" s="103" t="s">
        <v>30</v>
      </c>
      <c r="U497" s="103" t="s">
        <v>56</v>
      </c>
      <c r="V497" s="103" t="s">
        <v>295</v>
      </c>
    </row>
    <row r="498" spans="1:22" ht="13.5">
      <c r="A498" s="102">
        <v>45625.831717986111</v>
      </c>
      <c r="B498" s="103" t="s">
        <v>41</v>
      </c>
      <c r="C498" s="104" t="str">
        <f t="shared" si="72"/>
        <v>×</v>
      </c>
      <c r="D498" s="104" t="str">
        <f t="shared" si="72"/>
        <v>○</v>
      </c>
      <c r="E498" s="104" t="str">
        <f t="shared" si="72"/>
        <v>×</v>
      </c>
      <c r="F498" s="104" t="str">
        <f t="shared" si="72"/>
        <v>×</v>
      </c>
      <c r="G498" s="103" t="s">
        <v>20</v>
      </c>
      <c r="H498" s="105"/>
      <c r="I498" s="105"/>
      <c r="J498" s="103" t="s">
        <v>38</v>
      </c>
      <c r="K498" s="103" t="s">
        <v>16</v>
      </c>
      <c r="L498" s="103" t="s">
        <v>68</v>
      </c>
      <c r="M498" s="108" t="str">
        <f t="shared" si="74"/>
        <v/>
      </c>
      <c r="N498" s="108" t="str">
        <f t="shared" si="74"/>
        <v/>
      </c>
      <c r="O498" s="108" t="str">
        <f t="shared" si="74"/>
        <v/>
      </c>
      <c r="P498" s="108" t="str">
        <f t="shared" si="74"/>
        <v/>
      </c>
      <c r="Q498" s="108" t="str">
        <f t="shared" si="74"/>
        <v>○</v>
      </c>
      <c r="R498" s="103" t="str">
        <f t="shared" si="74"/>
        <v/>
      </c>
      <c r="S498" s="103" t="s">
        <v>304</v>
      </c>
      <c r="T498" s="103" t="s">
        <v>30</v>
      </c>
      <c r="U498" s="103" t="s">
        <v>56</v>
      </c>
      <c r="V498" s="103" t="s">
        <v>305</v>
      </c>
    </row>
    <row r="499" spans="1:22" ht="13.5">
      <c r="A499" s="102">
        <v>45625.832214872687</v>
      </c>
      <c r="B499" s="103" t="s">
        <v>90</v>
      </c>
      <c r="C499" s="104" t="str">
        <f t="shared" si="72"/>
        <v>×</v>
      </c>
      <c r="D499" s="104" t="str">
        <f t="shared" si="72"/>
        <v>×</v>
      </c>
      <c r="E499" s="104" t="str">
        <f t="shared" si="72"/>
        <v>○</v>
      </c>
      <c r="F499" s="104" t="str">
        <f t="shared" si="72"/>
        <v>×</v>
      </c>
      <c r="G499" s="103" t="s">
        <v>20</v>
      </c>
      <c r="H499" s="105"/>
      <c r="I499" s="105"/>
      <c r="J499" s="103" t="s">
        <v>58</v>
      </c>
      <c r="K499" s="103" t="s">
        <v>16</v>
      </c>
      <c r="L499" s="103" t="s">
        <v>68</v>
      </c>
      <c r="M499" s="108" t="str">
        <f t="shared" si="74"/>
        <v/>
      </c>
      <c r="N499" s="108" t="str">
        <f t="shared" si="74"/>
        <v/>
      </c>
      <c r="O499" s="108" t="str">
        <f t="shared" si="74"/>
        <v/>
      </c>
      <c r="P499" s="108" t="str">
        <f t="shared" si="74"/>
        <v/>
      </c>
      <c r="Q499" s="108" t="str">
        <f t="shared" si="74"/>
        <v>○</v>
      </c>
      <c r="R499" s="103" t="str">
        <f t="shared" si="74"/>
        <v/>
      </c>
      <c r="S499" s="105"/>
      <c r="T499" s="103" t="s">
        <v>24</v>
      </c>
      <c r="U499" s="103" t="s">
        <v>56</v>
      </c>
      <c r="V499" s="105"/>
    </row>
    <row r="500" spans="1:22" ht="13.5">
      <c r="A500" s="102">
        <v>45625.853997418977</v>
      </c>
      <c r="B500" s="103" t="s">
        <v>41</v>
      </c>
      <c r="C500" s="104" t="str">
        <f t="shared" si="72"/>
        <v>×</v>
      </c>
      <c r="D500" s="104" t="str">
        <f t="shared" si="72"/>
        <v>○</v>
      </c>
      <c r="E500" s="104" t="str">
        <f t="shared" si="72"/>
        <v>×</v>
      </c>
      <c r="F500" s="104" t="str">
        <f t="shared" si="72"/>
        <v>×</v>
      </c>
      <c r="G500" s="103" t="s">
        <v>20</v>
      </c>
      <c r="H500" s="105"/>
      <c r="I500" s="105"/>
      <c r="J500" s="103" t="s">
        <v>21</v>
      </c>
      <c r="K500" s="103" t="s">
        <v>16</v>
      </c>
      <c r="L500" s="103" t="s">
        <v>88</v>
      </c>
      <c r="M500" s="108" t="str">
        <f t="shared" si="74"/>
        <v/>
      </c>
      <c r="N500" s="108" t="str">
        <f t="shared" si="74"/>
        <v>○</v>
      </c>
      <c r="O500" s="108" t="str">
        <f t="shared" si="74"/>
        <v/>
      </c>
      <c r="P500" s="108" t="str">
        <f t="shared" si="74"/>
        <v/>
      </c>
      <c r="Q500" s="108" t="str">
        <f t="shared" si="74"/>
        <v>○</v>
      </c>
      <c r="R500" s="103" t="str">
        <f t="shared" si="74"/>
        <v/>
      </c>
      <c r="S500" s="103" t="s">
        <v>310</v>
      </c>
      <c r="T500" s="103" t="s">
        <v>30</v>
      </c>
      <c r="U500" s="103" t="s">
        <v>56</v>
      </c>
      <c r="V500" s="105"/>
    </row>
    <row r="501" spans="1:22" ht="13.5">
      <c r="A501" s="102">
        <v>45625.857859143522</v>
      </c>
      <c r="B501" s="103" t="s">
        <v>312</v>
      </c>
      <c r="C501" s="104" t="str">
        <f t="shared" si="72"/>
        <v>×</v>
      </c>
      <c r="D501" s="104" t="str">
        <f t="shared" si="72"/>
        <v>○</v>
      </c>
      <c r="E501" s="104" t="str">
        <f t="shared" si="72"/>
        <v>×</v>
      </c>
      <c r="F501" s="104" t="str">
        <f t="shared" si="72"/>
        <v>×</v>
      </c>
      <c r="G501" s="103" t="s">
        <v>20</v>
      </c>
      <c r="H501" s="105"/>
      <c r="I501" s="105"/>
      <c r="J501" s="103" t="s">
        <v>38</v>
      </c>
      <c r="K501" s="103" t="s">
        <v>16</v>
      </c>
      <c r="L501" s="103" t="s">
        <v>39</v>
      </c>
      <c r="M501" s="108" t="str">
        <f t="shared" si="74"/>
        <v/>
      </c>
      <c r="N501" s="108" t="str">
        <f t="shared" si="74"/>
        <v>○</v>
      </c>
      <c r="O501" s="108" t="str">
        <f t="shared" si="74"/>
        <v/>
      </c>
      <c r="P501" s="108" t="str">
        <f t="shared" si="74"/>
        <v/>
      </c>
      <c r="Q501" s="108" t="str">
        <f t="shared" si="74"/>
        <v/>
      </c>
      <c r="R501" s="103" t="str">
        <f t="shared" si="74"/>
        <v/>
      </c>
      <c r="S501" s="105"/>
      <c r="T501" s="103" t="s">
        <v>24</v>
      </c>
      <c r="U501" s="103" t="s">
        <v>56</v>
      </c>
      <c r="V501" s="103" t="s">
        <v>313</v>
      </c>
    </row>
    <row r="502" spans="1:22" ht="13.5">
      <c r="A502" s="102">
        <v>45625.864295821761</v>
      </c>
      <c r="B502" s="103" t="s">
        <v>105</v>
      </c>
      <c r="C502" s="104" t="str">
        <f t="shared" ref="C502:F521" si="75">IF(ISERROR(FIND(C$1,$B502)),"×","○")</f>
        <v>×</v>
      </c>
      <c r="D502" s="104" t="str">
        <f t="shared" si="75"/>
        <v>×</v>
      </c>
      <c r="E502" s="104" t="str">
        <f t="shared" si="75"/>
        <v>○</v>
      </c>
      <c r="F502" s="104" t="str">
        <f t="shared" si="75"/>
        <v>×</v>
      </c>
      <c r="G502" s="103" t="s">
        <v>20</v>
      </c>
      <c r="H502" s="105"/>
      <c r="I502" s="105"/>
      <c r="J502" s="103" t="s">
        <v>58</v>
      </c>
      <c r="K502" s="103" t="s">
        <v>16</v>
      </c>
      <c r="L502" s="103" t="s">
        <v>68</v>
      </c>
      <c r="M502" s="108" t="str">
        <f t="shared" ref="M502:R511" si="76">IF(ISERROR(SEARCH(M$1,$L502)),"","○")</f>
        <v/>
      </c>
      <c r="N502" s="108" t="str">
        <f t="shared" si="76"/>
        <v/>
      </c>
      <c r="O502" s="108" t="str">
        <f t="shared" si="76"/>
        <v/>
      </c>
      <c r="P502" s="108" t="str">
        <f t="shared" si="76"/>
        <v/>
      </c>
      <c r="Q502" s="108" t="str">
        <f t="shared" si="76"/>
        <v>○</v>
      </c>
      <c r="R502" s="103" t="str">
        <f t="shared" si="76"/>
        <v/>
      </c>
      <c r="S502" s="103" t="s">
        <v>324</v>
      </c>
      <c r="T502" s="103" t="s">
        <v>30</v>
      </c>
      <c r="U502" s="103" t="s">
        <v>56</v>
      </c>
      <c r="V502" s="103" t="s">
        <v>325</v>
      </c>
    </row>
    <row r="503" spans="1:22" ht="13.5">
      <c r="A503" s="102">
        <v>45625.89639681713</v>
      </c>
      <c r="B503" s="103" t="s">
        <v>264</v>
      </c>
      <c r="C503" s="104" t="str">
        <f t="shared" si="75"/>
        <v>○</v>
      </c>
      <c r="D503" s="104" t="str">
        <f t="shared" si="75"/>
        <v>○</v>
      </c>
      <c r="E503" s="104" t="str">
        <f t="shared" si="75"/>
        <v>×</v>
      </c>
      <c r="F503" s="104" t="str">
        <f t="shared" si="75"/>
        <v>×</v>
      </c>
      <c r="G503" s="103" t="s">
        <v>20</v>
      </c>
      <c r="H503" s="105"/>
      <c r="I503" s="105"/>
      <c r="J503" s="103" t="s">
        <v>38</v>
      </c>
      <c r="K503" s="103" t="s">
        <v>16</v>
      </c>
      <c r="L503" s="103" t="s">
        <v>39</v>
      </c>
      <c r="M503" s="108" t="str">
        <f t="shared" si="76"/>
        <v/>
      </c>
      <c r="N503" s="108" t="str">
        <f t="shared" si="76"/>
        <v>○</v>
      </c>
      <c r="O503" s="108" t="str">
        <f t="shared" si="76"/>
        <v/>
      </c>
      <c r="P503" s="108" t="str">
        <f t="shared" si="76"/>
        <v/>
      </c>
      <c r="Q503" s="108" t="str">
        <f t="shared" si="76"/>
        <v/>
      </c>
      <c r="R503" s="103" t="str">
        <f t="shared" si="76"/>
        <v/>
      </c>
      <c r="S503" s="105"/>
      <c r="T503" s="103" t="s">
        <v>30</v>
      </c>
      <c r="U503" s="103" t="s">
        <v>56</v>
      </c>
      <c r="V503" s="105"/>
    </row>
    <row r="504" spans="1:22" ht="13.5">
      <c r="A504" s="102">
        <v>45625.901635208334</v>
      </c>
      <c r="B504" s="103" t="s">
        <v>90</v>
      </c>
      <c r="C504" s="104" t="str">
        <f t="shared" si="75"/>
        <v>×</v>
      </c>
      <c r="D504" s="104" t="str">
        <f t="shared" si="75"/>
        <v>×</v>
      </c>
      <c r="E504" s="104" t="str">
        <f t="shared" si="75"/>
        <v>○</v>
      </c>
      <c r="F504" s="104" t="str">
        <f t="shared" si="75"/>
        <v>×</v>
      </c>
      <c r="G504" s="103" t="s">
        <v>20</v>
      </c>
      <c r="H504" s="105"/>
      <c r="I504" s="105"/>
      <c r="J504" s="103" t="s">
        <v>58</v>
      </c>
      <c r="K504" s="103" t="s">
        <v>16</v>
      </c>
      <c r="L504" s="103" t="s">
        <v>355</v>
      </c>
      <c r="M504" s="108" t="str">
        <f t="shared" si="76"/>
        <v/>
      </c>
      <c r="N504" s="108" t="str">
        <f t="shared" si="76"/>
        <v>○</v>
      </c>
      <c r="O504" s="108" t="str">
        <f t="shared" si="76"/>
        <v/>
      </c>
      <c r="P504" s="108" t="str">
        <f t="shared" si="76"/>
        <v>○</v>
      </c>
      <c r="Q504" s="108" t="str">
        <f t="shared" si="76"/>
        <v>○</v>
      </c>
      <c r="R504" s="103" t="str">
        <f t="shared" si="76"/>
        <v/>
      </c>
      <c r="S504" s="103" t="s">
        <v>356</v>
      </c>
      <c r="T504" s="103" t="s">
        <v>30</v>
      </c>
      <c r="U504" s="103" t="s">
        <v>56</v>
      </c>
      <c r="V504" s="103" t="s">
        <v>357</v>
      </c>
    </row>
    <row r="505" spans="1:22" ht="13.5">
      <c r="A505" s="102">
        <v>45625.917925243055</v>
      </c>
      <c r="B505" s="103" t="s">
        <v>312</v>
      </c>
      <c r="C505" s="104" t="str">
        <f t="shared" si="75"/>
        <v>×</v>
      </c>
      <c r="D505" s="104" t="str">
        <f t="shared" si="75"/>
        <v>○</v>
      </c>
      <c r="E505" s="104" t="str">
        <f t="shared" si="75"/>
        <v>×</v>
      </c>
      <c r="F505" s="104" t="str">
        <f t="shared" si="75"/>
        <v>×</v>
      </c>
      <c r="G505" s="103" t="s">
        <v>13</v>
      </c>
      <c r="H505" s="103" t="s">
        <v>27</v>
      </c>
      <c r="I505" s="103" t="s">
        <v>85</v>
      </c>
      <c r="J505" s="105"/>
      <c r="K505" s="103" t="s">
        <v>16</v>
      </c>
      <c r="L505" s="103" t="s">
        <v>359</v>
      </c>
      <c r="M505" s="108" t="str">
        <f t="shared" si="76"/>
        <v/>
      </c>
      <c r="N505" s="108" t="str">
        <f t="shared" si="76"/>
        <v/>
      </c>
      <c r="O505" s="108" t="str">
        <f t="shared" si="76"/>
        <v/>
      </c>
      <c r="P505" s="108" t="str">
        <f t="shared" si="76"/>
        <v/>
      </c>
      <c r="Q505" s="108" t="str">
        <f t="shared" si="76"/>
        <v/>
      </c>
      <c r="R505" s="103" t="str">
        <f t="shared" si="76"/>
        <v/>
      </c>
      <c r="S505" s="105"/>
      <c r="T505" s="103" t="s">
        <v>30</v>
      </c>
      <c r="U505" s="103" t="s">
        <v>56</v>
      </c>
      <c r="V505" s="105"/>
    </row>
    <row r="506" spans="1:22" ht="13.5">
      <c r="A506" s="102">
        <v>45625.920171759259</v>
      </c>
      <c r="B506" s="103" t="s">
        <v>19</v>
      </c>
      <c r="C506" s="104" t="str">
        <f t="shared" si="75"/>
        <v>×</v>
      </c>
      <c r="D506" s="104" t="str">
        <f t="shared" si="75"/>
        <v>○</v>
      </c>
      <c r="E506" s="104" t="str">
        <f t="shared" si="75"/>
        <v>×</v>
      </c>
      <c r="F506" s="104" t="str">
        <f t="shared" si="75"/>
        <v>×</v>
      </c>
      <c r="G506" s="103" t="s">
        <v>20</v>
      </c>
      <c r="H506" s="105"/>
      <c r="I506" s="105"/>
      <c r="J506" s="103" t="s">
        <v>38</v>
      </c>
      <c r="K506" s="103" t="s">
        <v>16</v>
      </c>
      <c r="L506" s="103" t="s">
        <v>39</v>
      </c>
      <c r="M506" s="108" t="str">
        <f t="shared" si="76"/>
        <v/>
      </c>
      <c r="N506" s="108" t="str">
        <f t="shared" si="76"/>
        <v>○</v>
      </c>
      <c r="O506" s="108" t="str">
        <f t="shared" si="76"/>
        <v/>
      </c>
      <c r="P506" s="108" t="str">
        <f t="shared" si="76"/>
        <v/>
      </c>
      <c r="Q506" s="108" t="str">
        <f t="shared" si="76"/>
        <v/>
      </c>
      <c r="R506" s="103" t="str">
        <f t="shared" si="76"/>
        <v/>
      </c>
      <c r="S506" s="105"/>
      <c r="T506" s="103" t="s">
        <v>30</v>
      </c>
      <c r="U506" s="103" t="s">
        <v>56</v>
      </c>
      <c r="V506" s="103" t="s">
        <v>360</v>
      </c>
    </row>
    <row r="507" spans="1:22" ht="13.5">
      <c r="A507" s="102">
        <v>45625.92045690972</v>
      </c>
      <c r="B507" s="103" t="s">
        <v>244</v>
      </c>
      <c r="C507" s="104" t="str">
        <f t="shared" si="75"/>
        <v>×</v>
      </c>
      <c r="D507" s="104" t="str">
        <f t="shared" si="75"/>
        <v>○</v>
      </c>
      <c r="E507" s="104" t="str">
        <f t="shared" si="75"/>
        <v>○</v>
      </c>
      <c r="F507" s="104" t="str">
        <f t="shared" si="75"/>
        <v>×</v>
      </c>
      <c r="G507" s="103" t="s">
        <v>13</v>
      </c>
      <c r="H507" s="103" t="s">
        <v>77</v>
      </c>
      <c r="I507" s="103" t="s">
        <v>361</v>
      </c>
      <c r="J507" s="105"/>
      <c r="K507" s="103" t="s">
        <v>16</v>
      </c>
      <c r="L507" s="103" t="s">
        <v>29</v>
      </c>
      <c r="M507" s="108" t="str">
        <f t="shared" si="76"/>
        <v/>
      </c>
      <c r="N507" s="108" t="str">
        <f t="shared" si="76"/>
        <v/>
      </c>
      <c r="O507" s="108" t="str">
        <f t="shared" si="76"/>
        <v/>
      </c>
      <c r="P507" s="108" t="str">
        <f t="shared" si="76"/>
        <v/>
      </c>
      <c r="Q507" s="108" t="str">
        <f t="shared" si="76"/>
        <v/>
      </c>
      <c r="R507" s="103" t="str">
        <f t="shared" si="76"/>
        <v>○</v>
      </c>
      <c r="S507" s="105"/>
      <c r="T507" s="103" t="s">
        <v>35</v>
      </c>
      <c r="U507" s="103" t="s">
        <v>56</v>
      </c>
      <c r="V507" s="105"/>
    </row>
    <row r="508" spans="1:22" ht="13.5">
      <c r="A508" s="102">
        <v>45625.925880937502</v>
      </c>
      <c r="B508" s="103" t="s">
        <v>244</v>
      </c>
      <c r="C508" s="104" t="str">
        <f t="shared" si="75"/>
        <v>×</v>
      </c>
      <c r="D508" s="104" t="str">
        <f t="shared" si="75"/>
        <v>○</v>
      </c>
      <c r="E508" s="104" t="str">
        <f t="shared" si="75"/>
        <v>○</v>
      </c>
      <c r="F508" s="104" t="str">
        <f t="shared" si="75"/>
        <v>×</v>
      </c>
      <c r="G508" s="103" t="s">
        <v>20</v>
      </c>
      <c r="H508" s="105"/>
      <c r="I508" s="105"/>
      <c r="J508" s="103" t="s">
        <v>58</v>
      </c>
      <c r="K508" s="103" t="s">
        <v>16</v>
      </c>
      <c r="L508" s="103" t="s">
        <v>59</v>
      </c>
      <c r="M508" s="108" t="str">
        <f t="shared" si="76"/>
        <v/>
      </c>
      <c r="N508" s="108" t="str">
        <f t="shared" si="76"/>
        <v/>
      </c>
      <c r="O508" s="108" t="str">
        <f t="shared" si="76"/>
        <v/>
      </c>
      <c r="P508" s="108" t="str">
        <f t="shared" si="76"/>
        <v>○</v>
      </c>
      <c r="Q508" s="108" t="str">
        <f t="shared" si="76"/>
        <v/>
      </c>
      <c r="R508" s="103" t="str">
        <f t="shared" si="76"/>
        <v/>
      </c>
      <c r="S508" s="103" t="s">
        <v>363</v>
      </c>
      <c r="T508" s="103" t="s">
        <v>24</v>
      </c>
      <c r="U508" s="103" t="s">
        <v>56</v>
      </c>
      <c r="V508" s="105"/>
    </row>
    <row r="509" spans="1:22" ht="13.5">
      <c r="A509" s="102">
        <v>45625.932799849536</v>
      </c>
      <c r="B509" s="103" t="s">
        <v>90</v>
      </c>
      <c r="C509" s="104" t="str">
        <f t="shared" si="75"/>
        <v>×</v>
      </c>
      <c r="D509" s="104" t="str">
        <f t="shared" si="75"/>
        <v>×</v>
      </c>
      <c r="E509" s="104" t="str">
        <f t="shared" si="75"/>
        <v>○</v>
      </c>
      <c r="F509" s="104" t="str">
        <f t="shared" si="75"/>
        <v>×</v>
      </c>
      <c r="G509" s="103" t="s">
        <v>20</v>
      </c>
      <c r="H509" s="105"/>
      <c r="I509" s="105"/>
      <c r="J509" s="103" t="s">
        <v>365</v>
      </c>
      <c r="K509" s="103" t="s">
        <v>16</v>
      </c>
      <c r="L509" s="103" t="s">
        <v>39</v>
      </c>
      <c r="M509" s="108" t="str">
        <f t="shared" si="76"/>
        <v/>
      </c>
      <c r="N509" s="108" t="str">
        <f t="shared" si="76"/>
        <v>○</v>
      </c>
      <c r="O509" s="108" t="str">
        <f t="shared" si="76"/>
        <v/>
      </c>
      <c r="P509" s="108" t="str">
        <f t="shared" si="76"/>
        <v/>
      </c>
      <c r="Q509" s="108" t="str">
        <f t="shared" si="76"/>
        <v/>
      </c>
      <c r="R509" s="103" t="str">
        <f t="shared" si="76"/>
        <v/>
      </c>
      <c r="S509" s="105"/>
      <c r="T509" s="103" t="s">
        <v>366</v>
      </c>
      <c r="U509" s="103" t="s">
        <v>56</v>
      </c>
      <c r="V509" s="105"/>
    </row>
    <row r="510" spans="1:22" ht="13.5">
      <c r="A510" s="102">
        <v>45625.960329374997</v>
      </c>
      <c r="B510" s="103" t="s">
        <v>381</v>
      </c>
      <c r="C510" s="104" t="str">
        <f t="shared" si="75"/>
        <v>×</v>
      </c>
      <c r="D510" s="104" t="str">
        <f t="shared" si="75"/>
        <v>○</v>
      </c>
      <c r="E510" s="104" t="str">
        <f t="shared" si="75"/>
        <v>○</v>
      </c>
      <c r="F510" s="104" t="str">
        <f t="shared" si="75"/>
        <v>×</v>
      </c>
      <c r="G510" s="103" t="s">
        <v>13</v>
      </c>
      <c r="H510" s="103" t="s">
        <v>27</v>
      </c>
      <c r="I510" s="103" t="s">
        <v>382</v>
      </c>
      <c r="J510" s="105"/>
      <c r="K510" s="103" t="s">
        <v>34</v>
      </c>
      <c r="L510" s="105"/>
      <c r="M510" s="110" t="str">
        <f t="shared" si="76"/>
        <v/>
      </c>
      <c r="N510" s="110" t="str">
        <f t="shared" si="76"/>
        <v/>
      </c>
      <c r="O510" s="110" t="str">
        <f t="shared" si="76"/>
        <v/>
      </c>
      <c r="P510" s="110" t="str">
        <f t="shared" si="76"/>
        <v/>
      </c>
      <c r="Q510" s="110" t="str">
        <f t="shared" si="76"/>
        <v/>
      </c>
      <c r="R510" s="105" t="str">
        <f t="shared" si="76"/>
        <v/>
      </c>
      <c r="S510" s="105"/>
      <c r="T510" s="103" t="s">
        <v>30</v>
      </c>
      <c r="U510" s="103" t="s">
        <v>56</v>
      </c>
      <c r="V510" s="105"/>
    </row>
    <row r="511" spans="1:22" ht="13.5">
      <c r="A511" s="102">
        <v>45626.308797106482</v>
      </c>
      <c r="B511" s="103" t="s">
        <v>57</v>
      </c>
      <c r="C511" s="104" t="str">
        <f t="shared" si="75"/>
        <v>×</v>
      </c>
      <c r="D511" s="104" t="str">
        <f t="shared" si="75"/>
        <v>○</v>
      </c>
      <c r="E511" s="104" t="str">
        <f t="shared" si="75"/>
        <v>×</v>
      </c>
      <c r="F511" s="104" t="str">
        <f t="shared" si="75"/>
        <v>×</v>
      </c>
      <c r="G511" s="103" t="s">
        <v>13</v>
      </c>
      <c r="H511" s="103" t="s">
        <v>77</v>
      </c>
      <c r="I511" s="103" t="s">
        <v>401</v>
      </c>
      <c r="J511" s="105"/>
      <c r="K511" s="103" t="s">
        <v>34</v>
      </c>
      <c r="L511" s="105"/>
      <c r="M511" s="110" t="str">
        <f t="shared" si="76"/>
        <v/>
      </c>
      <c r="N511" s="110" t="str">
        <f t="shared" si="76"/>
        <v/>
      </c>
      <c r="O511" s="110" t="str">
        <f t="shared" si="76"/>
        <v/>
      </c>
      <c r="P511" s="110" t="str">
        <f t="shared" si="76"/>
        <v/>
      </c>
      <c r="Q511" s="110" t="str">
        <f t="shared" si="76"/>
        <v/>
      </c>
      <c r="R511" s="105" t="str">
        <f t="shared" si="76"/>
        <v/>
      </c>
      <c r="S511" s="105"/>
      <c r="T511" s="103" t="s">
        <v>30</v>
      </c>
      <c r="U511" s="103" t="s">
        <v>56</v>
      </c>
      <c r="V511" s="105"/>
    </row>
    <row r="512" spans="1:22" ht="13.5">
      <c r="A512" s="102">
        <v>45626.326867326388</v>
      </c>
      <c r="B512" s="103" t="s">
        <v>93</v>
      </c>
      <c r="C512" s="104" t="str">
        <f t="shared" si="75"/>
        <v>×</v>
      </c>
      <c r="D512" s="104" t="str">
        <f t="shared" si="75"/>
        <v>×</v>
      </c>
      <c r="E512" s="104" t="str">
        <f t="shared" si="75"/>
        <v>○</v>
      </c>
      <c r="F512" s="104" t="str">
        <f t="shared" si="75"/>
        <v>×</v>
      </c>
      <c r="G512" s="103" t="s">
        <v>13</v>
      </c>
      <c r="H512" s="103" t="s">
        <v>32</v>
      </c>
      <c r="I512" s="103" t="s">
        <v>406</v>
      </c>
      <c r="J512" s="105"/>
      <c r="K512" s="103" t="s">
        <v>16</v>
      </c>
      <c r="L512" s="103" t="s">
        <v>29</v>
      </c>
      <c r="M512" s="108" t="str">
        <f t="shared" ref="M512:R521" si="77">IF(ISERROR(SEARCH(M$1,$L512)),"","○")</f>
        <v/>
      </c>
      <c r="N512" s="108" t="str">
        <f t="shared" si="77"/>
        <v/>
      </c>
      <c r="O512" s="108" t="str">
        <f t="shared" si="77"/>
        <v/>
      </c>
      <c r="P512" s="108" t="str">
        <f t="shared" si="77"/>
        <v/>
      </c>
      <c r="Q512" s="108" t="str">
        <f t="shared" si="77"/>
        <v/>
      </c>
      <c r="R512" s="103" t="str">
        <f t="shared" si="77"/>
        <v>○</v>
      </c>
      <c r="S512" s="105"/>
      <c r="T512" s="103" t="s">
        <v>24</v>
      </c>
      <c r="U512" s="103" t="s">
        <v>56</v>
      </c>
      <c r="V512" s="105"/>
    </row>
    <row r="513" spans="1:22" ht="13.5">
      <c r="A513" s="102">
        <v>45626.336234479168</v>
      </c>
      <c r="B513" s="103" t="s">
        <v>90</v>
      </c>
      <c r="C513" s="104" t="str">
        <f t="shared" si="75"/>
        <v>×</v>
      </c>
      <c r="D513" s="104" t="str">
        <f t="shared" si="75"/>
        <v>×</v>
      </c>
      <c r="E513" s="104" t="str">
        <f t="shared" si="75"/>
        <v>○</v>
      </c>
      <c r="F513" s="104" t="str">
        <f t="shared" si="75"/>
        <v>×</v>
      </c>
      <c r="G513" s="103" t="s">
        <v>13</v>
      </c>
      <c r="H513" s="103" t="s">
        <v>32</v>
      </c>
      <c r="I513" s="103" t="s">
        <v>412</v>
      </c>
      <c r="J513" s="105"/>
      <c r="K513" s="103" t="s">
        <v>16</v>
      </c>
      <c r="L513" s="103" t="s">
        <v>189</v>
      </c>
      <c r="M513" s="108" t="str">
        <f t="shared" si="77"/>
        <v/>
      </c>
      <c r="N513" s="108" t="str">
        <f t="shared" si="77"/>
        <v/>
      </c>
      <c r="O513" s="108" t="str">
        <f t="shared" si="77"/>
        <v/>
      </c>
      <c r="P513" s="108" t="str">
        <f t="shared" si="77"/>
        <v>○</v>
      </c>
      <c r="Q513" s="108" t="str">
        <f t="shared" si="77"/>
        <v>○</v>
      </c>
      <c r="R513" s="103" t="str">
        <f t="shared" si="77"/>
        <v/>
      </c>
      <c r="S513" s="103" t="s">
        <v>413</v>
      </c>
      <c r="T513" s="103" t="s">
        <v>24</v>
      </c>
      <c r="U513" s="103" t="s">
        <v>56</v>
      </c>
      <c r="V513" s="105"/>
    </row>
    <row r="514" spans="1:22" ht="13.5">
      <c r="A514" s="102">
        <v>45626.337340775463</v>
      </c>
      <c r="B514" s="103" t="s">
        <v>90</v>
      </c>
      <c r="C514" s="104" t="str">
        <f t="shared" si="75"/>
        <v>×</v>
      </c>
      <c r="D514" s="104" t="str">
        <f t="shared" si="75"/>
        <v>×</v>
      </c>
      <c r="E514" s="104" t="str">
        <f t="shared" si="75"/>
        <v>○</v>
      </c>
      <c r="F514" s="104" t="str">
        <f t="shared" si="75"/>
        <v>×</v>
      </c>
      <c r="G514" s="103" t="s">
        <v>20</v>
      </c>
      <c r="H514" s="105"/>
      <c r="I514" s="105"/>
      <c r="J514" s="103" t="s">
        <v>58</v>
      </c>
      <c r="K514" s="103" t="s">
        <v>16</v>
      </c>
      <c r="L514" s="103" t="s">
        <v>39</v>
      </c>
      <c r="M514" s="108" t="str">
        <f t="shared" si="77"/>
        <v/>
      </c>
      <c r="N514" s="108" t="str">
        <f t="shared" si="77"/>
        <v>○</v>
      </c>
      <c r="O514" s="108" t="str">
        <f t="shared" si="77"/>
        <v/>
      </c>
      <c r="P514" s="108" t="str">
        <f t="shared" si="77"/>
        <v/>
      </c>
      <c r="Q514" s="108" t="str">
        <f t="shared" si="77"/>
        <v/>
      </c>
      <c r="R514" s="103" t="str">
        <f t="shared" si="77"/>
        <v/>
      </c>
      <c r="S514" s="105"/>
      <c r="T514" s="103" t="s">
        <v>30</v>
      </c>
      <c r="U514" s="103" t="s">
        <v>56</v>
      </c>
      <c r="V514" s="105"/>
    </row>
    <row r="515" spans="1:22" ht="13.5">
      <c r="A515" s="102">
        <v>45626.337724826386</v>
      </c>
      <c r="B515" s="103" t="s">
        <v>93</v>
      </c>
      <c r="C515" s="104" t="str">
        <f t="shared" si="75"/>
        <v>×</v>
      </c>
      <c r="D515" s="104" t="str">
        <f t="shared" si="75"/>
        <v>×</v>
      </c>
      <c r="E515" s="104" t="str">
        <f t="shared" si="75"/>
        <v>○</v>
      </c>
      <c r="F515" s="104" t="str">
        <f t="shared" si="75"/>
        <v>×</v>
      </c>
      <c r="G515" s="103" t="s">
        <v>20</v>
      </c>
      <c r="H515" s="105"/>
      <c r="I515" s="105"/>
      <c r="J515" s="103" t="s">
        <v>186</v>
      </c>
      <c r="K515" s="103" t="s">
        <v>16</v>
      </c>
      <c r="L515" s="103" t="s">
        <v>39</v>
      </c>
      <c r="M515" s="108" t="str">
        <f t="shared" si="77"/>
        <v/>
      </c>
      <c r="N515" s="108" t="str">
        <f t="shared" si="77"/>
        <v>○</v>
      </c>
      <c r="O515" s="108" t="str">
        <f t="shared" si="77"/>
        <v/>
      </c>
      <c r="P515" s="108" t="str">
        <f t="shared" si="77"/>
        <v/>
      </c>
      <c r="Q515" s="108" t="str">
        <f t="shared" si="77"/>
        <v/>
      </c>
      <c r="R515" s="103" t="str">
        <f t="shared" si="77"/>
        <v/>
      </c>
      <c r="S515" s="105"/>
      <c r="T515" s="103" t="s">
        <v>35</v>
      </c>
      <c r="U515" s="103" t="s">
        <v>56</v>
      </c>
      <c r="V515" s="105"/>
    </row>
    <row r="516" spans="1:22" ht="13.5">
      <c r="A516" s="102">
        <v>45626.338487407411</v>
      </c>
      <c r="B516" s="103" t="s">
        <v>93</v>
      </c>
      <c r="C516" s="104" t="str">
        <f t="shared" si="75"/>
        <v>×</v>
      </c>
      <c r="D516" s="104" t="str">
        <f t="shared" si="75"/>
        <v>×</v>
      </c>
      <c r="E516" s="104" t="str">
        <f t="shared" si="75"/>
        <v>○</v>
      </c>
      <c r="F516" s="104" t="str">
        <f t="shared" si="75"/>
        <v>×</v>
      </c>
      <c r="G516" s="103" t="s">
        <v>20</v>
      </c>
      <c r="H516" s="105"/>
      <c r="I516" s="105"/>
      <c r="J516" s="103" t="s">
        <v>58</v>
      </c>
      <c r="K516" s="103" t="s">
        <v>16</v>
      </c>
      <c r="L516" s="103" t="s">
        <v>39</v>
      </c>
      <c r="M516" s="108" t="str">
        <f t="shared" si="77"/>
        <v/>
      </c>
      <c r="N516" s="108" t="str">
        <f t="shared" si="77"/>
        <v>○</v>
      </c>
      <c r="O516" s="108" t="str">
        <f t="shared" si="77"/>
        <v/>
      </c>
      <c r="P516" s="108" t="str">
        <f t="shared" si="77"/>
        <v/>
      </c>
      <c r="Q516" s="108" t="str">
        <f t="shared" si="77"/>
        <v/>
      </c>
      <c r="R516" s="103" t="str">
        <f t="shared" si="77"/>
        <v/>
      </c>
      <c r="S516" s="105"/>
      <c r="T516" s="103" t="s">
        <v>30</v>
      </c>
      <c r="U516" s="103" t="s">
        <v>56</v>
      </c>
      <c r="V516" s="105"/>
    </row>
    <row r="517" spans="1:22" ht="13.5">
      <c r="A517" s="102">
        <v>45626.338491979172</v>
      </c>
      <c r="B517" s="103" t="s">
        <v>105</v>
      </c>
      <c r="C517" s="104" t="str">
        <f t="shared" si="75"/>
        <v>×</v>
      </c>
      <c r="D517" s="104" t="str">
        <f t="shared" si="75"/>
        <v>×</v>
      </c>
      <c r="E517" s="104" t="str">
        <f t="shared" si="75"/>
        <v>○</v>
      </c>
      <c r="F517" s="104" t="str">
        <f t="shared" si="75"/>
        <v>×</v>
      </c>
      <c r="G517" s="103" t="s">
        <v>20</v>
      </c>
      <c r="H517" s="105"/>
      <c r="I517" s="105"/>
      <c r="J517" s="103" t="s">
        <v>58</v>
      </c>
      <c r="K517" s="103" t="s">
        <v>16</v>
      </c>
      <c r="L517" s="103" t="s">
        <v>39</v>
      </c>
      <c r="M517" s="108" t="str">
        <f t="shared" si="77"/>
        <v/>
      </c>
      <c r="N517" s="108" t="str">
        <f t="shared" si="77"/>
        <v>○</v>
      </c>
      <c r="O517" s="108" t="str">
        <f t="shared" si="77"/>
        <v/>
      </c>
      <c r="P517" s="108" t="str">
        <f t="shared" si="77"/>
        <v/>
      </c>
      <c r="Q517" s="108" t="str">
        <f t="shared" si="77"/>
        <v/>
      </c>
      <c r="R517" s="103" t="str">
        <f t="shared" si="77"/>
        <v/>
      </c>
      <c r="S517" s="105"/>
      <c r="T517" s="103" t="s">
        <v>30</v>
      </c>
      <c r="U517" s="103" t="s">
        <v>56</v>
      </c>
      <c r="V517" s="105"/>
    </row>
    <row r="518" spans="1:22" ht="13.5">
      <c r="A518" s="102">
        <v>45626.339139918986</v>
      </c>
      <c r="B518" s="103" t="s">
        <v>46</v>
      </c>
      <c r="C518" s="104" t="str">
        <f t="shared" si="75"/>
        <v>×</v>
      </c>
      <c r="D518" s="104" t="str">
        <f t="shared" si="75"/>
        <v>×</v>
      </c>
      <c r="E518" s="104" t="str">
        <f t="shared" si="75"/>
        <v>○</v>
      </c>
      <c r="F518" s="104" t="str">
        <f t="shared" si="75"/>
        <v>○</v>
      </c>
      <c r="G518" s="103" t="s">
        <v>13</v>
      </c>
      <c r="H518" s="103" t="s">
        <v>32</v>
      </c>
      <c r="I518" s="103" t="s">
        <v>419</v>
      </c>
      <c r="J518" s="105"/>
      <c r="K518" s="103" t="s">
        <v>34</v>
      </c>
      <c r="L518" s="105"/>
      <c r="M518" s="110" t="str">
        <f t="shared" si="77"/>
        <v/>
      </c>
      <c r="N518" s="110" t="str">
        <f t="shared" si="77"/>
        <v/>
      </c>
      <c r="O518" s="110" t="str">
        <f t="shared" si="77"/>
        <v/>
      </c>
      <c r="P518" s="110" t="str">
        <f t="shared" si="77"/>
        <v/>
      </c>
      <c r="Q518" s="110" t="str">
        <f t="shared" si="77"/>
        <v/>
      </c>
      <c r="R518" s="105" t="str">
        <f t="shared" si="77"/>
        <v/>
      </c>
      <c r="S518" s="105"/>
      <c r="T518" s="103" t="s">
        <v>35</v>
      </c>
      <c r="U518" s="103" t="s">
        <v>56</v>
      </c>
      <c r="V518" s="105"/>
    </row>
    <row r="519" spans="1:22" ht="13.5">
      <c r="A519" s="102">
        <v>45626.339655069445</v>
      </c>
      <c r="B519" s="103" t="s">
        <v>90</v>
      </c>
      <c r="C519" s="104" t="str">
        <f t="shared" si="75"/>
        <v>×</v>
      </c>
      <c r="D519" s="104" t="str">
        <f t="shared" si="75"/>
        <v>×</v>
      </c>
      <c r="E519" s="104" t="str">
        <f t="shared" si="75"/>
        <v>○</v>
      </c>
      <c r="F519" s="104" t="str">
        <f t="shared" si="75"/>
        <v>×</v>
      </c>
      <c r="G519" s="103" t="s">
        <v>20</v>
      </c>
      <c r="H519" s="105"/>
      <c r="I519" s="105"/>
      <c r="J519" s="103" t="s">
        <v>423</v>
      </c>
      <c r="K519" s="103" t="s">
        <v>34</v>
      </c>
      <c r="L519" s="105"/>
      <c r="M519" s="110" t="str">
        <f t="shared" si="77"/>
        <v/>
      </c>
      <c r="N519" s="110" t="str">
        <f t="shared" si="77"/>
        <v/>
      </c>
      <c r="O519" s="110" t="str">
        <f t="shared" si="77"/>
        <v/>
      </c>
      <c r="P519" s="110" t="str">
        <f t="shared" si="77"/>
        <v/>
      </c>
      <c r="Q519" s="110" t="str">
        <f t="shared" si="77"/>
        <v/>
      </c>
      <c r="R519" s="105" t="str">
        <f t="shared" si="77"/>
        <v/>
      </c>
      <c r="S519" s="105"/>
      <c r="T519" s="103" t="s">
        <v>24</v>
      </c>
      <c r="U519" s="103" t="s">
        <v>56</v>
      </c>
      <c r="V519" s="105"/>
    </row>
    <row r="520" spans="1:22" ht="13.5">
      <c r="A520" s="102">
        <v>45626.339881550928</v>
      </c>
      <c r="B520" s="103" t="s">
        <v>90</v>
      </c>
      <c r="C520" s="104" t="str">
        <f t="shared" si="75"/>
        <v>×</v>
      </c>
      <c r="D520" s="104" t="str">
        <f t="shared" si="75"/>
        <v>×</v>
      </c>
      <c r="E520" s="104" t="str">
        <f t="shared" si="75"/>
        <v>○</v>
      </c>
      <c r="F520" s="104" t="str">
        <f t="shared" si="75"/>
        <v>×</v>
      </c>
      <c r="G520" s="103" t="s">
        <v>20</v>
      </c>
      <c r="H520" s="105"/>
      <c r="I520" s="105"/>
      <c r="J520" s="103" t="s">
        <v>58</v>
      </c>
      <c r="K520" s="103" t="s">
        <v>16</v>
      </c>
      <c r="L520" s="103" t="s">
        <v>68</v>
      </c>
      <c r="M520" s="108" t="str">
        <f t="shared" si="77"/>
        <v/>
      </c>
      <c r="N520" s="108" t="str">
        <f t="shared" si="77"/>
        <v/>
      </c>
      <c r="O520" s="108" t="str">
        <f t="shared" si="77"/>
        <v/>
      </c>
      <c r="P520" s="108" t="str">
        <f t="shared" si="77"/>
        <v/>
      </c>
      <c r="Q520" s="108" t="str">
        <f t="shared" si="77"/>
        <v>○</v>
      </c>
      <c r="R520" s="103" t="str">
        <f t="shared" si="77"/>
        <v/>
      </c>
      <c r="S520" s="103" t="s">
        <v>424</v>
      </c>
      <c r="T520" s="103" t="s">
        <v>24</v>
      </c>
      <c r="U520" s="103" t="s">
        <v>56</v>
      </c>
      <c r="V520" s="103" t="s">
        <v>425</v>
      </c>
    </row>
    <row r="521" spans="1:22" ht="13.5">
      <c r="A521" s="102">
        <v>45626.341045636575</v>
      </c>
      <c r="B521" s="103" t="s">
        <v>428</v>
      </c>
      <c r="C521" s="104" t="str">
        <f t="shared" si="75"/>
        <v>×</v>
      </c>
      <c r="D521" s="104" t="str">
        <f t="shared" si="75"/>
        <v>○</v>
      </c>
      <c r="E521" s="104" t="str">
        <f t="shared" si="75"/>
        <v>○</v>
      </c>
      <c r="F521" s="104" t="str">
        <f t="shared" si="75"/>
        <v>×</v>
      </c>
      <c r="G521" s="103" t="s">
        <v>20</v>
      </c>
      <c r="H521" s="105"/>
      <c r="I521" s="105"/>
      <c r="J521" s="103" t="s">
        <v>58</v>
      </c>
      <c r="K521" s="103" t="s">
        <v>16</v>
      </c>
      <c r="L521" s="103" t="s">
        <v>59</v>
      </c>
      <c r="M521" s="108" t="str">
        <f t="shared" si="77"/>
        <v/>
      </c>
      <c r="N521" s="108" t="str">
        <f t="shared" si="77"/>
        <v/>
      </c>
      <c r="O521" s="108" t="str">
        <f t="shared" si="77"/>
        <v/>
      </c>
      <c r="P521" s="108" t="str">
        <f t="shared" si="77"/>
        <v>○</v>
      </c>
      <c r="Q521" s="108" t="str">
        <f t="shared" si="77"/>
        <v/>
      </c>
      <c r="R521" s="103" t="str">
        <f t="shared" si="77"/>
        <v/>
      </c>
      <c r="S521" s="105"/>
      <c r="T521" s="103" t="s">
        <v>24</v>
      </c>
      <c r="U521" s="103" t="s">
        <v>56</v>
      </c>
      <c r="V521" s="105"/>
    </row>
    <row r="522" spans="1:22" ht="13.5">
      <c r="A522" s="102">
        <v>45626.342248946763</v>
      </c>
      <c r="B522" s="103" t="s">
        <v>429</v>
      </c>
      <c r="C522" s="104" t="str">
        <f t="shared" ref="C522:F541" si="78">IF(ISERROR(FIND(C$1,$B522)),"×","○")</f>
        <v>×</v>
      </c>
      <c r="D522" s="104" t="str">
        <f t="shared" si="78"/>
        <v>×</v>
      </c>
      <c r="E522" s="104" t="str">
        <f t="shared" si="78"/>
        <v>○</v>
      </c>
      <c r="F522" s="104" t="str">
        <f t="shared" si="78"/>
        <v>○</v>
      </c>
      <c r="G522" s="103" t="s">
        <v>20</v>
      </c>
      <c r="H522" s="105"/>
      <c r="I522" s="105"/>
      <c r="J522" s="103" t="s">
        <v>58</v>
      </c>
      <c r="K522" s="103" t="s">
        <v>16</v>
      </c>
      <c r="L522" s="103" t="s">
        <v>59</v>
      </c>
      <c r="M522" s="108" t="str">
        <f t="shared" ref="M522:R531" si="79">IF(ISERROR(SEARCH(M$1,$L522)),"","○")</f>
        <v/>
      </c>
      <c r="N522" s="108" t="str">
        <f t="shared" si="79"/>
        <v/>
      </c>
      <c r="O522" s="108" t="str">
        <f t="shared" si="79"/>
        <v/>
      </c>
      <c r="P522" s="108" t="str">
        <f t="shared" si="79"/>
        <v>○</v>
      </c>
      <c r="Q522" s="108" t="str">
        <f t="shared" si="79"/>
        <v/>
      </c>
      <c r="R522" s="103" t="str">
        <f t="shared" si="79"/>
        <v/>
      </c>
      <c r="S522" s="105"/>
      <c r="T522" s="103" t="s">
        <v>24</v>
      </c>
      <c r="U522" s="103" t="s">
        <v>56</v>
      </c>
      <c r="V522" s="103" t="s">
        <v>441</v>
      </c>
    </row>
    <row r="523" spans="1:22" ht="13.5">
      <c r="A523" s="102">
        <v>45626.343343761575</v>
      </c>
      <c r="B523" s="103" t="s">
        <v>105</v>
      </c>
      <c r="C523" s="104" t="str">
        <f t="shared" si="78"/>
        <v>×</v>
      </c>
      <c r="D523" s="104" t="str">
        <f t="shared" si="78"/>
        <v>×</v>
      </c>
      <c r="E523" s="104" t="str">
        <f t="shared" si="78"/>
        <v>○</v>
      </c>
      <c r="F523" s="104" t="str">
        <f t="shared" si="78"/>
        <v>×</v>
      </c>
      <c r="G523" s="103" t="s">
        <v>20</v>
      </c>
      <c r="H523" s="105"/>
      <c r="I523" s="105"/>
      <c r="J523" s="103" t="s">
        <v>445</v>
      </c>
      <c r="K523" s="103" t="s">
        <v>16</v>
      </c>
      <c r="L523" s="103" t="s">
        <v>59</v>
      </c>
      <c r="M523" s="108" t="str">
        <f t="shared" si="79"/>
        <v/>
      </c>
      <c r="N523" s="108" t="str">
        <f t="shared" si="79"/>
        <v/>
      </c>
      <c r="O523" s="108" t="str">
        <f t="shared" si="79"/>
        <v/>
      </c>
      <c r="P523" s="108" t="str">
        <f t="shared" si="79"/>
        <v>○</v>
      </c>
      <c r="Q523" s="108" t="str">
        <f t="shared" si="79"/>
        <v/>
      </c>
      <c r="R523" s="103" t="str">
        <f t="shared" si="79"/>
        <v/>
      </c>
      <c r="S523" s="103" t="s">
        <v>446</v>
      </c>
      <c r="T523" s="103" t="s">
        <v>24</v>
      </c>
      <c r="U523" s="103" t="s">
        <v>56</v>
      </c>
      <c r="V523" s="105"/>
    </row>
    <row r="524" spans="1:22" ht="13.5">
      <c r="A524" s="102">
        <v>45626.345835879634</v>
      </c>
      <c r="B524" s="103" t="s">
        <v>93</v>
      </c>
      <c r="C524" s="104" t="str">
        <f t="shared" si="78"/>
        <v>×</v>
      </c>
      <c r="D524" s="104" t="str">
        <f t="shared" si="78"/>
        <v>×</v>
      </c>
      <c r="E524" s="104" t="str">
        <f t="shared" si="78"/>
        <v>○</v>
      </c>
      <c r="F524" s="104" t="str">
        <f t="shared" si="78"/>
        <v>×</v>
      </c>
      <c r="G524" s="103" t="s">
        <v>13</v>
      </c>
      <c r="H524" s="103" t="s">
        <v>32</v>
      </c>
      <c r="I524" s="103" t="s">
        <v>303</v>
      </c>
      <c r="J524" s="105"/>
      <c r="K524" s="103" t="s">
        <v>16</v>
      </c>
      <c r="L524" s="103" t="s">
        <v>29</v>
      </c>
      <c r="M524" s="108" t="str">
        <f t="shared" si="79"/>
        <v/>
      </c>
      <c r="N524" s="108" t="str">
        <f t="shared" si="79"/>
        <v/>
      </c>
      <c r="O524" s="108" t="str">
        <f t="shared" si="79"/>
        <v/>
      </c>
      <c r="P524" s="108" t="str">
        <f t="shared" si="79"/>
        <v/>
      </c>
      <c r="Q524" s="108" t="str">
        <f t="shared" si="79"/>
        <v/>
      </c>
      <c r="R524" s="103" t="str">
        <f t="shared" si="79"/>
        <v>○</v>
      </c>
      <c r="S524" s="105"/>
      <c r="T524" s="103" t="s">
        <v>35</v>
      </c>
      <c r="U524" s="103" t="s">
        <v>56</v>
      </c>
      <c r="V524" s="105"/>
    </row>
    <row r="525" spans="1:22" ht="13.5">
      <c r="A525" s="102">
        <v>45626.347356030092</v>
      </c>
      <c r="B525" s="103" t="s">
        <v>447</v>
      </c>
      <c r="C525" s="104" t="str">
        <f t="shared" si="78"/>
        <v>×</v>
      </c>
      <c r="D525" s="104" t="str">
        <f t="shared" si="78"/>
        <v>○</v>
      </c>
      <c r="E525" s="104" t="str">
        <f t="shared" si="78"/>
        <v>○</v>
      </c>
      <c r="F525" s="104" t="str">
        <f t="shared" si="78"/>
        <v>○</v>
      </c>
      <c r="G525" s="103" t="s">
        <v>20</v>
      </c>
      <c r="H525" s="105"/>
      <c r="I525" s="105"/>
      <c r="J525" s="103" t="s">
        <v>58</v>
      </c>
      <c r="K525" s="103" t="s">
        <v>16</v>
      </c>
      <c r="L525" s="103" t="s">
        <v>88</v>
      </c>
      <c r="M525" s="108" t="str">
        <f t="shared" si="79"/>
        <v/>
      </c>
      <c r="N525" s="108" t="str">
        <f t="shared" si="79"/>
        <v>○</v>
      </c>
      <c r="O525" s="108" t="str">
        <f t="shared" si="79"/>
        <v/>
      </c>
      <c r="P525" s="108" t="str">
        <f t="shared" si="79"/>
        <v/>
      </c>
      <c r="Q525" s="108" t="str">
        <f t="shared" si="79"/>
        <v>○</v>
      </c>
      <c r="R525" s="103" t="str">
        <f t="shared" si="79"/>
        <v/>
      </c>
      <c r="S525" s="103" t="s">
        <v>448</v>
      </c>
      <c r="T525" s="103" t="s">
        <v>449</v>
      </c>
      <c r="U525" s="103" t="s">
        <v>56</v>
      </c>
      <c r="V525" s="103" t="s">
        <v>450</v>
      </c>
    </row>
    <row r="526" spans="1:22" ht="13.5">
      <c r="A526" s="102">
        <v>45626.350160648144</v>
      </c>
      <c r="B526" s="103" t="s">
        <v>105</v>
      </c>
      <c r="C526" s="104" t="str">
        <f t="shared" si="78"/>
        <v>×</v>
      </c>
      <c r="D526" s="104" t="str">
        <f t="shared" si="78"/>
        <v>×</v>
      </c>
      <c r="E526" s="104" t="str">
        <f t="shared" si="78"/>
        <v>○</v>
      </c>
      <c r="F526" s="104" t="str">
        <f t="shared" si="78"/>
        <v>×</v>
      </c>
      <c r="G526" s="103" t="s">
        <v>20</v>
      </c>
      <c r="H526" s="105"/>
      <c r="I526" s="105"/>
      <c r="J526" s="103" t="s">
        <v>58</v>
      </c>
      <c r="K526" s="103" t="s">
        <v>16</v>
      </c>
      <c r="L526" s="103" t="s">
        <v>68</v>
      </c>
      <c r="M526" s="108" t="str">
        <f t="shared" si="79"/>
        <v/>
      </c>
      <c r="N526" s="108" t="str">
        <f t="shared" si="79"/>
        <v/>
      </c>
      <c r="O526" s="108" t="str">
        <f t="shared" si="79"/>
        <v/>
      </c>
      <c r="P526" s="108" t="str">
        <f t="shared" si="79"/>
        <v/>
      </c>
      <c r="Q526" s="108" t="str">
        <f t="shared" si="79"/>
        <v>○</v>
      </c>
      <c r="R526" s="103" t="str">
        <f t="shared" si="79"/>
        <v/>
      </c>
      <c r="S526" s="103" t="s">
        <v>453</v>
      </c>
      <c r="T526" s="103" t="s">
        <v>30</v>
      </c>
      <c r="U526" s="103" t="s">
        <v>56</v>
      </c>
      <c r="V526" s="105"/>
    </row>
    <row r="527" spans="1:22" ht="13.5">
      <c r="A527" s="102">
        <v>45626.35034237268</v>
      </c>
      <c r="B527" s="103" t="s">
        <v>93</v>
      </c>
      <c r="C527" s="104" t="str">
        <f t="shared" si="78"/>
        <v>×</v>
      </c>
      <c r="D527" s="104" t="str">
        <f t="shared" si="78"/>
        <v>×</v>
      </c>
      <c r="E527" s="104" t="str">
        <f t="shared" si="78"/>
        <v>○</v>
      </c>
      <c r="F527" s="104" t="str">
        <f t="shared" si="78"/>
        <v>×</v>
      </c>
      <c r="G527" s="103" t="s">
        <v>13</v>
      </c>
      <c r="H527" s="103" t="s">
        <v>77</v>
      </c>
      <c r="I527" s="103" t="s">
        <v>454</v>
      </c>
      <c r="J527" s="105"/>
      <c r="K527" s="103" t="s">
        <v>34</v>
      </c>
      <c r="L527" s="105"/>
      <c r="M527" s="110" t="str">
        <f t="shared" si="79"/>
        <v/>
      </c>
      <c r="N527" s="110" t="str">
        <f t="shared" si="79"/>
        <v/>
      </c>
      <c r="O527" s="110" t="str">
        <f t="shared" si="79"/>
        <v/>
      </c>
      <c r="P527" s="110" t="str">
        <f t="shared" si="79"/>
        <v/>
      </c>
      <c r="Q527" s="110" t="str">
        <f t="shared" si="79"/>
        <v/>
      </c>
      <c r="R527" s="105" t="str">
        <f t="shared" si="79"/>
        <v/>
      </c>
      <c r="S527" s="105"/>
      <c r="T527" s="103" t="s">
        <v>30</v>
      </c>
      <c r="U527" s="103" t="s">
        <v>56</v>
      </c>
      <c r="V527" s="105"/>
    </row>
    <row r="528" spans="1:22" ht="13.5">
      <c r="A528" s="102">
        <v>45626.354846793984</v>
      </c>
      <c r="B528" s="103" t="s">
        <v>461</v>
      </c>
      <c r="C528" s="104" t="str">
        <f t="shared" si="78"/>
        <v>×</v>
      </c>
      <c r="D528" s="104" t="str">
        <f t="shared" si="78"/>
        <v>○</v>
      </c>
      <c r="E528" s="104" t="str">
        <f t="shared" si="78"/>
        <v>○</v>
      </c>
      <c r="F528" s="104" t="str">
        <f t="shared" si="78"/>
        <v>×</v>
      </c>
      <c r="G528" s="103" t="s">
        <v>20</v>
      </c>
      <c r="H528" s="105"/>
      <c r="I528" s="105"/>
      <c r="J528" s="103" t="s">
        <v>58</v>
      </c>
      <c r="K528" s="103" t="s">
        <v>16</v>
      </c>
      <c r="L528" s="103" t="s">
        <v>68</v>
      </c>
      <c r="M528" s="108" t="str">
        <f t="shared" si="79"/>
        <v/>
      </c>
      <c r="N528" s="108" t="str">
        <f t="shared" si="79"/>
        <v/>
      </c>
      <c r="O528" s="108" t="str">
        <f t="shared" si="79"/>
        <v/>
      </c>
      <c r="P528" s="108" t="str">
        <f t="shared" si="79"/>
        <v/>
      </c>
      <c r="Q528" s="108" t="str">
        <f t="shared" si="79"/>
        <v>○</v>
      </c>
      <c r="R528" s="103" t="str">
        <f t="shared" si="79"/>
        <v/>
      </c>
      <c r="S528" s="103" t="s">
        <v>462</v>
      </c>
      <c r="T528" s="103" t="s">
        <v>30</v>
      </c>
      <c r="U528" s="103" t="s">
        <v>56</v>
      </c>
      <c r="V528" s="105"/>
    </row>
    <row r="529" spans="1:22" ht="13.5">
      <c r="A529" s="102">
        <v>45626.377531782404</v>
      </c>
      <c r="B529" s="103" t="s">
        <v>105</v>
      </c>
      <c r="C529" s="104" t="str">
        <f t="shared" si="78"/>
        <v>×</v>
      </c>
      <c r="D529" s="104" t="str">
        <f t="shared" si="78"/>
        <v>×</v>
      </c>
      <c r="E529" s="104" t="str">
        <f t="shared" si="78"/>
        <v>○</v>
      </c>
      <c r="F529" s="104" t="str">
        <f t="shared" si="78"/>
        <v>×</v>
      </c>
      <c r="G529" s="103" t="s">
        <v>20</v>
      </c>
      <c r="H529" s="105"/>
      <c r="I529" s="105"/>
      <c r="J529" s="103" t="s">
        <v>21</v>
      </c>
      <c r="K529" s="103" t="s">
        <v>16</v>
      </c>
      <c r="L529" s="103" t="s">
        <v>68</v>
      </c>
      <c r="M529" s="108" t="str">
        <f t="shared" si="79"/>
        <v/>
      </c>
      <c r="N529" s="108" t="str">
        <f t="shared" si="79"/>
        <v/>
      </c>
      <c r="O529" s="108" t="str">
        <f t="shared" si="79"/>
        <v/>
      </c>
      <c r="P529" s="108" t="str">
        <f t="shared" si="79"/>
        <v/>
      </c>
      <c r="Q529" s="108" t="str">
        <f t="shared" si="79"/>
        <v>○</v>
      </c>
      <c r="R529" s="103" t="str">
        <f t="shared" si="79"/>
        <v/>
      </c>
      <c r="S529" s="103" t="s">
        <v>485</v>
      </c>
      <c r="T529" s="103" t="s">
        <v>486</v>
      </c>
      <c r="U529" s="103" t="s">
        <v>56</v>
      </c>
      <c r="V529" s="103" t="s">
        <v>487</v>
      </c>
    </row>
    <row r="530" spans="1:22" ht="13.5">
      <c r="A530" s="102">
        <v>45626.379525312499</v>
      </c>
      <c r="B530" s="103" t="s">
        <v>90</v>
      </c>
      <c r="C530" s="104" t="str">
        <f t="shared" si="78"/>
        <v>×</v>
      </c>
      <c r="D530" s="104" t="str">
        <f t="shared" si="78"/>
        <v>×</v>
      </c>
      <c r="E530" s="104" t="str">
        <f t="shared" si="78"/>
        <v>○</v>
      </c>
      <c r="F530" s="104" t="str">
        <f t="shared" si="78"/>
        <v>×</v>
      </c>
      <c r="G530" s="103" t="s">
        <v>20</v>
      </c>
      <c r="H530" s="105"/>
      <c r="I530" s="105"/>
      <c r="J530" s="103" t="s">
        <v>492</v>
      </c>
      <c r="K530" s="103" t="s">
        <v>16</v>
      </c>
      <c r="L530" s="103" t="s">
        <v>68</v>
      </c>
      <c r="M530" s="108" t="str">
        <f t="shared" si="79"/>
        <v/>
      </c>
      <c r="N530" s="108" t="str">
        <f t="shared" si="79"/>
        <v/>
      </c>
      <c r="O530" s="108" t="str">
        <f t="shared" si="79"/>
        <v/>
      </c>
      <c r="P530" s="108" t="str">
        <f t="shared" si="79"/>
        <v/>
      </c>
      <c r="Q530" s="108" t="str">
        <f t="shared" si="79"/>
        <v>○</v>
      </c>
      <c r="R530" s="103" t="str">
        <f t="shared" si="79"/>
        <v/>
      </c>
      <c r="S530" s="103" t="s">
        <v>493</v>
      </c>
      <c r="T530" s="103" t="s">
        <v>30</v>
      </c>
      <c r="U530" s="103" t="s">
        <v>56</v>
      </c>
      <c r="V530" s="103" t="s">
        <v>494</v>
      </c>
    </row>
    <row r="531" spans="1:22" ht="13.5">
      <c r="A531" s="102">
        <v>45626.381016967593</v>
      </c>
      <c r="B531" s="103" t="s">
        <v>495</v>
      </c>
      <c r="C531" s="104" t="str">
        <f t="shared" si="78"/>
        <v>×</v>
      </c>
      <c r="D531" s="104" t="str">
        <f t="shared" si="78"/>
        <v>○</v>
      </c>
      <c r="E531" s="104" t="str">
        <f t="shared" si="78"/>
        <v>○</v>
      </c>
      <c r="F531" s="104" t="str">
        <f t="shared" si="78"/>
        <v>○</v>
      </c>
      <c r="G531" s="103" t="s">
        <v>13</v>
      </c>
      <c r="H531" s="103" t="s">
        <v>32</v>
      </c>
      <c r="I531" s="103" t="s">
        <v>496</v>
      </c>
      <c r="J531" s="105"/>
      <c r="K531" s="103" t="s">
        <v>34</v>
      </c>
      <c r="L531" s="105"/>
      <c r="M531" s="110" t="str">
        <f t="shared" si="79"/>
        <v/>
      </c>
      <c r="N531" s="110" t="str">
        <f t="shared" si="79"/>
        <v/>
      </c>
      <c r="O531" s="110" t="str">
        <f t="shared" si="79"/>
        <v/>
      </c>
      <c r="P531" s="110" t="str">
        <f t="shared" si="79"/>
        <v/>
      </c>
      <c r="Q531" s="110" t="str">
        <f t="shared" si="79"/>
        <v/>
      </c>
      <c r="R531" s="105" t="str">
        <f t="shared" si="79"/>
        <v/>
      </c>
      <c r="S531" s="105"/>
      <c r="T531" s="103" t="s">
        <v>30</v>
      </c>
      <c r="U531" s="103" t="s">
        <v>56</v>
      </c>
      <c r="V531" s="105"/>
    </row>
    <row r="532" spans="1:22" ht="13.5">
      <c r="A532" s="102">
        <v>45626.407935740739</v>
      </c>
      <c r="B532" s="103" t="s">
        <v>12</v>
      </c>
      <c r="C532" s="104" t="str">
        <f t="shared" si="78"/>
        <v>○</v>
      </c>
      <c r="D532" s="104" t="str">
        <f t="shared" si="78"/>
        <v>○</v>
      </c>
      <c r="E532" s="104" t="str">
        <f t="shared" si="78"/>
        <v>×</v>
      </c>
      <c r="F532" s="104" t="str">
        <f t="shared" si="78"/>
        <v>×</v>
      </c>
      <c r="G532" s="103" t="s">
        <v>13</v>
      </c>
      <c r="H532" s="103" t="s">
        <v>77</v>
      </c>
      <c r="I532" s="103" t="s">
        <v>414</v>
      </c>
      <c r="J532" s="105"/>
      <c r="K532" s="103" t="s">
        <v>34</v>
      </c>
      <c r="L532" s="105"/>
      <c r="M532" s="110" t="str">
        <f t="shared" ref="M532:R541" si="80">IF(ISERROR(SEARCH(M$1,$L532)),"","○")</f>
        <v/>
      </c>
      <c r="N532" s="110" t="str">
        <f t="shared" si="80"/>
        <v/>
      </c>
      <c r="O532" s="110" t="str">
        <f t="shared" si="80"/>
        <v/>
      </c>
      <c r="P532" s="110" t="str">
        <f t="shared" si="80"/>
        <v/>
      </c>
      <c r="Q532" s="110" t="str">
        <f t="shared" si="80"/>
        <v/>
      </c>
      <c r="R532" s="105" t="str">
        <f t="shared" si="80"/>
        <v/>
      </c>
      <c r="S532" s="105"/>
      <c r="T532" s="103" t="s">
        <v>61</v>
      </c>
      <c r="U532" s="103" t="s">
        <v>56</v>
      </c>
      <c r="V532" s="105"/>
    </row>
    <row r="533" spans="1:22" ht="13.5">
      <c r="A533" s="102">
        <v>45626.443172916668</v>
      </c>
      <c r="B533" s="103" t="s">
        <v>93</v>
      </c>
      <c r="C533" s="104" t="str">
        <f t="shared" si="78"/>
        <v>×</v>
      </c>
      <c r="D533" s="104" t="str">
        <f t="shared" si="78"/>
        <v>×</v>
      </c>
      <c r="E533" s="104" t="str">
        <f t="shared" si="78"/>
        <v>○</v>
      </c>
      <c r="F533" s="104" t="str">
        <f t="shared" si="78"/>
        <v>×</v>
      </c>
      <c r="G533" s="103" t="s">
        <v>20</v>
      </c>
      <c r="H533" s="105"/>
      <c r="I533" s="105"/>
      <c r="J533" s="103" t="s">
        <v>58</v>
      </c>
      <c r="K533" s="103" t="s">
        <v>16</v>
      </c>
      <c r="L533" s="103" t="s">
        <v>68</v>
      </c>
      <c r="M533" s="108" t="str">
        <f t="shared" si="80"/>
        <v/>
      </c>
      <c r="N533" s="108" t="str">
        <f t="shared" si="80"/>
        <v/>
      </c>
      <c r="O533" s="108" t="str">
        <f t="shared" si="80"/>
        <v/>
      </c>
      <c r="P533" s="108" t="str">
        <f t="shared" si="80"/>
        <v/>
      </c>
      <c r="Q533" s="108" t="str">
        <f t="shared" si="80"/>
        <v>○</v>
      </c>
      <c r="R533" s="103" t="str">
        <f t="shared" si="80"/>
        <v/>
      </c>
      <c r="S533" s="105"/>
      <c r="T533" s="103" t="s">
        <v>24</v>
      </c>
      <c r="U533" s="103" t="s">
        <v>56</v>
      </c>
      <c r="V533" s="103" t="s">
        <v>524</v>
      </c>
    </row>
    <row r="534" spans="1:22" ht="13.5">
      <c r="A534" s="102">
        <v>45626.445911828705</v>
      </c>
      <c r="B534" s="103" t="s">
        <v>93</v>
      </c>
      <c r="C534" s="104" t="str">
        <f t="shared" si="78"/>
        <v>×</v>
      </c>
      <c r="D534" s="104" t="str">
        <f t="shared" si="78"/>
        <v>×</v>
      </c>
      <c r="E534" s="104" t="str">
        <f t="shared" si="78"/>
        <v>○</v>
      </c>
      <c r="F534" s="104" t="str">
        <f t="shared" si="78"/>
        <v>×</v>
      </c>
      <c r="G534" s="103" t="s">
        <v>13</v>
      </c>
      <c r="H534" s="103" t="s">
        <v>32</v>
      </c>
      <c r="I534" s="103" t="s">
        <v>525</v>
      </c>
      <c r="J534" s="105"/>
      <c r="K534" s="103" t="s">
        <v>16</v>
      </c>
      <c r="L534" s="103" t="s">
        <v>29</v>
      </c>
      <c r="M534" s="108" t="str">
        <f t="shared" si="80"/>
        <v/>
      </c>
      <c r="N534" s="108" t="str">
        <f t="shared" si="80"/>
        <v/>
      </c>
      <c r="O534" s="108" t="str">
        <f t="shared" si="80"/>
        <v/>
      </c>
      <c r="P534" s="108" t="str">
        <f t="shared" si="80"/>
        <v/>
      </c>
      <c r="Q534" s="108" t="str">
        <f t="shared" si="80"/>
        <v/>
      </c>
      <c r="R534" s="103" t="str">
        <f t="shared" si="80"/>
        <v>○</v>
      </c>
      <c r="S534" s="105"/>
      <c r="T534" s="103" t="s">
        <v>35</v>
      </c>
      <c r="U534" s="103" t="s">
        <v>56</v>
      </c>
      <c r="V534" s="105"/>
    </row>
    <row r="535" spans="1:22" ht="13.5">
      <c r="A535" s="102">
        <v>45626.492505208334</v>
      </c>
      <c r="B535" s="103" t="s">
        <v>217</v>
      </c>
      <c r="C535" s="104" t="str">
        <f t="shared" si="78"/>
        <v>○</v>
      </c>
      <c r="D535" s="104" t="str">
        <f t="shared" si="78"/>
        <v>○</v>
      </c>
      <c r="E535" s="104" t="str">
        <f t="shared" si="78"/>
        <v>×</v>
      </c>
      <c r="F535" s="104" t="str">
        <f t="shared" si="78"/>
        <v>×</v>
      </c>
      <c r="G535" s="103" t="s">
        <v>13</v>
      </c>
      <c r="H535" s="103" t="s">
        <v>27</v>
      </c>
      <c r="I535" s="103" t="s">
        <v>540</v>
      </c>
      <c r="J535" s="105"/>
      <c r="K535" s="103" t="s">
        <v>16</v>
      </c>
      <c r="L535" s="103" t="s">
        <v>541</v>
      </c>
      <c r="M535" s="108" t="str">
        <f t="shared" si="80"/>
        <v/>
      </c>
      <c r="N535" s="108" t="str">
        <f t="shared" si="80"/>
        <v/>
      </c>
      <c r="O535" s="108" t="str">
        <f t="shared" si="80"/>
        <v/>
      </c>
      <c r="P535" s="108" t="str">
        <f t="shared" si="80"/>
        <v/>
      </c>
      <c r="Q535" s="108" t="str">
        <f t="shared" si="80"/>
        <v/>
      </c>
      <c r="R535" s="103" t="str">
        <f t="shared" si="80"/>
        <v/>
      </c>
      <c r="S535" s="105"/>
      <c r="T535" s="103" t="s">
        <v>61</v>
      </c>
      <c r="U535" s="103" t="s">
        <v>56</v>
      </c>
      <c r="V535" s="105"/>
    </row>
    <row r="536" spans="1:22" ht="13.5">
      <c r="A536" s="102">
        <v>45626.49615201389</v>
      </c>
      <c r="B536" s="103" t="s">
        <v>90</v>
      </c>
      <c r="C536" s="104" t="str">
        <f t="shared" si="78"/>
        <v>×</v>
      </c>
      <c r="D536" s="104" t="str">
        <f t="shared" si="78"/>
        <v>×</v>
      </c>
      <c r="E536" s="104" t="str">
        <f t="shared" si="78"/>
        <v>○</v>
      </c>
      <c r="F536" s="104" t="str">
        <f t="shared" si="78"/>
        <v>×</v>
      </c>
      <c r="G536" s="103" t="s">
        <v>20</v>
      </c>
      <c r="H536" s="105"/>
      <c r="I536" s="105"/>
      <c r="J536" s="103" t="s">
        <v>545</v>
      </c>
      <c r="K536" s="103" t="s">
        <v>16</v>
      </c>
      <c r="L536" s="103" t="s">
        <v>29</v>
      </c>
      <c r="M536" s="108" t="str">
        <f t="shared" si="80"/>
        <v/>
      </c>
      <c r="N536" s="108" t="str">
        <f t="shared" si="80"/>
        <v/>
      </c>
      <c r="O536" s="108" t="str">
        <f t="shared" si="80"/>
        <v/>
      </c>
      <c r="P536" s="108" t="str">
        <f t="shared" si="80"/>
        <v/>
      </c>
      <c r="Q536" s="108" t="str">
        <f t="shared" si="80"/>
        <v/>
      </c>
      <c r="R536" s="103" t="str">
        <f t="shared" si="80"/>
        <v>○</v>
      </c>
      <c r="S536" s="105"/>
      <c r="T536" s="103" t="s">
        <v>35</v>
      </c>
      <c r="U536" s="103" t="s">
        <v>56</v>
      </c>
      <c r="V536" s="105"/>
    </row>
    <row r="537" spans="1:22" ht="13.5">
      <c r="A537" s="102">
        <v>45626.500438900461</v>
      </c>
      <c r="B537" s="103" t="s">
        <v>547</v>
      </c>
      <c r="C537" s="104" t="str">
        <f t="shared" si="78"/>
        <v>×</v>
      </c>
      <c r="D537" s="104" t="str">
        <f t="shared" si="78"/>
        <v>○</v>
      </c>
      <c r="E537" s="104" t="str">
        <f t="shared" si="78"/>
        <v>○</v>
      </c>
      <c r="F537" s="104" t="str">
        <f t="shared" si="78"/>
        <v>○</v>
      </c>
      <c r="G537" s="103" t="s">
        <v>20</v>
      </c>
      <c r="H537" s="105"/>
      <c r="I537" s="105"/>
      <c r="J537" s="103" t="s">
        <v>21</v>
      </c>
      <c r="K537" s="103" t="s">
        <v>16</v>
      </c>
      <c r="L537" s="103" t="s">
        <v>59</v>
      </c>
      <c r="M537" s="108" t="str">
        <f t="shared" si="80"/>
        <v/>
      </c>
      <c r="N537" s="108" t="str">
        <f t="shared" si="80"/>
        <v/>
      </c>
      <c r="O537" s="108" t="str">
        <f t="shared" si="80"/>
        <v/>
      </c>
      <c r="P537" s="108" t="str">
        <f t="shared" si="80"/>
        <v>○</v>
      </c>
      <c r="Q537" s="108" t="str">
        <f t="shared" si="80"/>
        <v/>
      </c>
      <c r="R537" s="103" t="str">
        <f t="shared" si="80"/>
        <v/>
      </c>
      <c r="S537" s="103" t="s">
        <v>548</v>
      </c>
      <c r="T537" s="103" t="s">
        <v>30</v>
      </c>
      <c r="U537" s="103" t="s">
        <v>56</v>
      </c>
      <c r="V537" s="103" t="s">
        <v>549</v>
      </c>
    </row>
    <row r="538" spans="1:22" ht="13.5">
      <c r="A538" s="102">
        <v>45626.50221846065</v>
      </c>
      <c r="B538" s="103" t="s">
        <v>64</v>
      </c>
      <c r="C538" s="104" t="str">
        <f t="shared" si="78"/>
        <v>○</v>
      </c>
      <c r="D538" s="104" t="str">
        <f t="shared" si="78"/>
        <v>○</v>
      </c>
      <c r="E538" s="104" t="str">
        <f t="shared" si="78"/>
        <v>×</v>
      </c>
      <c r="F538" s="104" t="str">
        <f t="shared" si="78"/>
        <v>×</v>
      </c>
      <c r="G538" s="103" t="s">
        <v>13</v>
      </c>
      <c r="H538" s="103" t="s">
        <v>14</v>
      </c>
      <c r="I538" s="103" t="s">
        <v>550</v>
      </c>
      <c r="J538" s="105"/>
      <c r="K538" s="103" t="s">
        <v>16</v>
      </c>
      <c r="L538" s="103" t="s">
        <v>551</v>
      </c>
      <c r="M538" s="108" t="str">
        <f t="shared" si="80"/>
        <v/>
      </c>
      <c r="N538" s="108" t="str">
        <f t="shared" si="80"/>
        <v/>
      </c>
      <c r="O538" s="108" t="str">
        <f t="shared" si="80"/>
        <v/>
      </c>
      <c r="P538" s="108" t="str">
        <f t="shared" si="80"/>
        <v/>
      </c>
      <c r="Q538" s="108" t="str">
        <f t="shared" si="80"/>
        <v/>
      </c>
      <c r="R538" s="103" t="str">
        <f t="shared" si="80"/>
        <v/>
      </c>
      <c r="S538" s="105"/>
      <c r="T538" s="103" t="s">
        <v>30</v>
      </c>
      <c r="U538" s="103" t="s">
        <v>56</v>
      </c>
      <c r="V538" s="105"/>
    </row>
    <row r="539" spans="1:22" ht="13.5">
      <c r="A539" s="102">
        <v>45626.54307112268</v>
      </c>
      <c r="B539" s="103" t="s">
        <v>564</v>
      </c>
      <c r="C539" s="104" t="str">
        <f t="shared" si="78"/>
        <v>×</v>
      </c>
      <c r="D539" s="104" t="str">
        <f t="shared" si="78"/>
        <v>○</v>
      </c>
      <c r="E539" s="104" t="str">
        <f t="shared" si="78"/>
        <v>○</v>
      </c>
      <c r="F539" s="104" t="str">
        <f t="shared" si="78"/>
        <v>×</v>
      </c>
      <c r="G539" s="103" t="s">
        <v>20</v>
      </c>
      <c r="H539" s="105"/>
      <c r="I539" s="105"/>
      <c r="J539" s="103" t="s">
        <v>58</v>
      </c>
      <c r="K539" s="103" t="s">
        <v>16</v>
      </c>
      <c r="L539" s="103" t="s">
        <v>39</v>
      </c>
      <c r="M539" s="108" t="str">
        <f t="shared" si="80"/>
        <v/>
      </c>
      <c r="N539" s="108" t="str">
        <f t="shared" si="80"/>
        <v>○</v>
      </c>
      <c r="O539" s="108" t="str">
        <f t="shared" si="80"/>
        <v/>
      </c>
      <c r="P539" s="108" t="str">
        <f t="shared" si="80"/>
        <v/>
      </c>
      <c r="Q539" s="108" t="str">
        <f t="shared" si="80"/>
        <v/>
      </c>
      <c r="R539" s="103" t="str">
        <f t="shared" si="80"/>
        <v/>
      </c>
      <c r="S539" s="105"/>
      <c r="T539" s="103" t="s">
        <v>30</v>
      </c>
      <c r="U539" s="103" t="s">
        <v>56</v>
      </c>
      <c r="V539" s="105"/>
    </row>
    <row r="540" spans="1:22" ht="13.5">
      <c r="A540" s="102">
        <v>45626.556974270832</v>
      </c>
      <c r="B540" s="103" t="s">
        <v>164</v>
      </c>
      <c r="C540" s="104" t="str">
        <f t="shared" si="78"/>
        <v>×</v>
      </c>
      <c r="D540" s="104" t="str">
        <f t="shared" si="78"/>
        <v>○</v>
      </c>
      <c r="E540" s="104" t="str">
        <f t="shared" si="78"/>
        <v>×</v>
      </c>
      <c r="F540" s="104" t="str">
        <f t="shared" si="78"/>
        <v>×</v>
      </c>
      <c r="G540" s="103" t="s">
        <v>13</v>
      </c>
      <c r="H540" s="103" t="s">
        <v>27</v>
      </c>
      <c r="I540" s="103" t="s">
        <v>567</v>
      </c>
      <c r="J540" s="105"/>
      <c r="K540" s="103" t="s">
        <v>34</v>
      </c>
      <c r="L540" s="105"/>
      <c r="M540" s="110" t="str">
        <f t="shared" si="80"/>
        <v/>
      </c>
      <c r="N540" s="110" t="str">
        <f t="shared" si="80"/>
        <v/>
      </c>
      <c r="O540" s="110" t="str">
        <f t="shared" si="80"/>
        <v/>
      </c>
      <c r="P540" s="110" t="str">
        <f t="shared" si="80"/>
        <v/>
      </c>
      <c r="Q540" s="110" t="str">
        <f t="shared" si="80"/>
        <v/>
      </c>
      <c r="R540" s="105" t="str">
        <f t="shared" si="80"/>
        <v/>
      </c>
      <c r="S540" s="105"/>
      <c r="T540" s="103" t="s">
        <v>61</v>
      </c>
      <c r="U540" s="103" t="s">
        <v>56</v>
      </c>
      <c r="V540" s="105"/>
    </row>
    <row r="541" spans="1:22" ht="13.5">
      <c r="A541" s="102">
        <v>45626.590322233795</v>
      </c>
      <c r="B541" s="103" t="s">
        <v>90</v>
      </c>
      <c r="C541" s="104" t="str">
        <f t="shared" si="78"/>
        <v>×</v>
      </c>
      <c r="D541" s="104" t="str">
        <f t="shared" si="78"/>
        <v>×</v>
      </c>
      <c r="E541" s="104" t="str">
        <f t="shared" si="78"/>
        <v>○</v>
      </c>
      <c r="F541" s="104" t="str">
        <f t="shared" si="78"/>
        <v>×</v>
      </c>
      <c r="G541" s="103" t="s">
        <v>20</v>
      </c>
      <c r="H541" s="105"/>
      <c r="I541" s="105"/>
      <c r="J541" s="103" t="s">
        <v>58</v>
      </c>
      <c r="K541" s="103" t="s">
        <v>16</v>
      </c>
      <c r="L541" s="103" t="s">
        <v>39</v>
      </c>
      <c r="M541" s="108" t="str">
        <f t="shared" si="80"/>
        <v/>
      </c>
      <c r="N541" s="108" t="str">
        <f t="shared" si="80"/>
        <v>○</v>
      </c>
      <c r="O541" s="108" t="str">
        <f t="shared" si="80"/>
        <v/>
      </c>
      <c r="P541" s="108" t="str">
        <f t="shared" si="80"/>
        <v/>
      </c>
      <c r="Q541" s="108" t="str">
        <f t="shared" si="80"/>
        <v/>
      </c>
      <c r="R541" s="103" t="str">
        <f t="shared" si="80"/>
        <v/>
      </c>
      <c r="S541" s="105"/>
      <c r="T541" s="103" t="s">
        <v>30</v>
      </c>
      <c r="U541" s="103" t="s">
        <v>56</v>
      </c>
      <c r="V541" s="105"/>
    </row>
    <row r="542" spans="1:22" ht="13.5">
      <c r="A542" s="102">
        <v>45626.595549791666</v>
      </c>
      <c r="B542" s="103" t="s">
        <v>569</v>
      </c>
      <c r="C542" s="104" t="str">
        <f t="shared" ref="C542:F561" si="81">IF(ISERROR(FIND(C$1,$B542)),"×","○")</f>
        <v>×</v>
      </c>
      <c r="D542" s="104" t="str">
        <f t="shared" si="81"/>
        <v>○</v>
      </c>
      <c r="E542" s="104" t="str">
        <f t="shared" si="81"/>
        <v>×</v>
      </c>
      <c r="F542" s="104" t="str">
        <f t="shared" si="81"/>
        <v>×</v>
      </c>
      <c r="G542" s="103" t="s">
        <v>20</v>
      </c>
      <c r="H542" s="105"/>
      <c r="I542" s="105"/>
      <c r="J542" s="103" t="s">
        <v>58</v>
      </c>
      <c r="K542" s="103" t="s">
        <v>16</v>
      </c>
      <c r="L542" s="103" t="s">
        <v>59</v>
      </c>
      <c r="M542" s="108" t="str">
        <f t="shared" ref="M542:R551" si="82">IF(ISERROR(SEARCH(M$1,$L542)),"","○")</f>
        <v/>
      </c>
      <c r="N542" s="108" t="str">
        <f t="shared" si="82"/>
        <v/>
      </c>
      <c r="O542" s="108" t="str">
        <f t="shared" si="82"/>
        <v/>
      </c>
      <c r="P542" s="108" t="str">
        <f t="shared" si="82"/>
        <v>○</v>
      </c>
      <c r="Q542" s="108" t="str">
        <f t="shared" si="82"/>
        <v/>
      </c>
      <c r="R542" s="103" t="str">
        <f t="shared" si="82"/>
        <v/>
      </c>
      <c r="S542" s="105"/>
      <c r="T542" s="103" t="s">
        <v>24</v>
      </c>
      <c r="U542" s="103" t="s">
        <v>56</v>
      </c>
      <c r="V542" s="103" t="s">
        <v>570</v>
      </c>
    </row>
    <row r="543" spans="1:22" ht="13.5">
      <c r="A543" s="102">
        <v>45626.656535162037</v>
      </c>
      <c r="B543" s="103" t="s">
        <v>528</v>
      </c>
      <c r="C543" s="104" t="str">
        <f t="shared" si="81"/>
        <v>×</v>
      </c>
      <c r="D543" s="104" t="str">
        <f t="shared" si="81"/>
        <v>○</v>
      </c>
      <c r="E543" s="104" t="str">
        <f t="shared" si="81"/>
        <v>×</v>
      </c>
      <c r="F543" s="104" t="str">
        <f t="shared" si="81"/>
        <v>×</v>
      </c>
      <c r="G543" s="103" t="s">
        <v>13</v>
      </c>
      <c r="H543" s="103" t="s">
        <v>14</v>
      </c>
      <c r="I543" s="103" t="s">
        <v>578</v>
      </c>
      <c r="J543" s="105"/>
      <c r="K543" s="103" t="s">
        <v>34</v>
      </c>
      <c r="L543" s="105"/>
      <c r="M543" s="110" t="str">
        <f t="shared" si="82"/>
        <v/>
      </c>
      <c r="N543" s="110" t="str">
        <f t="shared" si="82"/>
        <v/>
      </c>
      <c r="O543" s="110" t="str">
        <f t="shared" si="82"/>
        <v/>
      </c>
      <c r="P543" s="110" t="str">
        <f t="shared" si="82"/>
        <v/>
      </c>
      <c r="Q543" s="110" t="str">
        <f t="shared" si="82"/>
        <v/>
      </c>
      <c r="R543" s="105" t="str">
        <f t="shared" si="82"/>
        <v/>
      </c>
      <c r="S543" s="105"/>
      <c r="T543" s="103" t="s">
        <v>30</v>
      </c>
      <c r="U543" s="103" t="s">
        <v>56</v>
      </c>
      <c r="V543" s="105"/>
    </row>
    <row r="544" spans="1:22" ht="13.5">
      <c r="A544" s="102">
        <v>45626.658859745366</v>
      </c>
      <c r="B544" s="103" t="s">
        <v>41</v>
      </c>
      <c r="C544" s="104" t="str">
        <f t="shared" si="81"/>
        <v>×</v>
      </c>
      <c r="D544" s="104" t="str">
        <f t="shared" si="81"/>
        <v>○</v>
      </c>
      <c r="E544" s="104" t="str">
        <f t="shared" si="81"/>
        <v>×</v>
      </c>
      <c r="F544" s="104" t="str">
        <f t="shared" si="81"/>
        <v>×</v>
      </c>
      <c r="G544" s="103" t="s">
        <v>20</v>
      </c>
      <c r="H544" s="105"/>
      <c r="I544" s="105"/>
      <c r="J544" s="103" t="s">
        <v>38</v>
      </c>
      <c r="K544" s="103" t="s">
        <v>16</v>
      </c>
      <c r="L544" s="103" t="s">
        <v>68</v>
      </c>
      <c r="M544" s="108" t="str">
        <f t="shared" si="82"/>
        <v/>
      </c>
      <c r="N544" s="108" t="str">
        <f t="shared" si="82"/>
        <v/>
      </c>
      <c r="O544" s="108" t="str">
        <f t="shared" si="82"/>
        <v/>
      </c>
      <c r="P544" s="108" t="str">
        <f t="shared" si="82"/>
        <v/>
      </c>
      <c r="Q544" s="108" t="str">
        <f t="shared" si="82"/>
        <v>○</v>
      </c>
      <c r="R544" s="103" t="str">
        <f t="shared" si="82"/>
        <v/>
      </c>
      <c r="S544" s="103" t="s">
        <v>579</v>
      </c>
      <c r="T544" s="103" t="s">
        <v>30</v>
      </c>
      <c r="U544" s="103" t="s">
        <v>56</v>
      </c>
      <c r="V544" s="103" t="s">
        <v>580</v>
      </c>
    </row>
    <row r="545" spans="1:22" ht="13.5">
      <c r="A545" s="102">
        <v>45626.7402334375</v>
      </c>
      <c r="B545" s="103" t="s">
        <v>594</v>
      </c>
      <c r="C545" s="104" t="str">
        <f t="shared" si="81"/>
        <v>○</v>
      </c>
      <c r="D545" s="104" t="str">
        <f t="shared" si="81"/>
        <v>○</v>
      </c>
      <c r="E545" s="104" t="str">
        <f t="shared" si="81"/>
        <v>×</v>
      </c>
      <c r="F545" s="104" t="str">
        <f t="shared" si="81"/>
        <v>×</v>
      </c>
      <c r="G545" s="103" t="s">
        <v>20</v>
      </c>
      <c r="H545" s="105"/>
      <c r="I545" s="105"/>
      <c r="J545" s="103" t="s">
        <v>38</v>
      </c>
      <c r="K545" s="103" t="s">
        <v>16</v>
      </c>
      <c r="L545" s="103" t="s">
        <v>39</v>
      </c>
      <c r="M545" s="108" t="str">
        <f t="shared" si="82"/>
        <v/>
      </c>
      <c r="N545" s="108" t="str">
        <f t="shared" si="82"/>
        <v>○</v>
      </c>
      <c r="O545" s="108" t="str">
        <f t="shared" si="82"/>
        <v/>
      </c>
      <c r="P545" s="108" t="str">
        <f t="shared" si="82"/>
        <v/>
      </c>
      <c r="Q545" s="108" t="str">
        <f t="shared" si="82"/>
        <v/>
      </c>
      <c r="R545" s="103" t="str">
        <f t="shared" si="82"/>
        <v/>
      </c>
      <c r="S545" s="105"/>
      <c r="T545" s="103" t="s">
        <v>30</v>
      </c>
      <c r="U545" s="103" t="s">
        <v>56</v>
      </c>
      <c r="V545" s="105"/>
    </row>
    <row r="546" spans="1:22" ht="13.5">
      <c r="A546" s="102">
        <v>45626.776184120376</v>
      </c>
      <c r="B546" s="103" t="s">
        <v>90</v>
      </c>
      <c r="C546" s="104" t="str">
        <f t="shared" si="81"/>
        <v>×</v>
      </c>
      <c r="D546" s="104" t="str">
        <f t="shared" si="81"/>
        <v>×</v>
      </c>
      <c r="E546" s="104" t="str">
        <f t="shared" si="81"/>
        <v>○</v>
      </c>
      <c r="F546" s="104" t="str">
        <f t="shared" si="81"/>
        <v>×</v>
      </c>
      <c r="G546" s="103" t="s">
        <v>20</v>
      </c>
      <c r="H546" s="105"/>
      <c r="I546" s="105"/>
      <c r="J546" s="103" t="s">
        <v>21</v>
      </c>
      <c r="K546" s="103" t="s">
        <v>16</v>
      </c>
      <c r="L546" s="103" t="s">
        <v>39</v>
      </c>
      <c r="M546" s="108" t="str">
        <f t="shared" si="82"/>
        <v/>
      </c>
      <c r="N546" s="108" t="str">
        <f t="shared" si="82"/>
        <v>○</v>
      </c>
      <c r="O546" s="108" t="str">
        <f t="shared" si="82"/>
        <v/>
      </c>
      <c r="P546" s="108" t="str">
        <f t="shared" si="82"/>
        <v/>
      </c>
      <c r="Q546" s="108" t="str">
        <f t="shared" si="82"/>
        <v/>
      </c>
      <c r="R546" s="103" t="str">
        <f t="shared" si="82"/>
        <v/>
      </c>
      <c r="S546" s="105"/>
      <c r="T546" s="103" t="s">
        <v>30</v>
      </c>
      <c r="U546" s="103" t="s">
        <v>56</v>
      </c>
      <c r="V546" s="105"/>
    </row>
    <row r="547" spans="1:22" ht="13.5">
      <c r="A547" s="102">
        <v>45626.782334131945</v>
      </c>
      <c r="B547" s="103" t="s">
        <v>131</v>
      </c>
      <c r="C547" s="104" t="str">
        <f t="shared" si="81"/>
        <v>×</v>
      </c>
      <c r="D547" s="104" t="str">
        <f t="shared" si="81"/>
        <v>○</v>
      </c>
      <c r="E547" s="104" t="str">
        <f t="shared" si="81"/>
        <v>○</v>
      </c>
      <c r="F547" s="104" t="str">
        <f t="shared" si="81"/>
        <v>×</v>
      </c>
      <c r="G547" s="103" t="s">
        <v>20</v>
      </c>
      <c r="H547" s="105"/>
      <c r="I547" s="105"/>
      <c r="J547" s="103" t="s">
        <v>58</v>
      </c>
      <c r="K547" s="103" t="s">
        <v>16</v>
      </c>
      <c r="L547" s="103" t="s">
        <v>68</v>
      </c>
      <c r="M547" s="108" t="str">
        <f t="shared" si="82"/>
        <v/>
      </c>
      <c r="N547" s="108" t="str">
        <f t="shared" si="82"/>
        <v/>
      </c>
      <c r="O547" s="108" t="str">
        <f t="shared" si="82"/>
        <v/>
      </c>
      <c r="P547" s="108" t="str">
        <f t="shared" si="82"/>
        <v/>
      </c>
      <c r="Q547" s="108" t="str">
        <f t="shared" si="82"/>
        <v>○</v>
      </c>
      <c r="R547" s="103" t="str">
        <f t="shared" si="82"/>
        <v/>
      </c>
      <c r="S547" s="103" t="s">
        <v>603</v>
      </c>
      <c r="T547" s="103" t="s">
        <v>30</v>
      </c>
      <c r="U547" s="103" t="s">
        <v>56</v>
      </c>
      <c r="V547" s="103" t="s">
        <v>604</v>
      </c>
    </row>
    <row r="548" spans="1:22" ht="13.5">
      <c r="A548" s="102">
        <v>45626.793778148145</v>
      </c>
      <c r="B548" s="103" t="s">
        <v>144</v>
      </c>
      <c r="C548" s="104" t="str">
        <f t="shared" si="81"/>
        <v>×</v>
      </c>
      <c r="D548" s="104" t="str">
        <f t="shared" si="81"/>
        <v>○</v>
      </c>
      <c r="E548" s="104" t="str">
        <f t="shared" si="81"/>
        <v>○</v>
      </c>
      <c r="F548" s="104" t="str">
        <f t="shared" si="81"/>
        <v>×</v>
      </c>
      <c r="G548" s="103" t="s">
        <v>13</v>
      </c>
      <c r="H548" s="103" t="s">
        <v>27</v>
      </c>
      <c r="I548" s="103" t="s">
        <v>609</v>
      </c>
      <c r="J548" s="105"/>
      <c r="K548" s="103" t="s">
        <v>34</v>
      </c>
      <c r="L548" s="105"/>
      <c r="M548" s="110" t="str">
        <f t="shared" si="82"/>
        <v/>
      </c>
      <c r="N548" s="110" t="str">
        <f t="shared" si="82"/>
        <v/>
      </c>
      <c r="O548" s="110" t="str">
        <f t="shared" si="82"/>
        <v/>
      </c>
      <c r="P548" s="110" t="str">
        <f t="shared" si="82"/>
        <v/>
      </c>
      <c r="Q548" s="110" t="str">
        <f t="shared" si="82"/>
        <v/>
      </c>
      <c r="R548" s="105" t="str">
        <f t="shared" si="82"/>
        <v/>
      </c>
      <c r="S548" s="105"/>
      <c r="T548" s="103" t="s">
        <v>30</v>
      </c>
      <c r="U548" s="103" t="s">
        <v>56</v>
      </c>
      <c r="V548" s="105"/>
    </row>
    <row r="549" spans="1:22" ht="13.5">
      <c r="A549" s="102">
        <v>45626.834021608796</v>
      </c>
      <c r="B549" s="103" t="s">
        <v>108</v>
      </c>
      <c r="C549" s="104" t="str">
        <f t="shared" si="81"/>
        <v>×</v>
      </c>
      <c r="D549" s="104" t="str">
        <f t="shared" si="81"/>
        <v>○</v>
      </c>
      <c r="E549" s="104" t="str">
        <f t="shared" si="81"/>
        <v>○</v>
      </c>
      <c r="F549" s="104" t="str">
        <f t="shared" si="81"/>
        <v>×</v>
      </c>
      <c r="G549" s="103" t="s">
        <v>20</v>
      </c>
      <c r="H549" s="105"/>
      <c r="I549" s="105"/>
      <c r="J549" s="103" t="s">
        <v>58</v>
      </c>
      <c r="K549" s="103" t="s">
        <v>16</v>
      </c>
      <c r="L549" s="103" t="s">
        <v>68</v>
      </c>
      <c r="M549" s="108" t="str">
        <f t="shared" si="82"/>
        <v/>
      </c>
      <c r="N549" s="108" t="str">
        <f t="shared" si="82"/>
        <v/>
      </c>
      <c r="O549" s="108" t="str">
        <f t="shared" si="82"/>
        <v/>
      </c>
      <c r="P549" s="108" t="str">
        <f t="shared" si="82"/>
        <v/>
      </c>
      <c r="Q549" s="108" t="str">
        <f t="shared" si="82"/>
        <v>○</v>
      </c>
      <c r="R549" s="103" t="str">
        <f t="shared" si="82"/>
        <v/>
      </c>
      <c r="S549" s="103" t="s">
        <v>615</v>
      </c>
      <c r="T549" s="103" t="s">
        <v>30</v>
      </c>
      <c r="U549" s="103" t="s">
        <v>56</v>
      </c>
      <c r="V549" s="105"/>
    </row>
    <row r="550" spans="1:22" ht="13.5">
      <c r="A550" s="102">
        <v>45626.857009328705</v>
      </c>
      <c r="B550" s="103" t="s">
        <v>93</v>
      </c>
      <c r="C550" s="104" t="str">
        <f t="shared" si="81"/>
        <v>×</v>
      </c>
      <c r="D550" s="104" t="str">
        <f t="shared" si="81"/>
        <v>×</v>
      </c>
      <c r="E550" s="104" t="str">
        <f t="shared" si="81"/>
        <v>○</v>
      </c>
      <c r="F550" s="104" t="str">
        <f t="shared" si="81"/>
        <v>×</v>
      </c>
      <c r="G550" s="103" t="s">
        <v>20</v>
      </c>
      <c r="H550" s="105"/>
      <c r="I550" s="105"/>
      <c r="J550" s="103" t="s">
        <v>58</v>
      </c>
      <c r="K550" s="103" t="s">
        <v>16</v>
      </c>
      <c r="L550" s="103" t="s">
        <v>255</v>
      </c>
      <c r="M550" s="108" t="str">
        <f t="shared" si="82"/>
        <v/>
      </c>
      <c r="N550" s="108" t="str">
        <f t="shared" si="82"/>
        <v>○</v>
      </c>
      <c r="O550" s="108" t="str">
        <f t="shared" si="82"/>
        <v/>
      </c>
      <c r="P550" s="108" t="str">
        <f t="shared" si="82"/>
        <v>○</v>
      </c>
      <c r="Q550" s="108" t="str">
        <f t="shared" si="82"/>
        <v/>
      </c>
      <c r="R550" s="103" t="str">
        <f t="shared" si="82"/>
        <v/>
      </c>
      <c r="S550" s="105"/>
      <c r="T550" s="103" t="s">
        <v>30</v>
      </c>
      <c r="U550" s="103" t="s">
        <v>56</v>
      </c>
      <c r="V550" s="105"/>
    </row>
    <row r="551" spans="1:22" ht="13.5">
      <c r="A551" s="102">
        <v>45626.893043379634</v>
      </c>
      <c r="B551" s="103" t="s">
        <v>105</v>
      </c>
      <c r="C551" s="104" t="str">
        <f t="shared" si="81"/>
        <v>×</v>
      </c>
      <c r="D551" s="104" t="str">
        <f t="shared" si="81"/>
        <v>×</v>
      </c>
      <c r="E551" s="104" t="str">
        <f t="shared" si="81"/>
        <v>○</v>
      </c>
      <c r="F551" s="104" t="str">
        <f t="shared" si="81"/>
        <v>×</v>
      </c>
      <c r="G551" s="103" t="s">
        <v>13</v>
      </c>
      <c r="H551" s="103" t="s">
        <v>77</v>
      </c>
      <c r="I551" s="103" t="s">
        <v>629</v>
      </c>
      <c r="J551" s="105"/>
      <c r="K551" s="103" t="s">
        <v>34</v>
      </c>
      <c r="L551" s="105"/>
      <c r="M551" s="110" t="str">
        <f t="shared" si="82"/>
        <v/>
      </c>
      <c r="N551" s="110" t="str">
        <f t="shared" si="82"/>
        <v/>
      </c>
      <c r="O551" s="110" t="str">
        <f t="shared" si="82"/>
        <v/>
      </c>
      <c r="P551" s="110" t="str">
        <f t="shared" si="82"/>
        <v/>
      </c>
      <c r="Q551" s="110" t="str">
        <f t="shared" si="82"/>
        <v/>
      </c>
      <c r="R551" s="105" t="str">
        <f t="shared" si="82"/>
        <v/>
      </c>
      <c r="S551" s="105"/>
      <c r="T551" s="103" t="s">
        <v>30</v>
      </c>
      <c r="U551" s="103" t="s">
        <v>56</v>
      </c>
      <c r="V551" s="103" t="s">
        <v>630</v>
      </c>
    </row>
    <row r="552" spans="1:22" ht="13.5">
      <c r="A552" s="102">
        <v>45626.89743380787</v>
      </c>
      <c r="B552" s="103" t="s">
        <v>634</v>
      </c>
      <c r="C552" s="104" t="str">
        <f t="shared" si="81"/>
        <v>×</v>
      </c>
      <c r="D552" s="104" t="str">
        <f t="shared" si="81"/>
        <v>○</v>
      </c>
      <c r="E552" s="104" t="str">
        <f t="shared" si="81"/>
        <v>○</v>
      </c>
      <c r="F552" s="104" t="str">
        <f t="shared" si="81"/>
        <v>×</v>
      </c>
      <c r="G552" s="103" t="s">
        <v>20</v>
      </c>
      <c r="H552" s="105"/>
      <c r="I552" s="105"/>
      <c r="J552" s="103" t="s">
        <v>58</v>
      </c>
      <c r="K552" s="103" t="s">
        <v>16</v>
      </c>
      <c r="L552" s="103" t="s">
        <v>355</v>
      </c>
      <c r="M552" s="108" t="str">
        <f t="shared" ref="M552:R561" si="83">IF(ISERROR(SEARCH(M$1,$L552)),"","○")</f>
        <v/>
      </c>
      <c r="N552" s="108" t="str">
        <f t="shared" si="83"/>
        <v>○</v>
      </c>
      <c r="O552" s="108" t="str">
        <f t="shared" si="83"/>
        <v/>
      </c>
      <c r="P552" s="108" t="str">
        <f t="shared" si="83"/>
        <v>○</v>
      </c>
      <c r="Q552" s="108" t="str">
        <f t="shared" si="83"/>
        <v>○</v>
      </c>
      <c r="R552" s="103" t="str">
        <f t="shared" si="83"/>
        <v/>
      </c>
      <c r="S552" s="103" t="s">
        <v>635</v>
      </c>
      <c r="T552" s="103" t="s">
        <v>30</v>
      </c>
      <c r="U552" s="103" t="s">
        <v>56</v>
      </c>
      <c r="V552" s="105"/>
    </row>
    <row r="553" spans="1:22" ht="13.5">
      <c r="A553" s="102">
        <v>45626.916075243054</v>
      </c>
      <c r="B553" s="103" t="s">
        <v>46</v>
      </c>
      <c r="C553" s="104" t="str">
        <f t="shared" si="81"/>
        <v>×</v>
      </c>
      <c r="D553" s="104" t="str">
        <f t="shared" si="81"/>
        <v>×</v>
      </c>
      <c r="E553" s="104" t="str">
        <f t="shared" si="81"/>
        <v>○</v>
      </c>
      <c r="F553" s="104" t="str">
        <f t="shared" si="81"/>
        <v>○</v>
      </c>
      <c r="G553" s="103" t="s">
        <v>13</v>
      </c>
      <c r="H553" s="103" t="s">
        <v>27</v>
      </c>
      <c r="I553" s="103" t="s">
        <v>636</v>
      </c>
      <c r="J553" s="105"/>
      <c r="K553" s="103" t="s">
        <v>34</v>
      </c>
      <c r="L553" s="105"/>
      <c r="M553" s="110" t="str">
        <f t="shared" si="83"/>
        <v/>
      </c>
      <c r="N553" s="110" t="str">
        <f t="shared" si="83"/>
        <v/>
      </c>
      <c r="O553" s="110" t="str">
        <f t="shared" si="83"/>
        <v/>
      </c>
      <c r="P553" s="110" t="str">
        <f t="shared" si="83"/>
        <v/>
      </c>
      <c r="Q553" s="110" t="str">
        <f t="shared" si="83"/>
        <v/>
      </c>
      <c r="R553" s="105" t="str">
        <f t="shared" si="83"/>
        <v/>
      </c>
      <c r="S553" s="105"/>
      <c r="T553" s="103" t="s">
        <v>61</v>
      </c>
      <c r="U553" s="103" t="s">
        <v>56</v>
      </c>
      <c r="V553" s="103" t="s">
        <v>637</v>
      </c>
    </row>
    <row r="554" spans="1:22" ht="13.5">
      <c r="A554" s="102">
        <v>45626.917486423612</v>
      </c>
      <c r="B554" s="103" t="s">
        <v>638</v>
      </c>
      <c r="C554" s="104" t="str">
        <f t="shared" si="81"/>
        <v>×</v>
      </c>
      <c r="D554" s="104" t="str">
        <f t="shared" si="81"/>
        <v>○</v>
      </c>
      <c r="E554" s="104" t="str">
        <f t="shared" si="81"/>
        <v>○</v>
      </c>
      <c r="F554" s="104" t="str">
        <f t="shared" si="81"/>
        <v>×</v>
      </c>
      <c r="G554" s="103" t="s">
        <v>13</v>
      </c>
      <c r="H554" s="103" t="s">
        <v>27</v>
      </c>
      <c r="I554" s="103" t="s">
        <v>639</v>
      </c>
      <c r="J554" s="105"/>
      <c r="K554" s="103" t="s">
        <v>34</v>
      </c>
      <c r="L554" s="105"/>
      <c r="M554" s="110" t="str">
        <f t="shared" si="83"/>
        <v/>
      </c>
      <c r="N554" s="110" t="str">
        <f t="shared" si="83"/>
        <v/>
      </c>
      <c r="O554" s="110" t="str">
        <f t="shared" si="83"/>
        <v/>
      </c>
      <c r="P554" s="110" t="str">
        <f t="shared" si="83"/>
        <v/>
      </c>
      <c r="Q554" s="110" t="str">
        <f t="shared" si="83"/>
        <v/>
      </c>
      <c r="R554" s="105" t="str">
        <f t="shared" si="83"/>
        <v/>
      </c>
      <c r="S554" s="105"/>
      <c r="T554" s="103" t="s">
        <v>24</v>
      </c>
      <c r="U554" s="103" t="s">
        <v>56</v>
      </c>
      <c r="V554" s="105"/>
    </row>
    <row r="555" spans="1:22" ht="13.5">
      <c r="A555" s="102">
        <v>45627.264123738423</v>
      </c>
      <c r="B555" s="103" t="s">
        <v>649</v>
      </c>
      <c r="C555" s="104" t="str">
        <f t="shared" si="81"/>
        <v>×</v>
      </c>
      <c r="D555" s="104" t="str">
        <f t="shared" si="81"/>
        <v>○</v>
      </c>
      <c r="E555" s="104" t="str">
        <f t="shared" si="81"/>
        <v>○</v>
      </c>
      <c r="F555" s="104" t="str">
        <f t="shared" si="81"/>
        <v>×</v>
      </c>
      <c r="G555" s="103" t="s">
        <v>13</v>
      </c>
      <c r="H555" s="103" t="s">
        <v>27</v>
      </c>
      <c r="I555" s="103" t="s">
        <v>650</v>
      </c>
      <c r="J555" s="105"/>
      <c r="K555" s="103" t="s">
        <v>34</v>
      </c>
      <c r="L555" s="105"/>
      <c r="M555" s="110" t="str">
        <f t="shared" si="83"/>
        <v/>
      </c>
      <c r="N555" s="110" t="str">
        <f t="shared" si="83"/>
        <v/>
      </c>
      <c r="O555" s="110" t="str">
        <f t="shared" si="83"/>
        <v/>
      </c>
      <c r="P555" s="110" t="str">
        <f t="shared" si="83"/>
        <v/>
      </c>
      <c r="Q555" s="110" t="str">
        <f t="shared" si="83"/>
        <v/>
      </c>
      <c r="R555" s="105" t="str">
        <f t="shared" si="83"/>
        <v/>
      </c>
      <c r="S555" s="105"/>
      <c r="T555" s="103" t="s">
        <v>61</v>
      </c>
      <c r="U555" s="103" t="s">
        <v>56</v>
      </c>
      <c r="V555" s="103" t="s">
        <v>651</v>
      </c>
    </row>
    <row r="556" spans="1:22" ht="13.5">
      <c r="A556" s="102">
        <v>45627.321344768519</v>
      </c>
      <c r="B556" s="103" t="s">
        <v>49</v>
      </c>
      <c r="C556" s="104" t="str">
        <f t="shared" si="81"/>
        <v>×</v>
      </c>
      <c r="D556" s="104" t="str">
        <f t="shared" si="81"/>
        <v>○</v>
      </c>
      <c r="E556" s="104" t="str">
        <f t="shared" si="81"/>
        <v>×</v>
      </c>
      <c r="F556" s="104" t="str">
        <f t="shared" si="81"/>
        <v>×</v>
      </c>
      <c r="G556" s="103" t="s">
        <v>13</v>
      </c>
      <c r="H556" s="103" t="s">
        <v>32</v>
      </c>
      <c r="I556" s="103" t="s">
        <v>654</v>
      </c>
      <c r="J556" s="105"/>
      <c r="K556" s="103" t="s">
        <v>16</v>
      </c>
      <c r="L556" s="103" t="s">
        <v>655</v>
      </c>
      <c r="M556" s="108" t="str">
        <f t="shared" si="83"/>
        <v/>
      </c>
      <c r="N556" s="108" t="str">
        <f t="shared" si="83"/>
        <v/>
      </c>
      <c r="O556" s="108" t="str">
        <f t="shared" si="83"/>
        <v/>
      </c>
      <c r="P556" s="108" t="str">
        <f t="shared" si="83"/>
        <v/>
      </c>
      <c r="Q556" s="108" t="str">
        <f t="shared" si="83"/>
        <v/>
      </c>
      <c r="R556" s="103" t="str">
        <f t="shared" si="83"/>
        <v/>
      </c>
      <c r="S556" s="105"/>
      <c r="T556" s="103" t="s">
        <v>30</v>
      </c>
      <c r="U556" s="103" t="s">
        <v>56</v>
      </c>
      <c r="V556" s="103" t="s">
        <v>656</v>
      </c>
    </row>
    <row r="557" spans="1:22" ht="13.5">
      <c r="A557" s="102">
        <v>45627.367275578705</v>
      </c>
      <c r="B557" s="103" t="s">
        <v>90</v>
      </c>
      <c r="C557" s="104" t="str">
        <f t="shared" si="81"/>
        <v>×</v>
      </c>
      <c r="D557" s="104" t="str">
        <f t="shared" si="81"/>
        <v>×</v>
      </c>
      <c r="E557" s="104" t="str">
        <f t="shared" si="81"/>
        <v>○</v>
      </c>
      <c r="F557" s="104" t="str">
        <f t="shared" si="81"/>
        <v>×</v>
      </c>
      <c r="G557" s="103" t="s">
        <v>13</v>
      </c>
      <c r="H557" s="103" t="s">
        <v>14</v>
      </c>
      <c r="I557" s="103" t="s">
        <v>657</v>
      </c>
      <c r="J557" s="105"/>
      <c r="K557" s="103" t="s">
        <v>16</v>
      </c>
      <c r="L557" s="103" t="s">
        <v>658</v>
      </c>
      <c r="M557" s="108" t="str">
        <f t="shared" si="83"/>
        <v/>
      </c>
      <c r="N557" s="108" t="str">
        <f t="shared" si="83"/>
        <v/>
      </c>
      <c r="O557" s="108" t="str">
        <f t="shared" si="83"/>
        <v/>
      </c>
      <c r="P557" s="108" t="str">
        <f t="shared" si="83"/>
        <v/>
      </c>
      <c r="Q557" s="108" t="str">
        <f t="shared" si="83"/>
        <v/>
      </c>
      <c r="R557" s="103" t="str">
        <f t="shared" si="83"/>
        <v/>
      </c>
      <c r="S557" s="105"/>
      <c r="T557" s="103" t="s">
        <v>30</v>
      </c>
      <c r="U557" s="103" t="s">
        <v>56</v>
      </c>
      <c r="V557" s="105"/>
    </row>
    <row r="558" spans="1:22" ht="13.5">
      <c r="A558" s="102">
        <v>45627.441499930559</v>
      </c>
      <c r="B558" s="103" t="s">
        <v>600</v>
      </c>
      <c r="C558" s="104" t="str">
        <f t="shared" si="81"/>
        <v>×</v>
      </c>
      <c r="D558" s="104" t="str">
        <f t="shared" si="81"/>
        <v>○</v>
      </c>
      <c r="E558" s="104" t="str">
        <f t="shared" si="81"/>
        <v>×</v>
      </c>
      <c r="F558" s="104" t="str">
        <f t="shared" si="81"/>
        <v>×</v>
      </c>
      <c r="G558" s="103" t="s">
        <v>20</v>
      </c>
      <c r="H558" s="105"/>
      <c r="I558" s="105"/>
      <c r="J558" s="103" t="s">
        <v>58</v>
      </c>
      <c r="K558" s="103" t="s">
        <v>16</v>
      </c>
      <c r="L558" s="103" t="s">
        <v>279</v>
      </c>
      <c r="M558" s="108" t="str">
        <f t="shared" si="83"/>
        <v/>
      </c>
      <c r="N558" s="108" t="str">
        <f t="shared" si="83"/>
        <v>○</v>
      </c>
      <c r="O558" s="108" t="str">
        <f t="shared" si="83"/>
        <v>○</v>
      </c>
      <c r="P558" s="108" t="str">
        <f t="shared" si="83"/>
        <v/>
      </c>
      <c r="Q558" s="108" t="str">
        <f t="shared" si="83"/>
        <v/>
      </c>
      <c r="R558" s="103" t="str">
        <f t="shared" si="83"/>
        <v/>
      </c>
      <c r="S558" s="105"/>
      <c r="T558" s="103" t="s">
        <v>24</v>
      </c>
      <c r="U558" s="103" t="s">
        <v>56</v>
      </c>
      <c r="V558" s="103" t="s">
        <v>672</v>
      </c>
    </row>
    <row r="559" spans="1:22" ht="13.5">
      <c r="A559" s="102">
        <v>45627.453766724539</v>
      </c>
      <c r="B559" s="103" t="s">
        <v>41</v>
      </c>
      <c r="C559" s="104" t="str">
        <f t="shared" si="81"/>
        <v>×</v>
      </c>
      <c r="D559" s="104" t="str">
        <f t="shared" si="81"/>
        <v>○</v>
      </c>
      <c r="E559" s="104" t="str">
        <f t="shared" si="81"/>
        <v>×</v>
      </c>
      <c r="F559" s="104" t="str">
        <f t="shared" si="81"/>
        <v>×</v>
      </c>
      <c r="G559" s="103" t="s">
        <v>13</v>
      </c>
      <c r="H559" s="103" t="s">
        <v>14</v>
      </c>
      <c r="I559" s="103" t="s">
        <v>673</v>
      </c>
      <c r="J559" s="105"/>
      <c r="K559" s="103" t="s">
        <v>34</v>
      </c>
      <c r="L559" s="105"/>
      <c r="M559" s="110" t="str">
        <f t="shared" si="83"/>
        <v/>
      </c>
      <c r="N559" s="110" t="str">
        <f t="shared" si="83"/>
        <v/>
      </c>
      <c r="O559" s="110" t="str">
        <f t="shared" si="83"/>
        <v/>
      </c>
      <c r="P559" s="110" t="str">
        <f t="shared" si="83"/>
        <v/>
      </c>
      <c r="Q559" s="110" t="str">
        <f t="shared" si="83"/>
        <v/>
      </c>
      <c r="R559" s="105" t="str">
        <f t="shared" si="83"/>
        <v/>
      </c>
      <c r="S559" s="105"/>
      <c r="T559" s="103" t="s">
        <v>30</v>
      </c>
      <c r="U559" s="103" t="s">
        <v>56</v>
      </c>
      <c r="V559" s="103" t="s">
        <v>674</v>
      </c>
    </row>
    <row r="560" spans="1:22" ht="13.5">
      <c r="A560" s="102">
        <v>45627.477985740741</v>
      </c>
      <c r="B560" s="103" t="s">
        <v>676</v>
      </c>
      <c r="C560" s="104" t="str">
        <f t="shared" si="81"/>
        <v>×</v>
      </c>
      <c r="D560" s="104" t="str">
        <f t="shared" si="81"/>
        <v>○</v>
      </c>
      <c r="E560" s="104" t="str">
        <f t="shared" si="81"/>
        <v>○</v>
      </c>
      <c r="F560" s="104" t="str">
        <f t="shared" si="81"/>
        <v>×</v>
      </c>
      <c r="G560" s="103" t="s">
        <v>20</v>
      </c>
      <c r="H560" s="105"/>
      <c r="I560" s="105"/>
      <c r="J560" s="103" t="s">
        <v>21</v>
      </c>
      <c r="K560" s="103" t="s">
        <v>16</v>
      </c>
      <c r="L560" s="103" t="s">
        <v>107</v>
      </c>
      <c r="M560" s="108" t="str">
        <f t="shared" si="83"/>
        <v/>
      </c>
      <c r="N560" s="108" t="str">
        <f t="shared" si="83"/>
        <v/>
      </c>
      <c r="O560" s="108" t="str">
        <f t="shared" si="83"/>
        <v>○</v>
      </c>
      <c r="P560" s="108" t="str">
        <f t="shared" si="83"/>
        <v/>
      </c>
      <c r="Q560" s="108" t="str">
        <f t="shared" si="83"/>
        <v/>
      </c>
      <c r="R560" s="103" t="str">
        <f t="shared" si="83"/>
        <v/>
      </c>
      <c r="S560" s="105"/>
      <c r="T560" s="103" t="s">
        <v>30</v>
      </c>
      <c r="U560" s="103" t="s">
        <v>56</v>
      </c>
      <c r="V560" s="103" t="s">
        <v>677</v>
      </c>
    </row>
    <row r="561" spans="1:22" ht="13.5">
      <c r="A561" s="102">
        <v>45627.492065520833</v>
      </c>
      <c r="B561" s="103" t="s">
        <v>105</v>
      </c>
      <c r="C561" s="104" t="str">
        <f t="shared" si="81"/>
        <v>×</v>
      </c>
      <c r="D561" s="104" t="str">
        <f t="shared" si="81"/>
        <v>×</v>
      </c>
      <c r="E561" s="104" t="str">
        <f t="shared" si="81"/>
        <v>○</v>
      </c>
      <c r="F561" s="104" t="str">
        <f t="shared" si="81"/>
        <v>×</v>
      </c>
      <c r="G561" s="103" t="s">
        <v>13</v>
      </c>
      <c r="H561" s="103" t="s">
        <v>14</v>
      </c>
      <c r="I561" s="103" t="s">
        <v>687</v>
      </c>
      <c r="J561" s="105"/>
      <c r="K561" s="103" t="s">
        <v>34</v>
      </c>
      <c r="L561" s="105"/>
      <c r="M561" s="110" t="str">
        <f t="shared" si="83"/>
        <v/>
      </c>
      <c r="N561" s="110" t="str">
        <f t="shared" si="83"/>
        <v/>
      </c>
      <c r="O561" s="110" t="str">
        <f t="shared" si="83"/>
        <v/>
      </c>
      <c r="P561" s="110" t="str">
        <f t="shared" si="83"/>
        <v/>
      </c>
      <c r="Q561" s="110" t="str">
        <f t="shared" si="83"/>
        <v/>
      </c>
      <c r="R561" s="105" t="str">
        <f t="shared" si="83"/>
        <v/>
      </c>
      <c r="S561" s="105"/>
      <c r="T561" s="103" t="s">
        <v>35</v>
      </c>
      <c r="U561" s="103" t="s">
        <v>56</v>
      </c>
      <c r="V561" s="103" t="s">
        <v>688</v>
      </c>
    </row>
    <row r="562" spans="1:22" ht="13.5">
      <c r="A562" s="102">
        <v>45627.511885162035</v>
      </c>
      <c r="B562" s="103" t="s">
        <v>389</v>
      </c>
      <c r="C562" s="104" t="str">
        <f t="shared" ref="C562:F581" si="84">IF(ISERROR(FIND(C$1,$B562)),"×","○")</f>
        <v>×</v>
      </c>
      <c r="D562" s="104" t="str">
        <f t="shared" si="84"/>
        <v>○</v>
      </c>
      <c r="E562" s="104" t="str">
        <f t="shared" si="84"/>
        <v>×</v>
      </c>
      <c r="F562" s="104" t="str">
        <f t="shared" si="84"/>
        <v>×</v>
      </c>
      <c r="G562" s="103" t="s">
        <v>20</v>
      </c>
      <c r="H562" s="105"/>
      <c r="I562" s="105"/>
      <c r="J562" s="103" t="s">
        <v>58</v>
      </c>
      <c r="K562" s="103" t="s">
        <v>16</v>
      </c>
      <c r="L562" s="103" t="s">
        <v>355</v>
      </c>
      <c r="M562" s="108" t="str">
        <f t="shared" ref="M562:R571" si="85">IF(ISERROR(SEARCH(M$1,$L562)),"","○")</f>
        <v/>
      </c>
      <c r="N562" s="108" t="str">
        <f t="shared" si="85"/>
        <v>○</v>
      </c>
      <c r="O562" s="108" t="str">
        <f t="shared" si="85"/>
        <v/>
      </c>
      <c r="P562" s="108" t="str">
        <f t="shared" si="85"/>
        <v>○</v>
      </c>
      <c r="Q562" s="108" t="str">
        <f t="shared" si="85"/>
        <v>○</v>
      </c>
      <c r="R562" s="103" t="str">
        <f t="shared" si="85"/>
        <v/>
      </c>
      <c r="S562" s="103" t="s">
        <v>689</v>
      </c>
      <c r="T562" s="103" t="s">
        <v>30</v>
      </c>
      <c r="U562" s="103" t="s">
        <v>56</v>
      </c>
      <c r="V562" s="105"/>
    </row>
    <row r="563" spans="1:22" ht="13.5">
      <c r="A563" s="102">
        <v>45627.535613564818</v>
      </c>
      <c r="B563" s="103" t="s">
        <v>429</v>
      </c>
      <c r="C563" s="104" t="str">
        <f t="shared" si="84"/>
        <v>×</v>
      </c>
      <c r="D563" s="104" t="str">
        <f t="shared" si="84"/>
        <v>×</v>
      </c>
      <c r="E563" s="104" t="str">
        <f t="shared" si="84"/>
        <v>○</v>
      </c>
      <c r="F563" s="104" t="str">
        <f t="shared" si="84"/>
        <v>○</v>
      </c>
      <c r="G563" s="103" t="s">
        <v>20</v>
      </c>
      <c r="H563" s="105"/>
      <c r="I563" s="105"/>
      <c r="J563" s="103" t="s">
        <v>58</v>
      </c>
      <c r="K563" s="103" t="s">
        <v>16</v>
      </c>
      <c r="L563" s="103" t="s">
        <v>320</v>
      </c>
      <c r="M563" s="108" t="str">
        <f t="shared" si="85"/>
        <v>○</v>
      </c>
      <c r="N563" s="108" t="str">
        <f t="shared" si="85"/>
        <v/>
      </c>
      <c r="O563" s="108" t="str">
        <f t="shared" si="85"/>
        <v/>
      </c>
      <c r="P563" s="108" t="str">
        <f t="shared" si="85"/>
        <v>○</v>
      </c>
      <c r="Q563" s="108" t="str">
        <f t="shared" si="85"/>
        <v/>
      </c>
      <c r="R563" s="103" t="str">
        <f t="shared" si="85"/>
        <v/>
      </c>
      <c r="S563" s="103" t="s">
        <v>695</v>
      </c>
      <c r="T563" s="103" t="s">
        <v>24</v>
      </c>
      <c r="U563" s="103" t="s">
        <v>56</v>
      </c>
      <c r="V563" s="103" t="s">
        <v>696</v>
      </c>
    </row>
    <row r="564" spans="1:22" ht="13.5">
      <c r="A564" s="102">
        <v>45627.554034641202</v>
      </c>
      <c r="B564" s="103" t="s">
        <v>57</v>
      </c>
      <c r="C564" s="104" t="str">
        <f t="shared" si="84"/>
        <v>×</v>
      </c>
      <c r="D564" s="104" t="str">
        <f t="shared" si="84"/>
        <v>○</v>
      </c>
      <c r="E564" s="104" t="str">
        <f t="shared" si="84"/>
        <v>×</v>
      </c>
      <c r="F564" s="104" t="str">
        <f t="shared" si="84"/>
        <v>×</v>
      </c>
      <c r="G564" s="103" t="s">
        <v>20</v>
      </c>
      <c r="H564" s="105"/>
      <c r="I564" s="105"/>
      <c r="J564" s="103" t="s">
        <v>38</v>
      </c>
      <c r="K564" s="103" t="s">
        <v>16</v>
      </c>
      <c r="L564" s="103" t="s">
        <v>39</v>
      </c>
      <c r="M564" s="108" t="str">
        <f t="shared" si="85"/>
        <v/>
      </c>
      <c r="N564" s="108" t="str">
        <f t="shared" si="85"/>
        <v>○</v>
      </c>
      <c r="O564" s="108" t="str">
        <f t="shared" si="85"/>
        <v/>
      </c>
      <c r="P564" s="108" t="str">
        <f t="shared" si="85"/>
        <v/>
      </c>
      <c r="Q564" s="108" t="str">
        <f t="shared" si="85"/>
        <v/>
      </c>
      <c r="R564" s="103" t="str">
        <f t="shared" si="85"/>
        <v/>
      </c>
      <c r="S564" s="105"/>
      <c r="T564" s="103" t="s">
        <v>24</v>
      </c>
      <c r="U564" s="103" t="s">
        <v>56</v>
      </c>
      <c r="V564" s="105"/>
    </row>
    <row r="565" spans="1:22" ht="13.5">
      <c r="A565" s="102">
        <v>45627.560609236112</v>
      </c>
      <c r="B565" s="103" t="s">
        <v>93</v>
      </c>
      <c r="C565" s="104" t="str">
        <f t="shared" si="84"/>
        <v>×</v>
      </c>
      <c r="D565" s="104" t="str">
        <f t="shared" si="84"/>
        <v>×</v>
      </c>
      <c r="E565" s="104" t="str">
        <f t="shared" si="84"/>
        <v>○</v>
      </c>
      <c r="F565" s="104" t="str">
        <f t="shared" si="84"/>
        <v>×</v>
      </c>
      <c r="G565" s="103" t="s">
        <v>20</v>
      </c>
      <c r="H565" s="105"/>
      <c r="I565" s="105"/>
      <c r="J565" s="103" t="s">
        <v>21</v>
      </c>
      <c r="K565" s="103" t="s">
        <v>16</v>
      </c>
      <c r="L565" s="103" t="s">
        <v>68</v>
      </c>
      <c r="M565" s="108" t="str">
        <f t="shared" si="85"/>
        <v/>
      </c>
      <c r="N565" s="108" t="str">
        <f t="shared" si="85"/>
        <v/>
      </c>
      <c r="O565" s="108" t="str">
        <f t="shared" si="85"/>
        <v/>
      </c>
      <c r="P565" s="108" t="str">
        <f t="shared" si="85"/>
        <v/>
      </c>
      <c r="Q565" s="108" t="str">
        <f t="shared" si="85"/>
        <v>○</v>
      </c>
      <c r="R565" s="103" t="str">
        <f t="shared" si="85"/>
        <v/>
      </c>
      <c r="S565" s="103" t="s">
        <v>697</v>
      </c>
      <c r="T565" s="103" t="s">
        <v>30</v>
      </c>
      <c r="U565" s="103" t="s">
        <v>56</v>
      </c>
      <c r="V565" s="105"/>
    </row>
    <row r="566" spans="1:22" ht="13.5">
      <c r="A566" s="102">
        <v>45627.65946761574</v>
      </c>
      <c r="B566" s="103" t="s">
        <v>41</v>
      </c>
      <c r="C566" s="104" t="str">
        <f t="shared" si="84"/>
        <v>×</v>
      </c>
      <c r="D566" s="104" t="str">
        <f t="shared" si="84"/>
        <v>○</v>
      </c>
      <c r="E566" s="104" t="str">
        <f t="shared" si="84"/>
        <v>×</v>
      </c>
      <c r="F566" s="104" t="str">
        <f t="shared" si="84"/>
        <v>×</v>
      </c>
      <c r="G566" s="103" t="s">
        <v>13</v>
      </c>
      <c r="H566" s="103" t="s">
        <v>14</v>
      </c>
      <c r="I566" s="103" t="s">
        <v>706</v>
      </c>
      <c r="J566" s="105"/>
      <c r="K566" s="103" t="s">
        <v>34</v>
      </c>
      <c r="L566" s="105"/>
      <c r="M566" s="110" t="str">
        <f t="shared" si="85"/>
        <v/>
      </c>
      <c r="N566" s="110" t="str">
        <f t="shared" si="85"/>
        <v/>
      </c>
      <c r="O566" s="110" t="str">
        <f t="shared" si="85"/>
        <v/>
      </c>
      <c r="P566" s="110" t="str">
        <f t="shared" si="85"/>
        <v/>
      </c>
      <c r="Q566" s="110" t="str">
        <f t="shared" si="85"/>
        <v/>
      </c>
      <c r="R566" s="105" t="str">
        <f t="shared" si="85"/>
        <v/>
      </c>
      <c r="S566" s="105"/>
      <c r="T566" s="103" t="s">
        <v>35</v>
      </c>
      <c r="U566" s="103" t="s">
        <v>56</v>
      </c>
      <c r="V566" s="103" t="s">
        <v>707</v>
      </c>
    </row>
    <row r="567" spans="1:22" ht="13.5">
      <c r="A567" s="102">
        <v>45627.737996412034</v>
      </c>
      <c r="B567" s="103" t="s">
        <v>164</v>
      </c>
      <c r="C567" s="104" t="str">
        <f t="shared" si="84"/>
        <v>×</v>
      </c>
      <c r="D567" s="104" t="str">
        <f t="shared" si="84"/>
        <v>○</v>
      </c>
      <c r="E567" s="104" t="str">
        <f t="shared" si="84"/>
        <v>×</v>
      </c>
      <c r="F567" s="104" t="str">
        <f t="shared" si="84"/>
        <v>×</v>
      </c>
      <c r="G567" s="103" t="s">
        <v>20</v>
      </c>
      <c r="H567" s="105"/>
      <c r="I567" s="105"/>
      <c r="J567" s="103" t="s">
        <v>58</v>
      </c>
      <c r="K567" s="103" t="s">
        <v>16</v>
      </c>
      <c r="L567" s="103" t="s">
        <v>718</v>
      </c>
      <c r="M567" s="108" t="str">
        <f t="shared" si="85"/>
        <v/>
      </c>
      <c r="N567" s="108" t="str">
        <f t="shared" si="85"/>
        <v/>
      </c>
      <c r="O567" s="108" t="str">
        <f t="shared" si="85"/>
        <v/>
      </c>
      <c r="P567" s="108" t="str">
        <f t="shared" si="85"/>
        <v/>
      </c>
      <c r="Q567" s="108" t="str">
        <f t="shared" si="85"/>
        <v/>
      </c>
      <c r="R567" s="103" t="str">
        <f t="shared" si="85"/>
        <v/>
      </c>
      <c r="S567" s="105"/>
      <c r="T567" s="103" t="s">
        <v>30</v>
      </c>
      <c r="U567" s="103" t="s">
        <v>56</v>
      </c>
      <c r="V567" s="105"/>
    </row>
    <row r="568" spans="1:22" ht="13.5">
      <c r="A568" s="102">
        <v>45627.746846793976</v>
      </c>
      <c r="B568" s="103" t="s">
        <v>93</v>
      </c>
      <c r="C568" s="104" t="str">
        <f t="shared" si="84"/>
        <v>×</v>
      </c>
      <c r="D568" s="104" t="str">
        <f t="shared" si="84"/>
        <v>×</v>
      </c>
      <c r="E568" s="104" t="str">
        <f t="shared" si="84"/>
        <v>○</v>
      </c>
      <c r="F568" s="104" t="str">
        <f t="shared" si="84"/>
        <v>×</v>
      </c>
      <c r="G568" s="103" t="s">
        <v>13</v>
      </c>
      <c r="H568" s="103" t="s">
        <v>32</v>
      </c>
      <c r="I568" s="103" t="s">
        <v>719</v>
      </c>
      <c r="J568" s="105"/>
      <c r="K568" s="103" t="s">
        <v>16</v>
      </c>
      <c r="L568" s="103" t="s">
        <v>29</v>
      </c>
      <c r="M568" s="108" t="str">
        <f t="shared" si="85"/>
        <v/>
      </c>
      <c r="N568" s="108" t="str">
        <f t="shared" si="85"/>
        <v/>
      </c>
      <c r="O568" s="108" t="str">
        <f t="shared" si="85"/>
        <v/>
      </c>
      <c r="P568" s="108" t="str">
        <f t="shared" si="85"/>
        <v/>
      </c>
      <c r="Q568" s="108" t="str">
        <f t="shared" si="85"/>
        <v/>
      </c>
      <c r="R568" s="103" t="str">
        <f t="shared" si="85"/>
        <v>○</v>
      </c>
      <c r="S568" s="105"/>
      <c r="T568" s="103" t="s">
        <v>30</v>
      </c>
      <c r="U568" s="103" t="s">
        <v>56</v>
      </c>
      <c r="V568" s="103" t="s">
        <v>720</v>
      </c>
    </row>
    <row r="569" spans="1:22" ht="13.5">
      <c r="A569" s="102">
        <v>45627.766117951389</v>
      </c>
      <c r="B569" s="103" t="s">
        <v>347</v>
      </c>
      <c r="C569" s="104" t="str">
        <f t="shared" si="84"/>
        <v>×</v>
      </c>
      <c r="D569" s="104" t="str">
        <f t="shared" si="84"/>
        <v>○</v>
      </c>
      <c r="E569" s="104" t="str">
        <f t="shared" si="84"/>
        <v>○</v>
      </c>
      <c r="F569" s="104" t="str">
        <f t="shared" si="84"/>
        <v>×</v>
      </c>
      <c r="G569" s="103" t="s">
        <v>20</v>
      </c>
      <c r="H569" s="105"/>
      <c r="I569" s="105"/>
      <c r="J569" s="103" t="s">
        <v>58</v>
      </c>
      <c r="K569" s="103" t="s">
        <v>16</v>
      </c>
      <c r="L569" s="103" t="s">
        <v>724</v>
      </c>
      <c r="M569" s="108" t="str">
        <f t="shared" si="85"/>
        <v>○</v>
      </c>
      <c r="N569" s="108" t="str">
        <f t="shared" si="85"/>
        <v>○</v>
      </c>
      <c r="O569" s="108" t="str">
        <f t="shared" si="85"/>
        <v/>
      </c>
      <c r="P569" s="108" t="str">
        <f t="shared" si="85"/>
        <v/>
      </c>
      <c r="Q569" s="108" t="str">
        <f t="shared" si="85"/>
        <v/>
      </c>
      <c r="R569" s="103" t="str">
        <f t="shared" si="85"/>
        <v/>
      </c>
      <c r="S569" s="105"/>
      <c r="T569" s="103" t="s">
        <v>30</v>
      </c>
      <c r="U569" s="103" t="s">
        <v>56</v>
      </c>
      <c r="V569" s="103" t="s">
        <v>725</v>
      </c>
    </row>
    <row r="570" spans="1:22" ht="13.5">
      <c r="A570" s="102">
        <v>45627.79562311343</v>
      </c>
      <c r="B570" s="103" t="s">
        <v>41</v>
      </c>
      <c r="C570" s="104" t="str">
        <f t="shared" si="84"/>
        <v>×</v>
      </c>
      <c r="D570" s="104" t="str">
        <f t="shared" si="84"/>
        <v>○</v>
      </c>
      <c r="E570" s="104" t="str">
        <f t="shared" si="84"/>
        <v>×</v>
      </c>
      <c r="F570" s="104" t="str">
        <f t="shared" si="84"/>
        <v>×</v>
      </c>
      <c r="G570" s="103" t="s">
        <v>13</v>
      </c>
      <c r="H570" s="103" t="s">
        <v>27</v>
      </c>
      <c r="I570" s="103" t="s">
        <v>751</v>
      </c>
      <c r="J570" s="105"/>
      <c r="K570" s="103" t="s">
        <v>34</v>
      </c>
      <c r="L570" s="105"/>
      <c r="M570" s="110" t="str">
        <f t="shared" si="85"/>
        <v/>
      </c>
      <c r="N570" s="110" t="str">
        <f t="shared" si="85"/>
        <v/>
      </c>
      <c r="O570" s="110" t="str">
        <f t="shared" si="85"/>
        <v/>
      </c>
      <c r="P570" s="110" t="str">
        <f t="shared" si="85"/>
        <v/>
      </c>
      <c r="Q570" s="110" t="str">
        <f t="shared" si="85"/>
        <v/>
      </c>
      <c r="R570" s="105" t="str">
        <f t="shared" si="85"/>
        <v/>
      </c>
      <c r="S570" s="105"/>
      <c r="T570" s="103" t="s">
        <v>35</v>
      </c>
      <c r="U570" s="103" t="s">
        <v>56</v>
      </c>
      <c r="V570" s="105"/>
    </row>
    <row r="571" spans="1:22" ht="13.5">
      <c r="A571" s="102">
        <v>45627.81224885417</v>
      </c>
      <c r="B571" s="103" t="s">
        <v>93</v>
      </c>
      <c r="C571" s="104" t="str">
        <f t="shared" si="84"/>
        <v>×</v>
      </c>
      <c r="D571" s="104" t="str">
        <f t="shared" si="84"/>
        <v>×</v>
      </c>
      <c r="E571" s="104" t="str">
        <f t="shared" si="84"/>
        <v>○</v>
      </c>
      <c r="F571" s="104" t="str">
        <f t="shared" si="84"/>
        <v>×</v>
      </c>
      <c r="G571" s="103" t="s">
        <v>20</v>
      </c>
      <c r="H571" s="105"/>
      <c r="I571" s="105"/>
      <c r="J571" s="103" t="s">
        <v>21</v>
      </c>
      <c r="K571" s="103" t="s">
        <v>16</v>
      </c>
      <c r="L571" s="103" t="s">
        <v>39</v>
      </c>
      <c r="M571" s="108" t="str">
        <f t="shared" si="85"/>
        <v/>
      </c>
      <c r="N571" s="108" t="str">
        <f t="shared" si="85"/>
        <v>○</v>
      </c>
      <c r="O571" s="108" t="str">
        <f t="shared" si="85"/>
        <v/>
      </c>
      <c r="P571" s="108" t="str">
        <f t="shared" si="85"/>
        <v/>
      </c>
      <c r="Q571" s="108" t="str">
        <f t="shared" si="85"/>
        <v/>
      </c>
      <c r="R571" s="103" t="str">
        <f t="shared" si="85"/>
        <v/>
      </c>
      <c r="S571" s="105"/>
      <c r="T571" s="103" t="s">
        <v>762</v>
      </c>
      <c r="U571" s="103" t="s">
        <v>56</v>
      </c>
      <c r="V571" s="103" t="s">
        <v>763</v>
      </c>
    </row>
    <row r="572" spans="1:22" ht="13.5">
      <c r="A572" s="102">
        <v>45627.825682210649</v>
      </c>
      <c r="B572" s="103" t="s">
        <v>767</v>
      </c>
      <c r="C572" s="104" t="str">
        <f t="shared" si="84"/>
        <v>×</v>
      </c>
      <c r="D572" s="104" t="str">
        <f t="shared" si="84"/>
        <v>○</v>
      </c>
      <c r="E572" s="104" t="str">
        <f t="shared" si="84"/>
        <v>○</v>
      </c>
      <c r="F572" s="104" t="str">
        <f t="shared" si="84"/>
        <v>×</v>
      </c>
      <c r="G572" s="103" t="s">
        <v>13</v>
      </c>
      <c r="H572" s="103" t="s">
        <v>27</v>
      </c>
      <c r="I572" s="103" t="s">
        <v>768</v>
      </c>
      <c r="J572" s="105"/>
      <c r="K572" s="103" t="s">
        <v>34</v>
      </c>
      <c r="L572" s="105"/>
      <c r="M572" s="110" t="str">
        <f t="shared" ref="M572:R581" si="86">IF(ISERROR(SEARCH(M$1,$L572)),"","○")</f>
        <v/>
      </c>
      <c r="N572" s="110" t="str">
        <f t="shared" si="86"/>
        <v/>
      </c>
      <c r="O572" s="110" t="str">
        <f t="shared" si="86"/>
        <v/>
      </c>
      <c r="P572" s="110" t="str">
        <f t="shared" si="86"/>
        <v/>
      </c>
      <c r="Q572" s="110" t="str">
        <f t="shared" si="86"/>
        <v/>
      </c>
      <c r="R572" s="105" t="str">
        <f t="shared" si="86"/>
        <v/>
      </c>
      <c r="S572" s="105"/>
      <c r="T572" s="103" t="s">
        <v>35</v>
      </c>
      <c r="U572" s="103" t="s">
        <v>56</v>
      </c>
      <c r="V572" s="105"/>
    </row>
    <row r="573" spans="1:22" ht="13.5">
      <c r="A573" s="102">
        <v>45627.847281226852</v>
      </c>
      <c r="B573" s="103" t="s">
        <v>41</v>
      </c>
      <c r="C573" s="104" t="str">
        <f t="shared" si="84"/>
        <v>×</v>
      </c>
      <c r="D573" s="104" t="str">
        <f t="shared" si="84"/>
        <v>○</v>
      </c>
      <c r="E573" s="104" t="str">
        <f t="shared" si="84"/>
        <v>×</v>
      </c>
      <c r="F573" s="104" t="str">
        <f t="shared" si="84"/>
        <v>×</v>
      </c>
      <c r="G573" s="103" t="s">
        <v>13</v>
      </c>
      <c r="H573" s="103" t="s">
        <v>14</v>
      </c>
      <c r="I573" s="103" t="s">
        <v>775</v>
      </c>
      <c r="J573" s="105"/>
      <c r="K573" s="103" t="s">
        <v>34</v>
      </c>
      <c r="L573" s="105"/>
      <c r="M573" s="110" t="str">
        <f t="shared" si="86"/>
        <v/>
      </c>
      <c r="N573" s="110" t="str">
        <f t="shared" si="86"/>
        <v/>
      </c>
      <c r="O573" s="110" t="str">
        <f t="shared" si="86"/>
        <v/>
      </c>
      <c r="P573" s="110" t="str">
        <f t="shared" si="86"/>
        <v/>
      </c>
      <c r="Q573" s="110" t="str">
        <f t="shared" si="86"/>
        <v/>
      </c>
      <c r="R573" s="105" t="str">
        <f t="shared" si="86"/>
        <v/>
      </c>
      <c r="S573" s="105"/>
      <c r="T573" s="103" t="s">
        <v>35</v>
      </c>
      <c r="U573" s="103" t="s">
        <v>56</v>
      </c>
      <c r="V573" s="105"/>
    </row>
    <row r="574" spans="1:22" ht="13.5">
      <c r="A574" s="102">
        <v>45627.86543283565</v>
      </c>
      <c r="B574" s="103" t="s">
        <v>786</v>
      </c>
      <c r="C574" s="104" t="str">
        <f t="shared" si="84"/>
        <v>×</v>
      </c>
      <c r="D574" s="104" t="str">
        <f t="shared" si="84"/>
        <v>×</v>
      </c>
      <c r="E574" s="104" t="str">
        <f t="shared" si="84"/>
        <v>○</v>
      </c>
      <c r="F574" s="104" t="str">
        <f t="shared" si="84"/>
        <v>○</v>
      </c>
      <c r="G574" s="103" t="s">
        <v>20</v>
      </c>
      <c r="H574" s="105"/>
      <c r="I574" s="105"/>
      <c r="J574" s="103" t="s">
        <v>58</v>
      </c>
      <c r="K574" s="103" t="s">
        <v>16</v>
      </c>
      <c r="L574" s="103" t="s">
        <v>88</v>
      </c>
      <c r="M574" s="108" t="str">
        <f t="shared" si="86"/>
        <v/>
      </c>
      <c r="N574" s="108" t="str">
        <f t="shared" si="86"/>
        <v>○</v>
      </c>
      <c r="O574" s="108" t="str">
        <f t="shared" si="86"/>
        <v/>
      </c>
      <c r="P574" s="108" t="str">
        <f t="shared" si="86"/>
        <v/>
      </c>
      <c r="Q574" s="108" t="str">
        <f t="shared" si="86"/>
        <v>○</v>
      </c>
      <c r="R574" s="103" t="str">
        <f t="shared" si="86"/>
        <v/>
      </c>
      <c r="S574" s="103" t="s">
        <v>787</v>
      </c>
      <c r="T574" s="103" t="s">
        <v>30</v>
      </c>
      <c r="U574" s="103" t="s">
        <v>56</v>
      </c>
      <c r="V574" s="105"/>
    </row>
    <row r="575" spans="1:22" ht="13.5">
      <c r="A575" s="102">
        <v>45627.87876521991</v>
      </c>
      <c r="B575" s="103" t="s">
        <v>164</v>
      </c>
      <c r="C575" s="104" t="str">
        <f t="shared" si="84"/>
        <v>×</v>
      </c>
      <c r="D575" s="104" t="str">
        <f t="shared" si="84"/>
        <v>○</v>
      </c>
      <c r="E575" s="104" t="str">
        <f t="shared" si="84"/>
        <v>×</v>
      </c>
      <c r="F575" s="104" t="str">
        <f t="shared" si="84"/>
        <v>×</v>
      </c>
      <c r="G575" s="103" t="s">
        <v>20</v>
      </c>
      <c r="H575" s="105"/>
      <c r="I575" s="105"/>
      <c r="J575" s="103" t="s">
        <v>58</v>
      </c>
      <c r="K575" s="103" t="s">
        <v>16</v>
      </c>
      <c r="L575" s="103" t="s">
        <v>88</v>
      </c>
      <c r="M575" s="108" t="str">
        <f t="shared" si="86"/>
        <v/>
      </c>
      <c r="N575" s="108" t="str">
        <f t="shared" si="86"/>
        <v>○</v>
      </c>
      <c r="O575" s="108" t="str">
        <f t="shared" si="86"/>
        <v/>
      </c>
      <c r="P575" s="108" t="str">
        <f t="shared" si="86"/>
        <v/>
      </c>
      <c r="Q575" s="108" t="str">
        <f t="shared" si="86"/>
        <v>○</v>
      </c>
      <c r="R575" s="103" t="str">
        <f t="shared" si="86"/>
        <v/>
      </c>
      <c r="S575" s="103" t="s">
        <v>790</v>
      </c>
      <c r="T575" s="103" t="s">
        <v>24</v>
      </c>
      <c r="U575" s="103" t="s">
        <v>56</v>
      </c>
      <c r="V575" s="103" t="s">
        <v>791</v>
      </c>
    </row>
    <row r="576" spans="1:22" ht="13.5">
      <c r="A576" s="102">
        <v>45627.905787766205</v>
      </c>
      <c r="B576" s="103" t="s">
        <v>213</v>
      </c>
      <c r="C576" s="104" t="str">
        <f t="shared" si="84"/>
        <v>×</v>
      </c>
      <c r="D576" s="104" t="str">
        <f t="shared" si="84"/>
        <v>○</v>
      </c>
      <c r="E576" s="104" t="str">
        <f t="shared" si="84"/>
        <v>○</v>
      </c>
      <c r="F576" s="104" t="str">
        <f t="shared" si="84"/>
        <v>×</v>
      </c>
      <c r="G576" s="103" t="s">
        <v>13</v>
      </c>
      <c r="H576" s="103" t="s">
        <v>32</v>
      </c>
      <c r="I576" s="103" t="s">
        <v>797</v>
      </c>
      <c r="J576" s="105"/>
      <c r="K576" s="103" t="s">
        <v>34</v>
      </c>
      <c r="L576" s="105"/>
      <c r="M576" s="110" t="str">
        <f t="shared" si="86"/>
        <v/>
      </c>
      <c r="N576" s="110" t="str">
        <f t="shared" si="86"/>
        <v/>
      </c>
      <c r="O576" s="110" t="str">
        <f t="shared" si="86"/>
        <v/>
      </c>
      <c r="P576" s="110" t="str">
        <f t="shared" si="86"/>
        <v/>
      </c>
      <c r="Q576" s="110" t="str">
        <f t="shared" si="86"/>
        <v/>
      </c>
      <c r="R576" s="105" t="str">
        <f t="shared" si="86"/>
        <v/>
      </c>
      <c r="S576" s="105"/>
      <c r="T576" s="103" t="s">
        <v>30</v>
      </c>
      <c r="U576" s="103" t="s">
        <v>56</v>
      </c>
      <c r="V576" s="103" t="s">
        <v>798</v>
      </c>
    </row>
    <row r="577" spans="1:22" ht="13.5">
      <c r="A577" s="102">
        <v>45627.910984062502</v>
      </c>
      <c r="B577" s="103" t="s">
        <v>181</v>
      </c>
      <c r="C577" s="104" t="str">
        <f t="shared" si="84"/>
        <v>×</v>
      </c>
      <c r="D577" s="104" t="str">
        <f t="shared" si="84"/>
        <v>○</v>
      </c>
      <c r="E577" s="104" t="str">
        <f t="shared" si="84"/>
        <v>×</v>
      </c>
      <c r="F577" s="104" t="str">
        <f t="shared" si="84"/>
        <v>×</v>
      </c>
      <c r="G577" s="103" t="s">
        <v>20</v>
      </c>
      <c r="H577" s="105"/>
      <c r="I577" s="105"/>
      <c r="J577" s="103" t="s">
        <v>803</v>
      </c>
      <c r="K577" s="103" t="s">
        <v>16</v>
      </c>
      <c r="L577" s="103" t="s">
        <v>39</v>
      </c>
      <c r="M577" s="108" t="str">
        <f t="shared" si="86"/>
        <v/>
      </c>
      <c r="N577" s="108" t="str">
        <f t="shared" si="86"/>
        <v>○</v>
      </c>
      <c r="O577" s="108" t="str">
        <f t="shared" si="86"/>
        <v/>
      </c>
      <c r="P577" s="108" t="str">
        <f t="shared" si="86"/>
        <v/>
      </c>
      <c r="Q577" s="108" t="str">
        <f t="shared" si="86"/>
        <v/>
      </c>
      <c r="R577" s="103" t="str">
        <f t="shared" si="86"/>
        <v/>
      </c>
      <c r="S577" s="105"/>
      <c r="T577" s="103" t="s">
        <v>30</v>
      </c>
      <c r="U577" s="103" t="s">
        <v>56</v>
      </c>
      <c r="V577" s="103" t="s">
        <v>804</v>
      </c>
    </row>
    <row r="578" spans="1:22" ht="13.5">
      <c r="A578" s="102">
        <v>45627.930698043987</v>
      </c>
      <c r="B578" s="103" t="s">
        <v>93</v>
      </c>
      <c r="C578" s="104" t="str">
        <f t="shared" si="84"/>
        <v>×</v>
      </c>
      <c r="D578" s="104" t="str">
        <f t="shared" si="84"/>
        <v>×</v>
      </c>
      <c r="E578" s="104" t="str">
        <f t="shared" si="84"/>
        <v>○</v>
      </c>
      <c r="F578" s="104" t="str">
        <f t="shared" si="84"/>
        <v>×</v>
      </c>
      <c r="G578" s="103" t="s">
        <v>20</v>
      </c>
      <c r="H578" s="105"/>
      <c r="I578" s="105"/>
      <c r="J578" s="103" t="s">
        <v>58</v>
      </c>
      <c r="K578" s="103" t="s">
        <v>16</v>
      </c>
      <c r="L578" s="103" t="s">
        <v>39</v>
      </c>
      <c r="M578" s="108" t="str">
        <f t="shared" si="86"/>
        <v/>
      </c>
      <c r="N578" s="108" t="str">
        <f t="shared" si="86"/>
        <v>○</v>
      </c>
      <c r="O578" s="108" t="str">
        <f t="shared" si="86"/>
        <v/>
      </c>
      <c r="P578" s="108" t="str">
        <f t="shared" si="86"/>
        <v/>
      </c>
      <c r="Q578" s="108" t="str">
        <f t="shared" si="86"/>
        <v/>
      </c>
      <c r="R578" s="103" t="str">
        <f t="shared" si="86"/>
        <v/>
      </c>
      <c r="S578" s="105"/>
      <c r="T578" s="103" t="s">
        <v>35</v>
      </c>
      <c r="U578" s="103" t="s">
        <v>56</v>
      </c>
      <c r="V578" s="105"/>
    </row>
    <row r="579" spans="1:22" ht="13.5">
      <c r="A579" s="102">
        <v>45627.988330231485</v>
      </c>
      <c r="B579" s="103" t="s">
        <v>105</v>
      </c>
      <c r="C579" s="104" t="str">
        <f t="shared" si="84"/>
        <v>×</v>
      </c>
      <c r="D579" s="104" t="str">
        <f t="shared" si="84"/>
        <v>×</v>
      </c>
      <c r="E579" s="104" t="str">
        <f t="shared" si="84"/>
        <v>○</v>
      </c>
      <c r="F579" s="104" t="str">
        <f t="shared" si="84"/>
        <v>×</v>
      </c>
      <c r="G579" s="103" t="s">
        <v>13</v>
      </c>
      <c r="H579" s="103" t="s">
        <v>27</v>
      </c>
      <c r="I579" s="103" t="s">
        <v>841</v>
      </c>
      <c r="J579" s="105"/>
      <c r="K579" s="103" t="s">
        <v>34</v>
      </c>
      <c r="L579" s="105"/>
      <c r="M579" s="110" t="str">
        <f t="shared" si="86"/>
        <v/>
      </c>
      <c r="N579" s="110" t="str">
        <f t="shared" si="86"/>
        <v/>
      </c>
      <c r="O579" s="110" t="str">
        <f t="shared" si="86"/>
        <v/>
      </c>
      <c r="P579" s="110" t="str">
        <f t="shared" si="86"/>
        <v/>
      </c>
      <c r="Q579" s="110" t="str">
        <f t="shared" si="86"/>
        <v/>
      </c>
      <c r="R579" s="105" t="str">
        <f t="shared" si="86"/>
        <v/>
      </c>
      <c r="S579" s="105"/>
      <c r="T579" s="103" t="s">
        <v>30</v>
      </c>
      <c r="U579" s="103" t="s">
        <v>56</v>
      </c>
      <c r="V579" s="103" t="s">
        <v>842</v>
      </c>
    </row>
    <row r="580" spans="1:22" ht="13.5">
      <c r="A580" s="102">
        <v>45628.30061056713</v>
      </c>
      <c r="B580" s="103" t="s">
        <v>49</v>
      </c>
      <c r="C580" s="104" t="str">
        <f t="shared" si="84"/>
        <v>×</v>
      </c>
      <c r="D580" s="104" t="str">
        <f t="shared" si="84"/>
        <v>○</v>
      </c>
      <c r="E580" s="104" t="str">
        <f t="shared" si="84"/>
        <v>×</v>
      </c>
      <c r="F580" s="104" t="str">
        <f t="shared" si="84"/>
        <v>×</v>
      </c>
      <c r="G580" s="103" t="s">
        <v>20</v>
      </c>
      <c r="H580" s="105"/>
      <c r="I580" s="105"/>
      <c r="J580" s="103" t="s">
        <v>58</v>
      </c>
      <c r="K580" s="103" t="s">
        <v>16</v>
      </c>
      <c r="L580" s="103" t="s">
        <v>39</v>
      </c>
      <c r="M580" s="108" t="str">
        <f t="shared" si="86"/>
        <v/>
      </c>
      <c r="N580" s="108" t="str">
        <f t="shared" si="86"/>
        <v>○</v>
      </c>
      <c r="O580" s="108" t="str">
        <f t="shared" si="86"/>
        <v/>
      </c>
      <c r="P580" s="108" t="str">
        <f t="shared" si="86"/>
        <v/>
      </c>
      <c r="Q580" s="108" t="str">
        <f t="shared" si="86"/>
        <v/>
      </c>
      <c r="R580" s="103" t="str">
        <f t="shared" si="86"/>
        <v/>
      </c>
      <c r="S580" s="105"/>
      <c r="T580" s="103" t="s">
        <v>30</v>
      </c>
      <c r="U580" s="103" t="s">
        <v>56</v>
      </c>
      <c r="V580" s="103" t="s">
        <v>860</v>
      </c>
    </row>
    <row r="581" spans="1:22" ht="13.5">
      <c r="A581" s="102">
        <v>45628.306394918982</v>
      </c>
      <c r="B581" s="103" t="s">
        <v>105</v>
      </c>
      <c r="C581" s="104" t="str">
        <f t="shared" si="84"/>
        <v>×</v>
      </c>
      <c r="D581" s="104" t="str">
        <f t="shared" si="84"/>
        <v>×</v>
      </c>
      <c r="E581" s="104" t="str">
        <f t="shared" si="84"/>
        <v>○</v>
      </c>
      <c r="F581" s="104" t="str">
        <f t="shared" si="84"/>
        <v>×</v>
      </c>
      <c r="G581" s="103" t="s">
        <v>20</v>
      </c>
      <c r="H581" s="105"/>
      <c r="I581" s="105"/>
      <c r="J581" s="103" t="s">
        <v>58</v>
      </c>
      <c r="K581" s="103" t="s">
        <v>16</v>
      </c>
      <c r="L581" s="103" t="s">
        <v>88</v>
      </c>
      <c r="M581" s="108" t="str">
        <f t="shared" si="86"/>
        <v/>
      </c>
      <c r="N581" s="108" t="str">
        <f t="shared" si="86"/>
        <v>○</v>
      </c>
      <c r="O581" s="108" t="str">
        <f t="shared" si="86"/>
        <v/>
      </c>
      <c r="P581" s="108" t="str">
        <f t="shared" si="86"/>
        <v/>
      </c>
      <c r="Q581" s="108" t="str">
        <f t="shared" si="86"/>
        <v>○</v>
      </c>
      <c r="R581" s="103" t="str">
        <f t="shared" si="86"/>
        <v/>
      </c>
      <c r="S581" s="103" t="s">
        <v>863</v>
      </c>
      <c r="T581" s="103" t="s">
        <v>30</v>
      </c>
      <c r="U581" s="103" t="s">
        <v>56</v>
      </c>
      <c r="V581" s="103" t="s">
        <v>864</v>
      </c>
    </row>
    <row r="582" spans="1:22" ht="13.5">
      <c r="A582" s="102">
        <v>45628.312224699075</v>
      </c>
      <c r="B582" s="103" t="s">
        <v>631</v>
      </c>
      <c r="C582" s="104" t="str">
        <f t="shared" ref="C582:F601" si="87">IF(ISERROR(FIND(C$1,$B582)),"×","○")</f>
        <v>×</v>
      </c>
      <c r="D582" s="104" t="str">
        <f t="shared" si="87"/>
        <v>○</v>
      </c>
      <c r="E582" s="104" t="str">
        <f t="shared" si="87"/>
        <v>○</v>
      </c>
      <c r="F582" s="104" t="str">
        <f t="shared" si="87"/>
        <v>×</v>
      </c>
      <c r="G582" s="103" t="s">
        <v>20</v>
      </c>
      <c r="H582" s="105"/>
      <c r="I582" s="105"/>
      <c r="J582" s="103" t="s">
        <v>38</v>
      </c>
      <c r="K582" s="103" t="s">
        <v>16</v>
      </c>
      <c r="L582" s="103" t="s">
        <v>39</v>
      </c>
      <c r="M582" s="108" t="str">
        <f t="shared" ref="M582:R591" si="88">IF(ISERROR(SEARCH(M$1,$L582)),"","○")</f>
        <v/>
      </c>
      <c r="N582" s="108" t="str">
        <f t="shared" si="88"/>
        <v>○</v>
      </c>
      <c r="O582" s="108" t="str">
        <f t="shared" si="88"/>
        <v/>
      </c>
      <c r="P582" s="108" t="str">
        <f t="shared" si="88"/>
        <v/>
      </c>
      <c r="Q582" s="108" t="str">
        <f t="shared" si="88"/>
        <v/>
      </c>
      <c r="R582" s="103" t="str">
        <f t="shared" si="88"/>
        <v/>
      </c>
      <c r="S582" s="105"/>
      <c r="T582" s="103" t="s">
        <v>30</v>
      </c>
      <c r="U582" s="103" t="s">
        <v>56</v>
      </c>
      <c r="V582" s="103" t="s">
        <v>874</v>
      </c>
    </row>
    <row r="583" spans="1:22" ht="13.5">
      <c r="A583" s="102">
        <v>45628.316148298611</v>
      </c>
      <c r="B583" s="103" t="s">
        <v>49</v>
      </c>
      <c r="C583" s="104" t="str">
        <f t="shared" si="87"/>
        <v>×</v>
      </c>
      <c r="D583" s="104" t="str">
        <f t="shared" si="87"/>
        <v>○</v>
      </c>
      <c r="E583" s="104" t="str">
        <f t="shared" si="87"/>
        <v>×</v>
      </c>
      <c r="F583" s="104" t="str">
        <f t="shared" si="87"/>
        <v>×</v>
      </c>
      <c r="G583" s="103" t="s">
        <v>20</v>
      </c>
      <c r="H583" s="105"/>
      <c r="I583" s="105"/>
      <c r="J583" s="103" t="s">
        <v>21</v>
      </c>
      <c r="K583" s="103" t="s">
        <v>16</v>
      </c>
      <c r="L583" s="103" t="s">
        <v>68</v>
      </c>
      <c r="M583" s="108" t="str">
        <f t="shared" si="88"/>
        <v/>
      </c>
      <c r="N583" s="108" t="str">
        <f t="shared" si="88"/>
        <v/>
      </c>
      <c r="O583" s="108" t="str">
        <f t="shared" si="88"/>
        <v/>
      </c>
      <c r="P583" s="108" t="str">
        <f t="shared" si="88"/>
        <v/>
      </c>
      <c r="Q583" s="108" t="str">
        <f t="shared" si="88"/>
        <v>○</v>
      </c>
      <c r="R583" s="103" t="str">
        <f t="shared" si="88"/>
        <v/>
      </c>
      <c r="S583" s="103" t="s">
        <v>875</v>
      </c>
      <c r="T583" s="103" t="s">
        <v>30</v>
      </c>
      <c r="U583" s="103" t="s">
        <v>56</v>
      </c>
      <c r="V583" s="105"/>
    </row>
    <row r="584" spans="1:22" ht="13.5">
      <c r="A584" s="102">
        <v>45628.317212754628</v>
      </c>
      <c r="B584" s="103" t="s">
        <v>90</v>
      </c>
      <c r="C584" s="104" t="str">
        <f t="shared" si="87"/>
        <v>×</v>
      </c>
      <c r="D584" s="104" t="str">
        <f t="shared" si="87"/>
        <v>×</v>
      </c>
      <c r="E584" s="104" t="str">
        <f t="shared" si="87"/>
        <v>○</v>
      </c>
      <c r="F584" s="104" t="str">
        <f t="shared" si="87"/>
        <v>×</v>
      </c>
      <c r="G584" s="103" t="s">
        <v>13</v>
      </c>
      <c r="H584" s="103" t="s">
        <v>14</v>
      </c>
      <c r="I584" s="103" t="s">
        <v>878</v>
      </c>
      <c r="J584" s="105"/>
      <c r="K584" s="103" t="s">
        <v>16</v>
      </c>
      <c r="L584" s="103" t="s">
        <v>879</v>
      </c>
      <c r="M584" s="108" t="str">
        <f t="shared" si="88"/>
        <v/>
      </c>
      <c r="N584" s="108" t="str">
        <f t="shared" si="88"/>
        <v/>
      </c>
      <c r="O584" s="108" t="str">
        <f t="shared" si="88"/>
        <v/>
      </c>
      <c r="P584" s="108" t="str">
        <f t="shared" si="88"/>
        <v/>
      </c>
      <c r="Q584" s="108" t="str">
        <f t="shared" si="88"/>
        <v/>
      </c>
      <c r="R584" s="103" t="str">
        <f t="shared" si="88"/>
        <v/>
      </c>
      <c r="S584" s="105"/>
      <c r="T584" s="103" t="s">
        <v>35</v>
      </c>
      <c r="U584" s="103" t="s">
        <v>56</v>
      </c>
      <c r="V584" s="105"/>
    </row>
    <row r="585" spans="1:22" ht="13.5">
      <c r="A585" s="102">
        <v>45628.322889907402</v>
      </c>
      <c r="B585" s="103" t="s">
        <v>140</v>
      </c>
      <c r="C585" s="104" t="str">
        <f t="shared" si="87"/>
        <v>×</v>
      </c>
      <c r="D585" s="104" t="str">
        <f t="shared" si="87"/>
        <v>○</v>
      </c>
      <c r="E585" s="104" t="str">
        <f t="shared" si="87"/>
        <v>○</v>
      </c>
      <c r="F585" s="104" t="str">
        <f t="shared" si="87"/>
        <v>×</v>
      </c>
      <c r="G585" s="103" t="s">
        <v>20</v>
      </c>
      <c r="H585" s="105"/>
      <c r="I585" s="105"/>
      <c r="J585" s="103" t="s">
        <v>21</v>
      </c>
      <c r="K585" s="103" t="s">
        <v>16</v>
      </c>
      <c r="L585" s="103" t="s">
        <v>386</v>
      </c>
      <c r="M585" s="108" t="str">
        <f t="shared" si="88"/>
        <v>○</v>
      </c>
      <c r="N585" s="108" t="str">
        <f t="shared" si="88"/>
        <v/>
      </c>
      <c r="O585" s="108" t="str">
        <f t="shared" si="88"/>
        <v/>
      </c>
      <c r="P585" s="108" t="str">
        <f t="shared" si="88"/>
        <v/>
      </c>
      <c r="Q585" s="108" t="str">
        <f t="shared" si="88"/>
        <v/>
      </c>
      <c r="R585" s="103" t="str">
        <f t="shared" si="88"/>
        <v/>
      </c>
      <c r="S585" s="105"/>
      <c r="T585" s="103" t="s">
        <v>30</v>
      </c>
      <c r="U585" s="103" t="s">
        <v>56</v>
      </c>
      <c r="V585" s="105"/>
    </row>
    <row r="586" spans="1:22" ht="13.5">
      <c r="A586" s="102">
        <v>45628.370089953707</v>
      </c>
      <c r="B586" s="103" t="s">
        <v>600</v>
      </c>
      <c r="C586" s="104" t="str">
        <f t="shared" si="87"/>
        <v>×</v>
      </c>
      <c r="D586" s="104" t="str">
        <f t="shared" si="87"/>
        <v>○</v>
      </c>
      <c r="E586" s="104" t="str">
        <f t="shared" si="87"/>
        <v>×</v>
      </c>
      <c r="F586" s="104" t="str">
        <f t="shared" si="87"/>
        <v>×</v>
      </c>
      <c r="G586" s="103" t="s">
        <v>13</v>
      </c>
      <c r="H586" s="103" t="s">
        <v>14</v>
      </c>
      <c r="I586" s="103" t="s">
        <v>890</v>
      </c>
      <c r="J586" s="105"/>
      <c r="K586" s="103" t="s">
        <v>34</v>
      </c>
      <c r="L586" s="105"/>
      <c r="M586" s="110" t="str">
        <f t="shared" si="88"/>
        <v/>
      </c>
      <c r="N586" s="110" t="str">
        <f t="shared" si="88"/>
        <v/>
      </c>
      <c r="O586" s="110" t="str">
        <f t="shared" si="88"/>
        <v/>
      </c>
      <c r="P586" s="110" t="str">
        <f t="shared" si="88"/>
        <v/>
      </c>
      <c r="Q586" s="110" t="str">
        <f t="shared" si="88"/>
        <v/>
      </c>
      <c r="R586" s="105" t="str">
        <f t="shared" si="88"/>
        <v/>
      </c>
      <c r="S586" s="105"/>
      <c r="T586" s="103" t="s">
        <v>30</v>
      </c>
      <c r="U586" s="103" t="s">
        <v>56</v>
      </c>
      <c r="V586" s="103" t="s">
        <v>891</v>
      </c>
    </row>
    <row r="587" spans="1:22" ht="13.5">
      <c r="A587" s="102">
        <v>45628.379046562499</v>
      </c>
      <c r="B587" s="103" t="s">
        <v>745</v>
      </c>
      <c r="C587" s="104" t="str">
        <f t="shared" si="87"/>
        <v>×</v>
      </c>
      <c r="D587" s="104" t="str">
        <f t="shared" si="87"/>
        <v>○</v>
      </c>
      <c r="E587" s="104" t="str">
        <f t="shared" si="87"/>
        <v>○</v>
      </c>
      <c r="F587" s="104" t="str">
        <f t="shared" si="87"/>
        <v>×</v>
      </c>
      <c r="G587" s="103" t="s">
        <v>20</v>
      </c>
      <c r="H587" s="105"/>
      <c r="I587" s="105"/>
      <c r="J587" s="103" t="s">
        <v>58</v>
      </c>
      <c r="K587" s="103" t="s">
        <v>16</v>
      </c>
      <c r="L587" s="103" t="s">
        <v>68</v>
      </c>
      <c r="M587" s="108" t="str">
        <f t="shared" si="88"/>
        <v/>
      </c>
      <c r="N587" s="108" t="str">
        <f t="shared" si="88"/>
        <v/>
      </c>
      <c r="O587" s="108" t="str">
        <f t="shared" si="88"/>
        <v/>
      </c>
      <c r="P587" s="108" t="str">
        <f t="shared" si="88"/>
        <v/>
      </c>
      <c r="Q587" s="108" t="str">
        <f t="shared" si="88"/>
        <v>○</v>
      </c>
      <c r="R587" s="103" t="str">
        <f t="shared" si="88"/>
        <v/>
      </c>
      <c r="S587" s="103" t="s">
        <v>892</v>
      </c>
      <c r="T587" s="103" t="s">
        <v>30</v>
      </c>
      <c r="U587" s="103" t="s">
        <v>56</v>
      </c>
      <c r="V587" s="103" t="s">
        <v>893</v>
      </c>
    </row>
    <row r="588" spans="1:22" ht="13.5">
      <c r="A588" s="102">
        <v>45628.40084584491</v>
      </c>
      <c r="B588" s="103" t="s">
        <v>64</v>
      </c>
      <c r="C588" s="104" t="str">
        <f t="shared" si="87"/>
        <v>○</v>
      </c>
      <c r="D588" s="104" t="str">
        <f t="shared" si="87"/>
        <v>○</v>
      </c>
      <c r="E588" s="104" t="str">
        <f t="shared" si="87"/>
        <v>×</v>
      </c>
      <c r="F588" s="104" t="str">
        <f t="shared" si="87"/>
        <v>×</v>
      </c>
      <c r="G588" s="103" t="s">
        <v>13</v>
      </c>
      <c r="H588" s="103" t="s">
        <v>27</v>
      </c>
      <c r="I588" s="103" t="s">
        <v>894</v>
      </c>
      <c r="J588" s="105"/>
      <c r="K588" s="103" t="s">
        <v>34</v>
      </c>
      <c r="L588" s="105"/>
      <c r="M588" s="110" t="str">
        <f t="shared" si="88"/>
        <v/>
      </c>
      <c r="N588" s="110" t="str">
        <f t="shared" si="88"/>
        <v/>
      </c>
      <c r="O588" s="110" t="str">
        <f t="shared" si="88"/>
        <v/>
      </c>
      <c r="P588" s="110" t="str">
        <f t="shared" si="88"/>
        <v/>
      </c>
      <c r="Q588" s="110" t="str">
        <f t="shared" si="88"/>
        <v/>
      </c>
      <c r="R588" s="105" t="str">
        <f t="shared" si="88"/>
        <v/>
      </c>
      <c r="S588" s="105"/>
      <c r="T588" s="103" t="s">
        <v>30</v>
      </c>
      <c r="U588" s="103" t="s">
        <v>56</v>
      </c>
      <c r="V588" s="103" t="s">
        <v>895</v>
      </c>
    </row>
    <row r="589" spans="1:22" ht="13.5">
      <c r="A589" s="102">
        <v>45628.420283981482</v>
      </c>
      <c r="B589" s="103" t="s">
        <v>93</v>
      </c>
      <c r="C589" s="104" t="str">
        <f t="shared" si="87"/>
        <v>×</v>
      </c>
      <c r="D589" s="104" t="str">
        <f t="shared" si="87"/>
        <v>×</v>
      </c>
      <c r="E589" s="104" t="str">
        <f t="shared" si="87"/>
        <v>○</v>
      </c>
      <c r="F589" s="104" t="str">
        <f t="shared" si="87"/>
        <v>×</v>
      </c>
      <c r="G589" s="103" t="s">
        <v>13</v>
      </c>
      <c r="H589" s="103" t="s">
        <v>27</v>
      </c>
      <c r="I589" s="103" t="s">
        <v>900</v>
      </c>
      <c r="J589" s="105"/>
      <c r="K589" s="103" t="s">
        <v>34</v>
      </c>
      <c r="L589" s="105"/>
      <c r="M589" s="110" t="str">
        <f t="shared" si="88"/>
        <v/>
      </c>
      <c r="N589" s="110" t="str">
        <f t="shared" si="88"/>
        <v/>
      </c>
      <c r="O589" s="110" t="str">
        <f t="shared" si="88"/>
        <v/>
      </c>
      <c r="P589" s="110" t="str">
        <f t="shared" si="88"/>
        <v/>
      </c>
      <c r="Q589" s="110" t="str">
        <f t="shared" si="88"/>
        <v/>
      </c>
      <c r="R589" s="105" t="str">
        <f t="shared" si="88"/>
        <v/>
      </c>
      <c r="S589" s="105"/>
      <c r="T589" s="103" t="s">
        <v>24</v>
      </c>
      <c r="U589" s="103" t="s">
        <v>56</v>
      </c>
      <c r="V589" s="103" t="s">
        <v>901</v>
      </c>
    </row>
    <row r="590" spans="1:22" ht="13.5">
      <c r="A590" s="102">
        <v>45628.51708445602</v>
      </c>
      <c r="B590" s="103" t="s">
        <v>759</v>
      </c>
      <c r="C590" s="104" t="str">
        <f t="shared" si="87"/>
        <v>×</v>
      </c>
      <c r="D590" s="104" t="str">
        <f t="shared" si="87"/>
        <v>○</v>
      </c>
      <c r="E590" s="104" t="str">
        <f t="shared" si="87"/>
        <v>○</v>
      </c>
      <c r="F590" s="104" t="str">
        <f t="shared" si="87"/>
        <v>×</v>
      </c>
      <c r="G590" s="103" t="s">
        <v>20</v>
      </c>
      <c r="H590" s="105"/>
      <c r="I590" s="105"/>
      <c r="J590" s="103" t="s">
        <v>58</v>
      </c>
      <c r="K590" s="103" t="s">
        <v>16</v>
      </c>
      <c r="L590" s="103" t="s">
        <v>39</v>
      </c>
      <c r="M590" s="108" t="str">
        <f t="shared" si="88"/>
        <v/>
      </c>
      <c r="N590" s="108" t="str">
        <f t="shared" si="88"/>
        <v>○</v>
      </c>
      <c r="O590" s="108" t="str">
        <f t="shared" si="88"/>
        <v/>
      </c>
      <c r="P590" s="108" t="str">
        <f t="shared" si="88"/>
        <v/>
      </c>
      <c r="Q590" s="108" t="str">
        <f t="shared" si="88"/>
        <v/>
      </c>
      <c r="R590" s="103" t="str">
        <f t="shared" si="88"/>
        <v/>
      </c>
      <c r="S590" s="105"/>
      <c r="T590" s="103" t="s">
        <v>24</v>
      </c>
      <c r="U590" s="103" t="s">
        <v>56</v>
      </c>
      <c r="V590" s="105"/>
    </row>
    <row r="591" spans="1:22" ht="13.5">
      <c r="A591" s="102">
        <v>45628.542725543986</v>
      </c>
      <c r="B591" s="103" t="s">
        <v>105</v>
      </c>
      <c r="C591" s="104" t="str">
        <f t="shared" si="87"/>
        <v>×</v>
      </c>
      <c r="D591" s="104" t="str">
        <f t="shared" si="87"/>
        <v>×</v>
      </c>
      <c r="E591" s="104" t="str">
        <f t="shared" si="87"/>
        <v>○</v>
      </c>
      <c r="F591" s="104" t="str">
        <f t="shared" si="87"/>
        <v>×</v>
      </c>
      <c r="G591" s="103" t="s">
        <v>13</v>
      </c>
      <c r="H591" s="103" t="s">
        <v>27</v>
      </c>
      <c r="I591" s="103" t="s">
        <v>908</v>
      </c>
      <c r="J591" s="105"/>
      <c r="K591" s="103" t="s">
        <v>34</v>
      </c>
      <c r="L591" s="105"/>
      <c r="M591" s="110" t="str">
        <f t="shared" si="88"/>
        <v/>
      </c>
      <c r="N591" s="110" t="str">
        <f t="shared" si="88"/>
        <v/>
      </c>
      <c r="O591" s="110" t="str">
        <f t="shared" si="88"/>
        <v/>
      </c>
      <c r="P591" s="110" t="str">
        <f t="shared" si="88"/>
        <v/>
      </c>
      <c r="Q591" s="110" t="str">
        <f t="shared" si="88"/>
        <v/>
      </c>
      <c r="R591" s="105" t="str">
        <f t="shared" si="88"/>
        <v/>
      </c>
      <c r="S591" s="105"/>
      <c r="T591" s="103" t="s">
        <v>35</v>
      </c>
      <c r="U591" s="103" t="s">
        <v>56</v>
      </c>
      <c r="V591" s="105"/>
    </row>
    <row r="592" spans="1:22" ht="13.5">
      <c r="A592" s="102">
        <v>45628.566291608797</v>
      </c>
      <c r="B592" s="103" t="s">
        <v>49</v>
      </c>
      <c r="C592" s="104" t="str">
        <f t="shared" si="87"/>
        <v>×</v>
      </c>
      <c r="D592" s="104" t="str">
        <f t="shared" si="87"/>
        <v>○</v>
      </c>
      <c r="E592" s="104" t="str">
        <f t="shared" si="87"/>
        <v>×</v>
      </c>
      <c r="F592" s="104" t="str">
        <f t="shared" si="87"/>
        <v>×</v>
      </c>
      <c r="G592" s="103" t="s">
        <v>13</v>
      </c>
      <c r="H592" s="103" t="s">
        <v>47</v>
      </c>
      <c r="I592" s="103" t="s">
        <v>914</v>
      </c>
      <c r="J592" s="105"/>
      <c r="K592" s="103" t="s">
        <v>16</v>
      </c>
      <c r="L592" s="103" t="s">
        <v>915</v>
      </c>
      <c r="M592" s="108" t="str">
        <f t="shared" ref="M592:R601" si="89">IF(ISERROR(SEARCH(M$1,$L592)),"","○")</f>
        <v/>
      </c>
      <c r="N592" s="108" t="str">
        <f t="shared" si="89"/>
        <v/>
      </c>
      <c r="O592" s="108" t="str">
        <f t="shared" si="89"/>
        <v/>
      </c>
      <c r="P592" s="108" t="str">
        <f t="shared" si="89"/>
        <v>○</v>
      </c>
      <c r="Q592" s="108" t="str">
        <f t="shared" si="89"/>
        <v>○</v>
      </c>
      <c r="R592" s="103" t="str">
        <f t="shared" si="89"/>
        <v/>
      </c>
      <c r="S592" s="103" t="s">
        <v>916</v>
      </c>
      <c r="T592" s="103" t="s">
        <v>30</v>
      </c>
      <c r="U592" s="103" t="s">
        <v>56</v>
      </c>
      <c r="V592" s="105"/>
    </row>
    <row r="593" spans="1:22" ht="13.5">
      <c r="A593" s="102">
        <v>45628.621748263889</v>
      </c>
      <c r="B593" s="103" t="s">
        <v>49</v>
      </c>
      <c r="C593" s="104" t="str">
        <f t="shared" si="87"/>
        <v>×</v>
      </c>
      <c r="D593" s="104" t="str">
        <f t="shared" si="87"/>
        <v>○</v>
      </c>
      <c r="E593" s="104" t="str">
        <f t="shared" si="87"/>
        <v>×</v>
      </c>
      <c r="F593" s="104" t="str">
        <f t="shared" si="87"/>
        <v>×</v>
      </c>
      <c r="G593" s="103" t="s">
        <v>13</v>
      </c>
      <c r="H593" s="103" t="s">
        <v>32</v>
      </c>
      <c r="I593" s="103" t="s">
        <v>922</v>
      </c>
      <c r="J593" s="105"/>
      <c r="K593" s="103" t="s">
        <v>34</v>
      </c>
      <c r="L593" s="105"/>
      <c r="M593" s="110" t="str">
        <f t="shared" si="89"/>
        <v/>
      </c>
      <c r="N593" s="110" t="str">
        <f t="shared" si="89"/>
        <v/>
      </c>
      <c r="O593" s="110" t="str">
        <f t="shared" si="89"/>
        <v/>
      </c>
      <c r="P593" s="110" t="str">
        <f t="shared" si="89"/>
        <v/>
      </c>
      <c r="Q593" s="110" t="str">
        <f t="shared" si="89"/>
        <v/>
      </c>
      <c r="R593" s="105" t="str">
        <f t="shared" si="89"/>
        <v/>
      </c>
      <c r="S593" s="105"/>
      <c r="T593" s="103" t="s">
        <v>30</v>
      </c>
      <c r="U593" s="103" t="s">
        <v>56</v>
      </c>
      <c r="V593" s="103" t="s">
        <v>923</v>
      </c>
    </row>
    <row r="594" spans="1:22" ht="13.5">
      <c r="A594" s="102">
        <v>45628.646154965274</v>
      </c>
      <c r="B594" s="103" t="s">
        <v>147</v>
      </c>
      <c r="C594" s="104" t="str">
        <f t="shared" si="87"/>
        <v>×</v>
      </c>
      <c r="D594" s="104" t="str">
        <f t="shared" si="87"/>
        <v>○</v>
      </c>
      <c r="E594" s="104" t="str">
        <f t="shared" si="87"/>
        <v>○</v>
      </c>
      <c r="F594" s="104" t="str">
        <f t="shared" si="87"/>
        <v>×</v>
      </c>
      <c r="G594" s="103" t="s">
        <v>13</v>
      </c>
      <c r="H594" s="103" t="s">
        <v>32</v>
      </c>
      <c r="I594" s="103" t="s">
        <v>932</v>
      </c>
      <c r="J594" s="105"/>
      <c r="K594" s="103" t="s">
        <v>16</v>
      </c>
      <c r="L594" s="103" t="s">
        <v>933</v>
      </c>
      <c r="M594" s="108" t="str">
        <f t="shared" si="89"/>
        <v/>
      </c>
      <c r="N594" s="108" t="str">
        <f t="shared" si="89"/>
        <v/>
      </c>
      <c r="O594" s="108" t="str">
        <f t="shared" si="89"/>
        <v/>
      </c>
      <c r="P594" s="108" t="str">
        <f t="shared" si="89"/>
        <v/>
      </c>
      <c r="Q594" s="108" t="str">
        <f t="shared" si="89"/>
        <v/>
      </c>
      <c r="R594" s="103" t="str">
        <f t="shared" si="89"/>
        <v/>
      </c>
      <c r="S594" s="105"/>
      <c r="T594" s="103" t="s">
        <v>24</v>
      </c>
      <c r="U594" s="103" t="s">
        <v>56</v>
      </c>
      <c r="V594" s="103" t="s">
        <v>934</v>
      </c>
    </row>
    <row r="595" spans="1:22" ht="13.5">
      <c r="A595" s="102">
        <v>45628.65540369213</v>
      </c>
      <c r="B595" s="103" t="s">
        <v>939</v>
      </c>
      <c r="C595" s="104" t="str">
        <f t="shared" si="87"/>
        <v>×</v>
      </c>
      <c r="D595" s="104" t="str">
        <f t="shared" si="87"/>
        <v>○</v>
      </c>
      <c r="E595" s="104" t="str">
        <f t="shared" si="87"/>
        <v>○</v>
      </c>
      <c r="F595" s="104" t="str">
        <f t="shared" si="87"/>
        <v>○</v>
      </c>
      <c r="G595" s="103" t="s">
        <v>13</v>
      </c>
      <c r="H595" s="103" t="s">
        <v>32</v>
      </c>
      <c r="I595" s="103" t="s">
        <v>940</v>
      </c>
      <c r="J595" s="105"/>
      <c r="K595" s="103" t="s">
        <v>16</v>
      </c>
      <c r="L595" s="103" t="s">
        <v>137</v>
      </c>
      <c r="M595" s="108" t="str">
        <f t="shared" si="89"/>
        <v/>
      </c>
      <c r="N595" s="108" t="str">
        <f t="shared" si="89"/>
        <v/>
      </c>
      <c r="O595" s="108" t="str">
        <f t="shared" si="89"/>
        <v/>
      </c>
      <c r="P595" s="108" t="str">
        <f t="shared" si="89"/>
        <v/>
      </c>
      <c r="Q595" s="108" t="str">
        <f t="shared" si="89"/>
        <v/>
      </c>
      <c r="R595" s="103" t="str">
        <f t="shared" si="89"/>
        <v/>
      </c>
      <c r="S595" s="105"/>
      <c r="T595" s="103" t="s">
        <v>941</v>
      </c>
      <c r="U595" s="103" t="s">
        <v>56</v>
      </c>
      <c r="V595" s="103" t="s">
        <v>942</v>
      </c>
    </row>
    <row r="596" spans="1:22" ht="13.5">
      <c r="A596" s="102">
        <v>45628.672673310182</v>
      </c>
      <c r="B596" s="103" t="s">
        <v>312</v>
      </c>
      <c r="C596" s="104" t="str">
        <f t="shared" si="87"/>
        <v>×</v>
      </c>
      <c r="D596" s="104" t="str">
        <f t="shared" si="87"/>
        <v>○</v>
      </c>
      <c r="E596" s="104" t="str">
        <f t="shared" si="87"/>
        <v>×</v>
      </c>
      <c r="F596" s="104" t="str">
        <f t="shared" si="87"/>
        <v>×</v>
      </c>
      <c r="G596" s="103" t="s">
        <v>13</v>
      </c>
      <c r="H596" s="103" t="s">
        <v>14</v>
      </c>
      <c r="I596" s="103" t="s">
        <v>952</v>
      </c>
      <c r="J596" s="105"/>
      <c r="K596" s="103" t="s">
        <v>34</v>
      </c>
      <c r="L596" s="105"/>
      <c r="M596" s="110" t="str">
        <f t="shared" si="89"/>
        <v/>
      </c>
      <c r="N596" s="110" t="str">
        <f t="shared" si="89"/>
        <v/>
      </c>
      <c r="O596" s="110" t="str">
        <f t="shared" si="89"/>
        <v/>
      </c>
      <c r="P596" s="110" t="str">
        <f t="shared" si="89"/>
        <v/>
      </c>
      <c r="Q596" s="110" t="str">
        <f t="shared" si="89"/>
        <v/>
      </c>
      <c r="R596" s="105" t="str">
        <f t="shared" si="89"/>
        <v/>
      </c>
      <c r="S596" s="105"/>
      <c r="T596" s="103" t="s">
        <v>30</v>
      </c>
      <c r="U596" s="103" t="s">
        <v>56</v>
      </c>
      <c r="V596" s="103" t="s">
        <v>953</v>
      </c>
    </row>
    <row r="597" spans="1:22" ht="13.5">
      <c r="A597" s="102">
        <v>45628.731300856482</v>
      </c>
      <c r="B597" s="103" t="s">
        <v>181</v>
      </c>
      <c r="C597" s="104" t="str">
        <f t="shared" si="87"/>
        <v>×</v>
      </c>
      <c r="D597" s="104" t="str">
        <f t="shared" si="87"/>
        <v>○</v>
      </c>
      <c r="E597" s="104" t="str">
        <f t="shared" si="87"/>
        <v>×</v>
      </c>
      <c r="F597" s="104" t="str">
        <f t="shared" si="87"/>
        <v>×</v>
      </c>
      <c r="G597" s="103" t="s">
        <v>13</v>
      </c>
      <c r="H597" s="103" t="s">
        <v>77</v>
      </c>
      <c r="I597" s="103" t="s">
        <v>996</v>
      </c>
      <c r="J597" s="105"/>
      <c r="K597" s="103" t="s">
        <v>34</v>
      </c>
      <c r="L597" s="105"/>
      <c r="M597" s="110" t="str">
        <f t="shared" si="89"/>
        <v/>
      </c>
      <c r="N597" s="110" t="str">
        <f t="shared" si="89"/>
        <v/>
      </c>
      <c r="O597" s="110" t="str">
        <f t="shared" si="89"/>
        <v/>
      </c>
      <c r="P597" s="110" t="str">
        <f t="shared" si="89"/>
        <v/>
      </c>
      <c r="Q597" s="110" t="str">
        <f t="shared" si="89"/>
        <v/>
      </c>
      <c r="R597" s="105" t="str">
        <f t="shared" si="89"/>
        <v/>
      </c>
      <c r="S597" s="105"/>
      <c r="T597" s="103" t="s">
        <v>24</v>
      </c>
      <c r="U597" s="103" t="s">
        <v>56</v>
      </c>
      <c r="V597" s="103" t="s">
        <v>997</v>
      </c>
    </row>
    <row r="598" spans="1:22" ht="13.5">
      <c r="A598" s="102">
        <v>45628.74296369213</v>
      </c>
      <c r="B598" s="103" t="s">
        <v>41</v>
      </c>
      <c r="C598" s="104" t="str">
        <f t="shared" si="87"/>
        <v>×</v>
      </c>
      <c r="D598" s="104" t="str">
        <f t="shared" si="87"/>
        <v>○</v>
      </c>
      <c r="E598" s="104" t="str">
        <f t="shared" si="87"/>
        <v>×</v>
      </c>
      <c r="F598" s="104" t="str">
        <f t="shared" si="87"/>
        <v>×</v>
      </c>
      <c r="G598" s="103" t="s">
        <v>13</v>
      </c>
      <c r="H598" s="103" t="s">
        <v>14</v>
      </c>
      <c r="I598" s="103" t="s">
        <v>1007</v>
      </c>
      <c r="J598" s="105"/>
      <c r="K598" s="103" t="s">
        <v>16</v>
      </c>
      <c r="L598" s="103" t="s">
        <v>137</v>
      </c>
      <c r="M598" s="108" t="str">
        <f t="shared" si="89"/>
        <v/>
      </c>
      <c r="N598" s="108" t="str">
        <f t="shared" si="89"/>
        <v/>
      </c>
      <c r="O598" s="108" t="str">
        <f t="shared" si="89"/>
        <v/>
      </c>
      <c r="P598" s="108" t="str">
        <f t="shared" si="89"/>
        <v/>
      </c>
      <c r="Q598" s="108" t="str">
        <f t="shared" si="89"/>
        <v/>
      </c>
      <c r="R598" s="103" t="str">
        <f t="shared" si="89"/>
        <v/>
      </c>
      <c r="S598" s="105"/>
      <c r="T598" s="103" t="s">
        <v>61</v>
      </c>
      <c r="U598" s="103" t="s">
        <v>56</v>
      </c>
      <c r="V598" s="105"/>
    </row>
    <row r="599" spans="1:22" ht="13.5">
      <c r="A599" s="102">
        <v>45628.747756273151</v>
      </c>
      <c r="B599" s="103" t="s">
        <v>41</v>
      </c>
      <c r="C599" s="104" t="str">
        <f t="shared" si="87"/>
        <v>×</v>
      </c>
      <c r="D599" s="104" t="str">
        <f t="shared" si="87"/>
        <v>○</v>
      </c>
      <c r="E599" s="104" t="str">
        <f t="shared" si="87"/>
        <v>×</v>
      </c>
      <c r="F599" s="104" t="str">
        <f t="shared" si="87"/>
        <v>×</v>
      </c>
      <c r="G599" s="103" t="s">
        <v>13</v>
      </c>
      <c r="H599" s="103" t="s">
        <v>27</v>
      </c>
      <c r="I599" s="103" t="s">
        <v>1014</v>
      </c>
      <c r="J599" s="105"/>
      <c r="K599" s="103" t="s">
        <v>34</v>
      </c>
      <c r="L599" s="105"/>
      <c r="M599" s="110" t="str">
        <f t="shared" si="89"/>
        <v/>
      </c>
      <c r="N599" s="110" t="str">
        <f t="shared" si="89"/>
        <v/>
      </c>
      <c r="O599" s="110" t="str">
        <f t="shared" si="89"/>
        <v/>
      </c>
      <c r="P599" s="110" t="str">
        <f t="shared" si="89"/>
        <v/>
      </c>
      <c r="Q599" s="110" t="str">
        <f t="shared" si="89"/>
        <v/>
      </c>
      <c r="R599" s="105" t="str">
        <f t="shared" si="89"/>
        <v/>
      </c>
      <c r="S599" s="105"/>
      <c r="T599" s="103" t="s">
        <v>30</v>
      </c>
      <c r="U599" s="103" t="s">
        <v>56</v>
      </c>
      <c r="V599" s="103" t="s">
        <v>1015</v>
      </c>
    </row>
    <row r="600" spans="1:22" ht="13.5">
      <c r="A600" s="102">
        <v>45628.762108993054</v>
      </c>
      <c r="B600" s="103" t="s">
        <v>49</v>
      </c>
      <c r="C600" s="104" t="str">
        <f t="shared" si="87"/>
        <v>×</v>
      </c>
      <c r="D600" s="104" t="str">
        <f t="shared" si="87"/>
        <v>○</v>
      </c>
      <c r="E600" s="104" t="str">
        <f t="shared" si="87"/>
        <v>×</v>
      </c>
      <c r="F600" s="104" t="str">
        <f t="shared" si="87"/>
        <v>×</v>
      </c>
      <c r="G600" s="103" t="s">
        <v>20</v>
      </c>
      <c r="H600" s="105"/>
      <c r="I600" s="105"/>
      <c r="J600" s="103" t="s">
        <v>38</v>
      </c>
      <c r="K600" s="103" t="s">
        <v>16</v>
      </c>
      <c r="L600" s="103" t="s">
        <v>39</v>
      </c>
      <c r="M600" s="108" t="str">
        <f t="shared" si="89"/>
        <v/>
      </c>
      <c r="N600" s="108" t="str">
        <f t="shared" si="89"/>
        <v>○</v>
      </c>
      <c r="O600" s="108" t="str">
        <f t="shared" si="89"/>
        <v/>
      </c>
      <c r="P600" s="108" t="str">
        <f t="shared" si="89"/>
        <v/>
      </c>
      <c r="Q600" s="108" t="str">
        <f t="shared" si="89"/>
        <v/>
      </c>
      <c r="R600" s="103" t="str">
        <f t="shared" si="89"/>
        <v/>
      </c>
      <c r="S600" s="105"/>
      <c r="T600" s="103" t="s">
        <v>30</v>
      </c>
      <c r="U600" s="103" t="s">
        <v>56</v>
      </c>
      <c r="V600" s="105"/>
    </row>
    <row r="601" spans="1:22" ht="13.5">
      <c r="A601" s="102">
        <v>45628.766558206014</v>
      </c>
      <c r="B601" s="103" t="s">
        <v>213</v>
      </c>
      <c r="C601" s="104" t="str">
        <f t="shared" si="87"/>
        <v>×</v>
      </c>
      <c r="D601" s="104" t="str">
        <f t="shared" si="87"/>
        <v>○</v>
      </c>
      <c r="E601" s="104" t="str">
        <f t="shared" si="87"/>
        <v>○</v>
      </c>
      <c r="F601" s="104" t="str">
        <f t="shared" si="87"/>
        <v>×</v>
      </c>
      <c r="G601" s="103" t="s">
        <v>20</v>
      </c>
      <c r="H601" s="105"/>
      <c r="I601" s="105"/>
      <c r="J601" s="103" t="s">
        <v>21</v>
      </c>
      <c r="K601" s="103" t="s">
        <v>16</v>
      </c>
      <c r="L601" s="103" t="s">
        <v>39</v>
      </c>
      <c r="M601" s="108" t="str">
        <f t="shared" si="89"/>
        <v/>
      </c>
      <c r="N601" s="108" t="str">
        <f t="shared" si="89"/>
        <v>○</v>
      </c>
      <c r="O601" s="108" t="str">
        <f t="shared" si="89"/>
        <v/>
      </c>
      <c r="P601" s="108" t="str">
        <f t="shared" si="89"/>
        <v/>
      </c>
      <c r="Q601" s="108" t="str">
        <f t="shared" si="89"/>
        <v/>
      </c>
      <c r="R601" s="103" t="str">
        <f t="shared" si="89"/>
        <v/>
      </c>
      <c r="S601" s="105"/>
      <c r="T601" s="103" t="s">
        <v>30</v>
      </c>
      <c r="U601" s="103" t="s">
        <v>56</v>
      </c>
      <c r="V601" s="105"/>
    </row>
    <row r="602" spans="1:22" ht="13.5">
      <c r="A602" s="102">
        <v>45628.768457858794</v>
      </c>
      <c r="B602" s="103" t="s">
        <v>1041</v>
      </c>
      <c r="C602" s="104" t="str">
        <f t="shared" ref="C602:F621" si="90">IF(ISERROR(FIND(C$1,$B602)),"×","○")</f>
        <v>×</v>
      </c>
      <c r="D602" s="104" t="str">
        <f t="shared" si="90"/>
        <v>○</v>
      </c>
      <c r="E602" s="104" t="str">
        <f t="shared" si="90"/>
        <v>○</v>
      </c>
      <c r="F602" s="104" t="str">
        <f t="shared" si="90"/>
        <v>○</v>
      </c>
      <c r="G602" s="103" t="s">
        <v>20</v>
      </c>
      <c r="H602" s="105"/>
      <c r="I602" s="105"/>
      <c r="J602" s="103" t="s">
        <v>58</v>
      </c>
      <c r="K602" s="103" t="s">
        <v>16</v>
      </c>
      <c r="L602" s="103" t="s">
        <v>88</v>
      </c>
      <c r="M602" s="108" t="str">
        <f t="shared" ref="M602:R611" si="91">IF(ISERROR(SEARCH(M$1,$L602)),"","○")</f>
        <v/>
      </c>
      <c r="N602" s="108" t="str">
        <f t="shared" si="91"/>
        <v>○</v>
      </c>
      <c r="O602" s="108" t="str">
        <f t="shared" si="91"/>
        <v/>
      </c>
      <c r="P602" s="108" t="str">
        <f t="shared" si="91"/>
        <v/>
      </c>
      <c r="Q602" s="108" t="str">
        <f t="shared" si="91"/>
        <v>○</v>
      </c>
      <c r="R602" s="103" t="str">
        <f t="shared" si="91"/>
        <v/>
      </c>
      <c r="S602" s="103" t="s">
        <v>1042</v>
      </c>
      <c r="T602" s="103" t="s">
        <v>35</v>
      </c>
      <c r="U602" s="103" t="s">
        <v>56</v>
      </c>
      <c r="V602" s="103" t="s">
        <v>1043</v>
      </c>
    </row>
    <row r="603" spans="1:22" ht="13.5">
      <c r="A603" s="102">
        <v>45628.772006354164</v>
      </c>
      <c r="B603" s="103" t="s">
        <v>181</v>
      </c>
      <c r="C603" s="104" t="str">
        <f t="shared" si="90"/>
        <v>×</v>
      </c>
      <c r="D603" s="104" t="str">
        <f t="shared" si="90"/>
        <v>○</v>
      </c>
      <c r="E603" s="104" t="str">
        <f t="shared" si="90"/>
        <v>×</v>
      </c>
      <c r="F603" s="104" t="str">
        <f t="shared" si="90"/>
        <v>×</v>
      </c>
      <c r="G603" s="103" t="s">
        <v>13</v>
      </c>
      <c r="H603" s="103" t="s">
        <v>27</v>
      </c>
      <c r="I603" s="103" t="s">
        <v>1048</v>
      </c>
      <c r="J603" s="105"/>
      <c r="K603" s="103" t="s">
        <v>34</v>
      </c>
      <c r="L603" s="105"/>
      <c r="M603" s="110" t="str">
        <f t="shared" si="91"/>
        <v/>
      </c>
      <c r="N603" s="110" t="str">
        <f t="shared" si="91"/>
        <v/>
      </c>
      <c r="O603" s="110" t="str">
        <f t="shared" si="91"/>
        <v/>
      </c>
      <c r="P603" s="110" t="str">
        <f t="shared" si="91"/>
        <v/>
      </c>
      <c r="Q603" s="110" t="str">
        <f t="shared" si="91"/>
        <v/>
      </c>
      <c r="R603" s="105" t="str">
        <f t="shared" si="91"/>
        <v/>
      </c>
      <c r="S603" s="105"/>
      <c r="T603" s="103" t="s">
        <v>61</v>
      </c>
      <c r="U603" s="103" t="s">
        <v>56</v>
      </c>
      <c r="V603" s="105"/>
    </row>
    <row r="604" spans="1:22" ht="13.5">
      <c r="A604" s="102">
        <v>45628.777114421297</v>
      </c>
      <c r="B604" s="103" t="s">
        <v>164</v>
      </c>
      <c r="C604" s="104" t="str">
        <f t="shared" si="90"/>
        <v>×</v>
      </c>
      <c r="D604" s="104" t="str">
        <f t="shared" si="90"/>
        <v>○</v>
      </c>
      <c r="E604" s="104" t="str">
        <f t="shared" si="90"/>
        <v>×</v>
      </c>
      <c r="F604" s="104" t="str">
        <f t="shared" si="90"/>
        <v>×</v>
      </c>
      <c r="G604" s="103" t="s">
        <v>20</v>
      </c>
      <c r="H604" s="105"/>
      <c r="I604" s="105"/>
      <c r="J604" s="103" t="s">
        <v>38</v>
      </c>
      <c r="K604" s="103" t="s">
        <v>16</v>
      </c>
      <c r="L604" s="103" t="s">
        <v>1054</v>
      </c>
      <c r="M604" s="108" t="str">
        <f t="shared" si="91"/>
        <v/>
      </c>
      <c r="N604" s="108" t="str">
        <f t="shared" si="91"/>
        <v/>
      </c>
      <c r="O604" s="108" t="str">
        <f t="shared" si="91"/>
        <v/>
      </c>
      <c r="P604" s="108" t="str">
        <f t="shared" si="91"/>
        <v/>
      </c>
      <c r="Q604" s="108" t="str">
        <f t="shared" si="91"/>
        <v/>
      </c>
      <c r="R604" s="103" t="str">
        <f t="shared" si="91"/>
        <v/>
      </c>
      <c r="S604" s="105"/>
      <c r="T604" s="103" t="s">
        <v>35</v>
      </c>
      <c r="U604" s="103" t="s">
        <v>56</v>
      </c>
      <c r="V604" s="103" t="s">
        <v>1055</v>
      </c>
    </row>
    <row r="605" spans="1:22" ht="13.5">
      <c r="A605" s="102">
        <v>45628.779787384265</v>
      </c>
      <c r="B605" s="103" t="s">
        <v>164</v>
      </c>
      <c r="C605" s="104" t="str">
        <f t="shared" si="90"/>
        <v>×</v>
      </c>
      <c r="D605" s="104" t="str">
        <f t="shared" si="90"/>
        <v>○</v>
      </c>
      <c r="E605" s="104" t="str">
        <f t="shared" si="90"/>
        <v>×</v>
      </c>
      <c r="F605" s="104" t="str">
        <f t="shared" si="90"/>
        <v>×</v>
      </c>
      <c r="G605" s="103" t="s">
        <v>20</v>
      </c>
      <c r="H605" s="105"/>
      <c r="I605" s="105"/>
      <c r="J605" s="103" t="s">
        <v>21</v>
      </c>
      <c r="K605" s="103" t="s">
        <v>16</v>
      </c>
      <c r="L605" s="103" t="s">
        <v>68</v>
      </c>
      <c r="M605" s="108" t="str">
        <f t="shared" si="91"/>
        <v/>
      </c>
      <c r="N605" s="108" t="str">
        <f t="shared" si="91"/>
        <v/>
      </c>
      <c r="O605" s="108" t="str">
        <f t="shared" si="91"/>
        <v/>
      </c>
      <c r="P605" s="108" t="str">
        <f t="shared" si="91"/>
        <v/>
      </c>
      <c r="Q605" s="108" t="str">
        <f t="shared" si="91"/>
        <v>○</v>
      </c>
      <c r="R605" s="103" t="str">
        <f t="shared" si="91"/>
        <v/>
      </c>
      <c r="S605" s="103" t="s">
        <v>1059</v>
      </c>
      <c r="T605" s="103" t="s">
        <v>30</v>
      </c>
      <c r="U605" s="103" t="s">
        <v>56</v>
      </c>
      <c r="V605" s="105"/>
    </row>
    <row r="606" spans="1:22" ht="13.5">
      <c r="A606" s="102">
        <v>45628.788280520836</v>
      </c>
      <c r="B606" s="103" t="s">
        <v>1061</v>
      </c>
      <c r="C606" s="104" t="str">
        <f t="shared" si="90"/>
        <v>×</v>
      </c>
      <c r="D606" s="104" t="str">
        <f t="shared" si="90"/>
        <v>○</v>
      </c>
      <c r="E606" s="104" t="str">
        <f t="shared" si="90"/>
        <v>○</v>
      </c>
      <c r="F606" s="104" t="str">
        <f t="shared" si="90"/>
        <v>×</v>
      </c>
      <c r="G606" s="103" t="s">
        <v>20</v>
      </c>
      <c r="H606" s="105"/>
      <c r="I606" s="105"/>
      <c r="J606" s="103" t="s">
        <v>21</v>
      </c>
      <c r="K606" s="103" t="s">
        <v>16</v>
      </c>
      <c r="L606" s="103" t="s">
        <v>68</v>
      </c>
      <c r="M606" s="108" t="str">
        <f t="shared" si="91"/>
        <v/>
      </c>
      <c r="N606" s="108" t="str">
        <f t="shared" si="91"/>
        <v/>
      </c>
      <c r="O606" s="108" t="str">
        <f t="shared" si="91"/>
        <v/>
      </c>
      <c r="P606" s="108" t="str">
        <f t="shared" si="91"/>
        <v/>
      </c>
      <c r="Q606" s="108" t="str">
        <f t="shared" si="91"/>
        <v>○</v>
      </c>
      <c r="R606" s="103" t="str">
        <f t="shared" si="91"/>
        <v/>
      </c>
      <c r="S606" s="103" t="s">
        <v>1062</v>
      </c>
      <c r="T606" s="103" t="s">
        <v>30</v>
      </c>
      <c r="U606" s="103" t="s">
        <v>56</v>
      </c>
      <c r="V606" s="105"/>
    </row>
    <row r="607" spans="1:22" ht="13.5">
      <c r="A607" s="102">
        <v>45628.789215532408</v>
      </c>
      <c r="B607" s="103" t="s">
        <v>41</v>
      </c>
      <c r="C607" s="104" t="str">
        <f t="shared" si="90"/>
        <v>×</v>
      </c>
      <c r="D607" s="104" t="str">
        <f t="shared" si="90"/>
        <v>○</v>
      </c>
      <c r="E607" s="104" t="str">
        <f t="shared" si="90"/>
        <v>×</v>
      </c>
      <c r="F607" s="104" t="str">
        <f t="shared" si="90"/>
        <v>×</v>
      </c>
      <c r="G607" s="103" t="s">
        <v>13</v>
      </c>
      <c r="H607" s="103" t="s">
        <v>14</v>
      </c>
      <c r="I607" s="103" t="s">
        <v>1063</v>
      </c>
      <c r="J607" s="105"/>
      <c r="K607" s="103" t="s">
        <v>34</v>
      </c>
      <c r="L607" s="105"/>
      <c r="M607" s="110" t="str">
        <f t="shared" si="91"/>
        <v/>
      </c>
      <c r="N607" s="110" t="str">
        <f t="shared" si="91"/>
        <v/>
      </c>
      <c r="O607" s="110" t="str">
        <f t="shared" si="91"/>
        <v/>
      </c>
      <c r="P607" s="110" t="str">
        <f t="shared" si="91"/>
        <v/>
      </c>
      <c r="Q607" s="110" t="str">
        <f t="shared" si="91"/>
        <v/>
      </c>
      <c r="R607" s="105" t="str">
        <f t="shared" si="91"/>
        <v/>
      </c>
      <c r="S607" s="105"/>
      <c r="T607" s="103" t="s">
        <v>30</v>
      </c>
      <c r="U607" s="103" t="s">
        <v>56</v>
      </c>
      <c r="V607" s="105"/>
    </row>
    <row r="608" spans="1:22" ht="13.5">
      <c r="A608" s="102">
        <v>45628.791811053241</v>
      </c>
      <c r="B608" s="103" t="s">
        <v>261</v>
      </c>
      <c r="C608" s="104" t="str">
        <f t="shared" si="90"/>
        <v>×</v>
      </c>
      <c r="D608" s="104" t="str">
        <f t="shared" si="90"/>
        <v>○</v>
      </c>
      <c r="E608" s="104" t="str">
        <f t="shared" si="90"/>
        <v>×</v>
      </c>
      <c r="F608" s="104" t="str">
        <f t="shared" si="90"/>
        <v>×</v>
      </c>
      <c r="G608" s="103" t="s">
        <v>13</v>
      </c>
      <c r="H608" s="103" t="s">
        <v>77</v>
      </c>
      <c r="I608" s="103" t="s">
        <v>85</v>
      </c>
      <c r="J608" s="105"/>
      <c r="K608" s="103" t="s">
        <v>34</v>
      </c>
      <c r="L608" s="105"/>
      <c r="M608" s="110" t="str">
        <f t="shared" si="91"/>
        <v/>
      </c>
      <c r="N608" s="110" t="str">
        <f t="shared" si="91"/>
        <v/>
      </c>
      <c r="O608" s="110" t="str">
        <f t="shared" si="91"/>
        <v/>
      </c>
      <c r="P608" s="110" t="str">
        <f t="shared" si="91"/>
        <v/>
      </c>
      <c r="Q608" s="110" t="str">
        <f t="shared" si="91"/>
        <v/>
      </c>
      <c r="R608" s="105" t="str">
        <f t="shared" si="91"/>
        <v/>
      </c>
      <c r="S608" s="105"/>
      <c r="T608" s="103" t="s">
        <v>24</v>
      </c>
      <c r="U608" s="103" t="s">
        <v>56</v>
      </c>
      <c r="V608" s="103" t="s">
        <v>1065</v>
      </c>
    </row>
    <row r="609" spans="1:22" ht="13.5">
      <c r="A609" s="102">
        <v>45628.791856851851</v>
      </c>
      <c r="B609" s="103" t="s">
        <v>227</v>
      </c>
      <c r="C609" s="104" t="str">
        <f t="shared" si="90"/>
        <v>×</v>
      </c>
      <c r="D609" s="104" t="str">
        <f t="shared" si="90"/>
        <v>○</v>
      </c>
      <c r="E609" s="104" t="str">
        <f t="shared" si="90"/>
        <v>×</v>
      </c>
      <c r="F609" s="104" t="str">
        <f t="shared" si="90"/>
        <v>×</v>
      </c>
      <c r="G609" s="103" t="s">
        <v>20</v>
      </c>
      <c r="H609" s="105"/>
      <c r="I609" s="105"/>
      <c r="J609" s="103" t="s">
        <v>21</v>
      </c>
      <c r="K609" s="103" t="s">
        <v>16</v>
      </c>
      <c r="L609" s="103" t="s">
        <v>1066</v>
      </c>
      <c r="M609" s="108" t="str">
        <f t="shared" si="91"/>
        <v/>
      </c>
      <c r="N609" s="108" t="str">
        <f t="shared" si="91"/>
        <v/>
      </c>
      <c r="O609" s="108" t="str">
        <f t="shared" si="91"/>
        <v/>
      </c>
      <c r="P609" s="108" t="str">
        <f t="shared" si="91"/>
        <v/>
      </c>
      <c r="Q609" s="108" t="str">
        <f t="shared" si="91"/>
        <v/>
      </c>
      <c r="R609" s="103" t="str">
        <f t="shared" si="91"/>
        <v/>
      </c>
      <c r="S609" s="105"/>
      <c r="T609" s="103" t="s">
        <v>30</v>
      </c>
      <c r="U609" s="103" t="s">
        <v>56</v>
      </c>
      <c r="V609" s="105"/>
    </row>
    <row r="610" spans="1:22" ht="13.5">
      <c r="A610" s="102">
        <v>45628.797265347224</v>
      </c>
      <c r="B610" s="103" t="s">
        <v>41</v>
      </c>
      <c r="C610" s="104" t="str">
        <f t="shared" si="90"/>
        <v>×</v>
      </c>
      <c r="D610" s="104" t="str">
        <f t="shared" si="90"/>
        <v>○</v>
      </c>
      <c r="E610" s="104" t="str">
        <f t="shared" si="90"/>
        <v>×</v>
      </c>
      <c r="F610" s="104" t="str">
        <f t="shared" si="90"/>
        <v>×</v>
      </c>
      <c r="G610" s="103" t="s">
        <v>13</v>
      </c>
      <c r="H610" s="103" t="s">
        <v>77</v>
      </c>
      <c r="I610" s="103" t="s">
        <v>1067</v>
      </c>
      <c r="J610" s="105"/>
      <c r="K610" s="103" t="s">
        <v>34</v>
      </c>
      <c r="L610" s="105"/>
      <c r="M610" s="110" t="str">
        <f t="shared" si="91"/>
        <v/>
      </c>
      <c r="N610" s="110" t="str">
        <f t="shared" si="91"/>
        <v/>
      </c>
      <c r="O610" s="110" t="str">
        <f t="shared" si="91"/>
        <v/>
      </c>
      <c r="P610" s="110" t="str">
        <f t="shared" si="91"/>
        <v/>
      </c>
      <c r="Q610" s="110" t="str">
        <f t="shared" si="91"/>
        <v/>
      </c>
      <c r="R610" s="105" t="str">
        <f t="shared" si="91"/>
        <v/>
      </c>
      <c r="S610" s="105"/>
      <c r="T610" s="103" t="s">
        <v>30</v>
      </c>
      <c r="U610" s="103" t="s">
        <v>56</v>
      </c>
      <c r="V610" s="103" t="s">
        <v>1068</v>
      </c>
    </row>
    <row r="611" spans="1:22" ht="13.5">
      <c r="A611" s="102">
        <v>45628.798761400467</v>
      </c>
      <c r="B611" s="103" t="s">
        <v>786</v>
      </c>
      <c r="C611" s="104" t="str">
        <f t="shared" si="90"/>
        <v>×</v>
      </c>
      <c r="D611" s="104" t="str">
        <f t="shared" si="90"/>
        <v>×</v>
      </c>
      <c r="E611" s="104" t="str">
        <f t="shared" si="90"/>
        <v>○</v>
      </c>
      <c r="F611" s="104" t="str">
        <f t="shared" si="90"/>
        <v>○</v>
      </c>
      <c r="G611" s="103" t="s">
        <v>20</v>
      </c>
      <c r="H611" s="105"/>
      <c r="I611" s="105"/>
      <c r="J611" s="103" t="s">
        <v>21</v>
      </c>
      <c r="K611" s="103" t="s">
        <v>16</v>
      </c>
      <c r="L611" s="103" t="s">
        <v>39</v>
      </c>
      <c r="M611" s="108" t="str">
        <f t="shared" si="91"/>
        <v/>
      </c>
      <c r="N611" s="108" t="str">
        <f t="shared" si="91"/>
        <v>○</v>
      </c>
      <c r="O611" s="108" t="str">
        <f t="shared" si="91"/>
        <v/>
      </c>
      <c r="P611" s="108" t="str">
        <f t="shared" si="91"/>
        <v/>
      </c>
      <c r="Q611" s="108" t="str">
        <f t="shared" si="91"/>
        <v/>
      </c>
      <c r="R611" s="103" t="str">
        <f t="shared" si="91"/>
        <v/>
      </c>
      <c r="S611" s="105"/>
      <c r="T611" s="103" t="s">
        <v>30</v>
      </c>
      <c r="U611" s="103" t="s">
        <v>56</v>
      </c>
      <c r="V611" s="105"/>
    </row>
    <row r="612" spans="1:22" ht="13.5">
      <c r="A612" s="102">
        <v>45628.825936307869</v>
      </c>
      <c r="B612" s="103" t="s">
        <v>181</v>
      </c>
      <c r="C612" s="104" t="str">
        <f t="shared" si="90"/>
        <v>×</v>
      </c>
      <c r="D612" s="104" t="str">
        <f t="shared" si="90"/>
        <v>○</v>
      </c>
      <c r="E612" s="104" t="str">
        <f t="shared" si="90"/>
        <v>×</v>
      </c>
      <c r="F612" s="104" t="str">
        <f t="shared" si="90"/>
        <v>×</v>
      </c>
      <c r="G612" s="103" t="s">
        <v>20</v>
      </c>
      <c r="H612" s="105"/>
      <c r="I612" s="105"/>
      <c r="J612" s="103" t="s">
        <v>1106</v>
      </c>
      <c r="K612" s="103" t="s">
        <v>16</v>
      </c>
      <c r="L612" s="103" t="s">
        <v>1107</v>
      </c>
      <c r="M612" s="108" t="str">
        <f t="shared" ref="M612:R621" si="92">IF(ISERROR(SEARCH(M$1,$L612)),"","○")</f>
        <v/>
      </c>
      <c r="N612" s="108" t="str">
        <f t="shared" si="92"/>
        <v/>
      </c>
      <c r="O612" s="108" t="str">
        <f t="shared" si="92"/>
        <v/>
      </c>
      <c r="P612" s="108" t="str">
        <f t="shared" si="92"/>
        <v/>
      </c>
      <c r="Q612" s="108" t="str">
        <f t="shared" si="92"/>
        <v/>
      </c>
      <c r="R612" s="103" t="str">
        <f t="shared" si="92"/>
        <v/>
      </c>
      <c r="S612" s="105"/>
      <c r="T612" s="103" t="s">
        <v>24</v>
      </c>
      <c r="U612" s="103" t="s">
        <v>56</v>
      </c>
      <c r="V612" s="105"/>
    </row>
    <row r="613" spans="1:22" ht="13.5">
      <c r="A613" s="102">
        <v>45628.830530706022</v>
      </c>
      <c r="B613" s="103" t="s">
        <v>105</v>
      </c>
      <c r="C613" s="104" t="str">
        <f t="shared" si="90"/>
        <v>×</v>
      </c>
      <c r="D613" s="104" t="str">
        <f t="shared" si="90"/>
        <v>×</v>
      </c>
      <c r="E613" s="104" t="str">
        <f t="shared" si="90"/>
        <v>○</v>
      </c>
      <c r="F613" s="104" t="str">
        <f t="shared" si="90"/>
        <v>×</v>
      </c>
      <c r="G613" s="103" t="s">
        <v>13</v>
      </c>
      <c r="H613" s="103" t="s">
        <v>32</v>
      </c>
      <c r="I613" s="103" t="s">
        <v>1113</v>
      </c>
      <c r="J613" s="105"/>
      <c r="K613" s="103" t="s">
        <v>34</v>
      </c>
      <c r="L613" s="105"/>
      <c r="M613" s="110" t="str">
        <f t="shared" si="92"/>
        <v/>
      </c>
      <c r="N613" s="110" t="str">
        <f t="shared" si="92"/>
        <v/>
      </c>
      <c r="O613" s="110" t="str">
        <f t="shared" si="92"/>
        <v/>
      </c>
      <c r="P613" s="110" t="str">
        <f t="shared" si="92"/>
        <v/>
      </c>
      <c r="Q613" s="110" t="str">
        <f t="shared" si="92"/>
        <v/>
      </c>
      <c r="R613" s="105" t="str">
        <f t="shared" si="92"/>
        <v/>
      </c>
      <c r="S613" s="105"/>
      <c r="T613" s="103" t="s">
        <v>30</v>
      </c>
      <c r="U613" s="103" t="s">
        <v>56</v>
      </c>
      <c r="V613" s="105"/>
    </row>
    <row r="614" spans="1:22" ht="13.5">
      <c r="A614" s="102">
        <v>45628.831661087963</v>
      </c>
      <c r="B614" s="103" t="s">
        <v>217</v>
      </c>
      <c r="C614" s="104" t="str">
        <f t="shared" si="90"/>
        <v>○</v>
      </c>
      <c r="D614" s="104" t="str">
        <f t="shared" si="90"/>
        <v>○</v>
      </c>
      <c r="E614" s="104" t="str">
        <f t="shared" si="90"/>
        <v>×</v>
      </c>
      <c r="F614" s="104" t="str">
        <f t="shared" si="90"/>
        <v>×</v>
      </c>
      <c r="G614" s="103" t="s">
        <v>13</v>
      </c>
      <c r="H614" s="103" t="s">
        <v>77</v>
      </c>
      <c r="I614" s="103" t="s">
        <v>1116</v>
      </c>
      <c r="J614" s="105"/>
      <c r="K614" s="103" t="s">
        <v>16</v>
      </c>
      <c r="L614" s="103" t="s">
        <v>279</v>
      </c>
      <c r="M614" s="108" t="str">
        <f t="shared" si="92"/>
        <v/>
      </c>
      <c r="N614" s="108" t="str">
        <f t="shared" si="92"/>
        <v>○</v>
      </c>
      <c r="O614" s="108" t="str">
        <f t="shared" si="92"/>
        <v>○</v>
      </c>
      <c r="P614" s="108" t="str">
        <f t="shared" si="92"/>
        <v/>
      </c>
      <c r="Q614" s="108" t="str">
        <f t="shared" si="92"/>
        <v/>
      </c>
      <c r="R614" s="103" t="str">
        <f t="shared" si="92"/>
        <v/>
      </c>
      <c r="S614" s="105"/>
      <c r="T614" s="103" t="s">
        <v>30</v>
      </c>
      <c r="U614" s="103" t="s">
        <v>56</v>
      </c>
      <c r="V614" s="105"/>
    </row>
    <row r="615" spans="1:22" ht="13.5">
      <c r="A615" s="102">
        <v>45628.831685613426</v>
      </c>
      <c r="B615" s="103" t="s">
        <v>93</v>
      </c>
      <c r="C615" s="104" t="str">
        <f t="shared" si="90"/>
        <v>×</v>
      </c>
      <c r="D615" s="104" t="str">
        <f t="shared" si="90"/>
        <v>×</v>
      </c>
      <c r="E615" s="104" t="str">
        <f t="shared" si="90"/>
        <v>○</v>
      </c>
      <c r="F615" s="104" t="str">
        <f t="shared" si="90"/>
        <v>×</v>
      </c>
      <c r="G615" s="103" t="s">
        <v>20</v>
      </c>
      <c r="H615" s="105"/>
      <c r="I615" s="105"/>
      <c r="J615" s="103" t="s">
        <v>58</v>
      </c>
      <c r="K615" s="103" t="s">
        <v>16</v>
      </c>
      <c r="L615" s="103" t="s">
        <v>68</v>
      </c>
      <c r="M615" s="108" t="str">
        <f t="shared" si="92"/>
        <v/>
      </c>
      <c r="N615" s="108" t="str">
        <f t="shared" si="92"/>
        <v/>
      </c>
      <c r="O615" s="108" t="str">
        <f t="shared" si="92"/>
        <v/>
      </c>
      <c r="P615" s="108" t="str">
        <f t="shared" si="92"/>
        <v/>
      </c>
      <c r="Q615" s="108" t="str">
        <f t="shared" si="92"/>
        <v>○</v>
      </c>
      <c r="R615" s="103" t="str">
        <f t="shared" si="92"/>
        <v/>
      </c>
      <c r="S615" s="103" t="s">
        <v>1117</v>
      </c>
      <c r="T615" s="103" t="s">
        <v>30</v>
      </c>
      <c r="U615" s="103" t="s">
        <v>56</v>
      </c>
      <c r="V615" s="103" t="s">
        <v>1118</v>
      </c>
    </row>
    <row r="616" spans="1:22" ht="13.5">
      <c r="A616" s="102">
        <v>45628.834428298607</v>
      </c>
      <c r="B616" s="103" t="s">
        <v>312</v>
      </c>
      <c r="C616" s="104" t="str">
        <f t="shared" si="90"/>
        <v>×</v>
      </c>
      <c r="D616" s="104" t="str">
        <f t="shared" si="90"/>
        <v>○</v>
      </c>
      <c r="E616" s="104" t="str">
        <f t="shared" si="90"/>
        <v>×</v>
      </c>
      <c r="F616" s="104" t="str">
        <f t="shared" si="90"/>
        <v>×</v>
      </c>
      <c r="G616" s="103" t="s">
        <v>20</v>
      </c>
      <c r="H616" s="105"/>
      <c r="I616" s="105"/>
      <c r="J616" s="103" t="s">
        <v>38</v>
      </c>
      <c r="K616" s="103" t="s">
        <v>16</v>
      </c>
      <c r="L616" s="103" t="s">
        <v>88</v>
      </c>
      <c r="M616" s="108" t="str">
        <f t="shared" si="92"/>
        <v/>
      </c>
      <c r="N616" s="108" t="str">
        <f t="shared" si="92"/>
        <v>○</v>
      </c>
      <c r="O616" s="108" t="str">
        <f t="shared" si="92"/>
        <v/>
      </c>
      <c r="P616" s="108" t="str">
        <f t="shared" si="92"/>
        <v/>
      </c>
      <c r="Q616" s="108" t="str">
        <f t="shared" si="92"/>
        <v>○</v>
      </c>
      <c r="R616" s="103" t="str">
        <f t="shared" si="92"/>
        <v/>
      </c>
      <c r="S616" s="103" t="s">
        <v>1123</v>
      </c>
      <c r="T616" s="103" t="s">
        <v>30</v>
      </c>
      <c r="U616" s="103" t="s">
        <v>56</v>
      </c>
      <c r="V616" s="103" t="s">
        <v>1124</v>
      </c>
    </row>
    <row r="617" spans="1:22" ht="13.5">
      <c r="A617" s="102">
        <v>45628.837675034723</v>
      </c>
      <c r="B617" s="103" t="s">
        <v>41</v>
      </c>
      <c r="C617" s="104" t="str">
        <f t="shared" si="90"/>
        <v>×</v>
      </c>
      <c r="D617" s="104" t="str">
        <f t="shared" si="90"/>
        <v>○</v>
      </c>
      <c r="E617" s="104" t="str">
        <f t="shared" si="90"/>
        <v>×</v>
      </c>
      <c r="F617" s="104" t="str">
        <f t="shared" si="90"/>
        <v>×</v>
      </c>
      <c r="G617" s="103" t="s">
        <v>13</v>
      </c>
      <c r="H617" s="103" t="s">
        <v>77</v>
      </c>
      <c r="I617" s="103" t="s">
        <v>1132</v>
      </c>
      <c r="J617" s="105"/>
      <c r="K617" s="103" t="s">
        <v>16</v>
      </c>
      <c r="L617" s="103" t="s">
        <v>1133</v>
      </c>
      <c r="M617" s="108" t="str">
        <f t="shared" si="92"/>
        <v/>
      </c>
      <c r="N617" s="108" t="str">
        <f t="shared" si="92"/>
        <v/>
      </c>
      <c r="O617" s="108" t="str">
        <f t="shared" si="92"/>
        <v/>
      </c>
      <c r="P617" s="108" t="str">
        <f t="shared" si="92"/>
        <v/>
      </c>
      <c r="Q617" s="108" t="str">
        <f t="shared" si="92"/>
        <v/>
      </c>
      <c r="R617" s="103" t="str">
        <f t="shared" si="92"/>
        <v/>
      </c>
      <c r="S617" s="105"/>
      <c r="T617" s="103" t="s">
        <v>30</v>
      </c>
      <c r="U617" s="103" t="s">
        <v>56</v>
      </c>
      <c r="V617" s="105"/>
    </row>
    <row r="618" spans="1:22" ht="13.5">
      <c r="A618" s="102">
        <v>45628.843932326388</v>
      </c>
      <c r="B618" s="103" t="s">
        <v>105</v>
      </c>
      <c r="C618" s="104" t="str">
        <f t="shared" si="90"/>
        <v>×</v>
      </c>
      <c r="D618" s="104" t="str">
        <f t="shared" si="90"/>
        <v>×</v>
      </c>
      <c r="E618" s="104" t="str">
        <f t="shared" si="90"/>
        <v>○</v>
      </c>
      <c r="F618" s="104" t="str">
        <f t="shared" si="90"/>
        <v>×</v>
      </c>
      <c r="G618" s="103" t="s">
        <v>13</v>
      </c>
      <c r="H618" s="103" t="s">
        <v>32</v>
      </c>
      <c r="I618" s="103" t="s">
        <v>1145</v>
      </c>
      <c r="J618" s="105"/>
      <c r="K618" s="103" t="s">
        <v>34</v>
      </c>
      <c r="L618" s="105"/>
      <c r="M618" s="110" t="str">
        <f t="shared" si="92"/>
        <v/>
      </c>
      <c r="N618" s="110" t="str">
        <f t="shared" si="92"/>
        <v/>
      </c>
      <c r="O618" s="110" t="str">
        <f t="shared" si="92"/>
        <v/>
      </c>
      <c r="P618" s="110" t="str">
        <f t="shared" si="92"/>
        <v/>
      </c>
      <c r="Q618" s="110" t="str">
        <f t="shared" si="92"/>
        <v/>
      </c>
      <c r="R618" s="105" t="str">
        <f t="shared" si="92"/>
        <v/>
      </c>
      <c r="S618" s="105"/>
      <c r="T618" s="103" t="s">
        <v>35</v>
      </c>
      <c r="U618" s="103" t="s">
        <v>56</v>
      </c>
      <c r="V618" s="105"/>
    </row>
    <row r="619" spans="1:22" ht="13.5">
      <c r="A619" s="102">
        <v>45628.84479181713</v>
      </c>
      <c r="B619" s="103" t="s">
        <v>19</v>
      </c>
      <c r="C619" s="104" t="str">
        <f t="shared" si="90"/>
        <v>×</v>
      </c>
      <c r="D619" s="104" t="str">
        <f t="shared" si="90"/>
        <v>○</v>
      </c>
      <c r="E619" s="104" t="str">
        <f t="shared" si="90"/>
        <v>×</v>
      </c>
      <c r="F619" s="104" t="str">
        <f t="shared" si="90"/>
        <v>×</v>
      </c>
      <c r="G619" s="103" t="s">
        <v>20</v>
      </c>
      <c r="H619" s="105"/>
      <c r="I619" s="105"/>
      <c r="J619" s="103" t="s">
        <v>58</v>
      </c>
      <c r="K619" s="103" t="s">
        <v>16</v>
      </c>
      <c r="L619" s="103" t="s">
        <v>107</v>
      </c>
      <c r="M619" s="108" t="str">
        <f t="shared" si="92"/>
        <v/>
      </c>
      <c r="N619" s="108" t="str">
        <f t="shared" si="92"/>
        <v/>
      </c>
      <c r="O619" s="108" t="str">
        <f t="shared" si="92"/>
        <v>○</v>
      </c>
      <c r="P619" s="108" t="str">
        <f t="shared" si="92"/>
        <v/>
      </c>
      <c r="Q619" s="108" t="str">
        <f t="shared" si="92"/>
        <v/>
      </c>
      <c r="R619" s="103" t="str">
        <f t="shared" si="92"/>
        <v/>
      </c>
      <c r="S619" s="105"/>
      <c r="T619" s="103" t="s">
        <v>24</v>
      </c>
      <c r="U619" s="103" t="s">
        <v>56</v>
      </c>
      <c r="V619" s="105"/>
    </row>
    <row r="620" spans="1:22" ht="13.5">
      <c r="A620" s="102">
        <v>45628.853631458333</v>
      </c>
      <c r="B620" s="103" t="s">
        <v>217</v>
      </c>
      <c r="C620" s="104" t="str">
        <f t="shared" si="90"/>
        <v>○</v>
      </c>
      <c r="D620" s="104" t="str">
        <f t="shared" si="90"/>
        <v>○</v>
      </c>
      <c r="E620" s="104" t="str">
        <f t="shared" si="90"/>
        <v>×</v>
      </c>
      <c r="F620" s="104" t="str">
        <f t="shared" si="90"/>
        <v>×</v>
      </c>
      <c r="G620" s="103" t="s">
        <v>20</v>
      </c>
      <c r="H620" s="105"/>
      <c r="I620" s="105"/>
      <c r="J620" s="103" t="s">
        <v>21</v>
      </c>
      <c r="K620" s="103" t="s">
        <v>16</v>
      </c>
      <c r="L620" s="103" t="s">
        <v>1155</v>
      </c>
      <c r="M620" s="108" t="str">
        <f t="shared" si="92"/>
        <v/>
      </c>
      <c r="N620" s="108" t="str">
        <f t="shared" si="92"/>
        <v/>
      </c>
      <c r="O620" s="108" t="str">
        <f t="shared" si="92"/>
        <v/>
      </c>
      <c r="P620" s="108" t="str">
        <f t="shared" si="92"/>
        <v/>
      </c>
      <c r="Q620" s="108" t="str">
        <f t="shared" si="92"/>
        <v/>
      </c>
      <c r="R620" s="103" t="str">
        <f t="shared" si="92"/>
        <v/>
      </c>
      <c r="S620" s="105"/>
      <c r="T620" s="103" t="s">
        <v>61</v>
      </c>
      <c r="U620" s="103" t="s">
        <v>56</v>
      </c>
      <c r="V620" s="105"/>
    </row>
    <row r="621" spans="1:22" ht="13.5">
      <c r="A621" s="102">
        <v>45628.858032696764</v>
      </c>
      <c r="B621" s="103" t="s">
        <v>93</v>
      </c>
      <c r="C621" s="104" t="str">
        <f t="shared" si="90"/>
        <v>×</v>
      </c>
      <c r="D621" s="104" t="str">
        <f t="shared" si="90"/>
        <v>×</v>
      </c>
      <c r="E621" s="104" t="str">
        <f t="shared" si="90"/>
        <v>○</v>
      </c>
      <c r="F621" s="104" t="str">
        <f t="shared" si="90"/>
        <v>×</v>
      </c>
      <c r="G621" s="103" t="s">
        <v>20</v>
      </c>
      <c r="H621" s="105"/>
      <c r="I621" s="105"/>
      <c r="J621" s="103" t="s">
        <v>21</v>
      </c>
      <c r="K621" s="103" t="s">
        <v>16</v>
      </c>
      <c r="L621" s="103" t="s">
        <v>68</v>
      </c>
      <c r="M621" s="108" t="str">
        <f t="shared" si="92"/>
        <v/>
      </c>
      <c r="N621" s="108" t="str">
        <f t="shared" si="92"/>
        <v/>
      </c>
      <c r="O621" s="108" t="str">
        <f t="shared" si="92"/>
        <v/>
      </c>
      <c r="P621" s="108" t="str">
        <f t="shared" si="92"/>
        <v/>
      </c>
      <c r="Q621" s="108" t="str">
        <f t="shared" si="92"/>
        <v>○</v>
      </c>
      <c r="R621" s="103" t="str">
        <f t="shared" si="92"/>
        <v/>
      </c>
      <c r="S621" s="103" t="s">
        <v>1161</v>
      </c>
      <c r="T621" s="103" t="s">
        <v>30</v>
      </c>
      <c r="U621" s="103" t="s">
        <v>56</v>
      </c>
      <c r="V621" s="105"/>
    </row>
    <row r="622" spans="1:22" ht="13.5">
      <c r="A622" s="102">
        <v>45628.863328009262</v>
      </c>
      <c r="B622" s="103" t="s">
        <v>57</v>
      </c>
      <c r="C622" s="104" t="str">
        <f t="shared" ref="C622:F641" si="93">IF(ISERROR(FIND(C$1,$B622)),"×","○")</f>
        <v>×</v>
      </c>
      <c r="D622" s="104" t="str">
        <f t="shared" si="93"/>
        <v>○</v>
      </c>
      <c r="E622" s="104" t="str">
        <f t="shared" si="93"/>
        <v>×</v>
      </c>
      <c r="F622" s="104" t="str">
        <f t="shared" si="93"/>
        <v>×</v>
      </c>
      <c r="G622" s="103" t="s">
        <v>20</v>
      </c>
      <c r="H622" s="105"/>
      <c r="I622" s="105"/>
      <c r="J622" s="103" t="s">
        <v>58</v>
      </c>
      <c r="K622" s="103" t="s">
        <v>16</v>
      </c>
      <c r="L622" s="103" t="s">
        <v>39</v>
      </c>
      <c r="M622" s="108" t="str">
        <f t="shared" ref="M622:R631" si="94">IF(ISERROR(SEARCH(M$1,$L622)),"","○")</f>
        <v/>
      </c>
      <c r="N622" s="108" t="str">
        <f t="shared" si="94"/>
        <v>○</v>
      </c>
      <c r="O622" s="108" t="str">
        <f t="shared" si="94"/>
        <v/>
      </c>
      <c r="P622" s="108" t="str">
        <f t="shared" si="94"/>
        <v/>
      </c>
      <c r="Q622" s="108" t="str">
        <f t="shared" si="94"/>
        <v/>
      </c>
      <c r="R622" s="103" t="str">
        <f t="shared" si="94"/>
        <v/>
      </c>
      <c r="S622" s="105"/>
      <c r="T622" s="103" t="s">
        <v>30</v>
      </c>
      <c r="U622" s="103" t="s">
        <v>56</v>
      </c>
      <c r="V622" s="103" t="s">
        <v>1164</v>
      </c>
    </row>
    <row r="623" spans="1:22" ht="13.5">
      <c r="A623" s="102">
        <v>45628.864992407413</v>
      </c>
      <c r="B623" s="103" t="s">
        <v>12</v>
      </c>
      <c r="C623" s="104" t="str">
        <f t="shared" si="93"/>
        <v>○</v>
      </c>
      <c r="D623" s="104" t="str">
        <f t="shared" si="93"/>
        <v>○</v>
      </c>
      <c r="E623" s="104" t="str">
        <f t="shared" si="93"/>
        <v>×</v>
      </c>
      <c r="F623" s="104" t="str">
        <f t="shared" si="93"/>
        <v>×</v>
      </c>
      <c r="G623" s="103" t="s">
        <v>13</v>
      </c>
      <c r="H623" s="103" t="s">
        <v>32</v>
      </c>
      <c r="I623" s="103" t="s">
        <v>1165</v>
      </c>
      <c r="J623" s="105"/>
      <c r="K623" s="103" t="s">
        <v>16</v>
      </c>
      <c r="L623" s="103" t="s">
        <v>1166</v>
      </c>
      <c r="M623" s="108" t="str">
        <f t="shared" si="94"/>
        <v/>
      </c>
      <c r="N623" s="108" t="str">
        <f t="shared" si="94"/>
        <v/>
      </c>
      <c r="O623" s="108" t="str">
        <f t="shared" si="94"/>
        <v/>
      </c>
      <c r="P623" s="108" t="str">
        <f t="shared" si="94"/>
        <v/>
      </c>
      <c r="Q623" s="108" t="str">
        <f t="shared" si="94"/>
        <v/>
      </c>
      <c r="R623" s="103" t="str">
        <f t="shared" si="94"/>
        <v/>
      </c>
      <c r="S623" s="105"/>
      <c r="T623" s="103" t="s">
        <v>30</v>
      </c>
      <c r="U623" s="103" t="s">
        <v>56</v>
      </c>
      <c r="V623" s="105"/>
    </row>
    <row r="624" spans="1:22" ht="13.5">
      <c r="A624" s="102">
        <v>45628.872278344905</v>
      </c>
      <c r="B624" s="103" t="s">
        <v>1176</v>
      </c>
      <c r="C624" s="104" t="str">
        <f t="shared" si="93"/>
        <v>×</v>
      </c>
      <c r="D624" s="104" t="str">
        <f t="shared" si="93"/>
        <v>○</v>
      </c>
      <c r="E624" s="104" t="str">
        <f t="shared" si="93"/>
        <v>×</v>
      </c>
      <c r="F624" s="104" t="str">
        <f t="shared" si="93"/>
        <v>×</v>
      </c>
      <c r="G624" s="103" t="s">
        <v>20</v>
      </c>
      <c r="H624" s="105"/>
      <c r="I624" s="105"/>
      <c r="J624" s="103" t="s">
        <v>58</v>
      </c>
      <c r="K624" s="103" t="s">
        <v>16</v>
      </c>
      <c r="L624" s="103" t="s">
        <v>255</v>
      </c>
      <c r="M624" s="108" t="str">
        <f t="shared" si="94"/>
        <v/>
      </c>
      <c r="N624" s="108" t="str">
        <f t="shared" si="94"/>
        <v>○</v>
      </c>
      <c r="O624" s="108" t="str">
        <f t="shared" si="94"/>
        <v/>
      </c>
      <c r="P624" s="108" t="str">
        <f t="shared" si="94"/>
        <v>○</v>
      </c>
      <c r="Q624" s="108" t="str">
        <f t="shared" si="94"/>
        <v/>
      </c>
      <c r="R624" s="103" t="str">
        <f t="shared" si="94"/>
        <v/>
      </c>
      <c r="S624" s="105"/>
      <c r="T624" s="103" t="s">
        <v>30</v>
      </c>
      <c r="U624" s="103" t="s">
        <v>56</v>
      </c>
      <c r="V624" s="105"/>
    </row>
    <row r="625" spans="1:22" ht="13.5">
      <c r="A625" s="102">
        <v>45628.884892685186</v>
      </c>
      <c r="B625" s="103" t="s">
        <v>19</v>
      </c>
      <c r="C625" s="104" t="str">
        <f t="shared" si="93"/>
        <v>×</v>
      </c>
      <c r="D625" s="104" t="str">
        <f t="shared" si="93"/>
        <v>○</v>
      </c>
      <c r="E625" s="104" t="str">
        <f t="shared" si="93"/>
        <v>×</v>
      </c>
      <c r="F625" s="104" t="str">
        <f t="shared" si="93"/>
        <v>×</v>
      </c>
      <c r="G625" s="103" t="s">
        <v>20</v>
      </c>
      <c r="H625" s="105"/>
      <c r="I625" s="105"/>
      <c r="J625" s="103" t="s">
        <v>58</v>
      </c>
      <c r="K625" s="103" t="s">
        <v>16</v>
      </c>
      <c r="L625" s="103" t="s">
        <v>39</v>
      </c>
      <c r="M625" s="108" t="str">
        <f t="shared" si="94"/>
        <v/>
      </c>
      <c r="N625" s="108" t="str">
        <f t="shared" si="94"/>
        <v>○</v>
      </c>
      <c r="O625" s="108" t="str">
        <f t="shared" si="94"/>
        <v/>
      </c>
      <c r="P625" s="108" t="str">
        <f t="shared" si="94"/>
        <v/>
      </c>
      <c r="Q625" s="108" t="str">
        <f t="shared" si="94"/>
        <v/>
      </c>
      <c r="R625" s="103" t="str">
        <f t="shared" si="94"/>
        <v/>
      </c>
      <c r="S625" s="105"/>
      <c r="T625" s="103" t="s">
        <v>30</v>
      </c>
      <c r="U625" s="103" t="s">
        <v>56</v>
      </c>
      <c r="V625" s="105"/>
    </row>
    <row r="626" spans="1:22" ht="13.5">
      <c r="A626" s="102">
        <v>45628.885778055555</v>
      </c>
      <c r="B626" s="103" t="s">
        <v>164</v>
      </c>
      <c r="C626" s="104" t="str">
        <f t="shared" si="93"/>
        <v>×</v>
      </c>
      <c r="D626" s="104" t="str">
        <f t="shared" si="93"/>
        <v>○</v>
      </c>
      <c r="E626" s="104" t="str">
        <f t="shared" si="93"/>
        <v>×</v>
      </c>
      <c r="F626" s="104" t="str">
        <f t="shared" si="93"/>
        <v>×</v>
      </c>
      <c r="G626" s="103" t="s">
        <v>20</v>
      </c>
      <c r="H626" s="105"/>
      <c r="I626" s="105"/>
      <c r="J626" s="103" t="s">
        <v>21</v>
      </c>
      <c r="K626" s="103" t="s">
        <v>16</v>
      </c>
      <c r="L626" s="103" t="s">
        <v>39</v>
      </c>
      <c r="M626" s="108" t="str">
        <f t="shared" si="94"/>
        <v/>
      </c>
      <c r="N626" s="108" t="str">
        <f t="shared" si="94"/>
        <v>○</v>
      </c>
      <c r="O626" s="108" t="str">
        <f t="shared" si="94"/>
        <v/>
      </c>
      <c r="P626" s="108" t="str">
        <f t="shared" si="94"/>
        <v/>
      </c>
      <c r="Q626" s="108" t="str">
        <f t="shared" si="94"/>
        <v/>
      </c>
      <c r="R626" s="103" t="str">
        <f t="shared" si="94"/>
        <v/>
      </c>
      <c r="S626" s="105"/>
      <c r="T626" s="103" t="s">
        <v>30</v>
      </c>
      <c r="U626" s="103" t="s">
        <v>56</v>
      </c>
      <c r="V626" s="103" t="s">
        <v>1190</v>
      </c>
    </row>
    <row r="627" spans="1:22" ht="13.5">
      <c r="A627" s="102">
        <v>45628.88639443287</v>
      </c>
      <c r="B627" s="103" t="s">
        <v>1191</v>
      </c>
      <c r="C627" s="104" t="str">
        <f t="shared" si="93"/>
        <v>×</v>
      </c>
      <c r="D627" s="104" t="str">
        <f t="shared" si="93"/>
        <v>○</v>
      </c>
      <c r="E627" s="104" t="str">
        <f t="shared" si="93"/>
        <v>×</v>
      </c>
      <c r="F627" s="104" t="str">
        <f t="shared" si="93"/>
        <v>×</v>
      </c>
      <c r="G627" s="103" t="s">
        <v>20</v>
      </c>
      <c r="H627" s="105"/>
      <c r="I627" s="105"/>
      <c r="J627" s="103" t="s">
        <v>38</v>
      </c>
      <c r="K627" s="103" t="s">
        <v>16</v>
      </c>
      <c r="L627" s="103" t="s">
        <v>1192</v>
      </c>
      <c r="M627" s="108" t="str">
        <f t="shared" si="94"/>
        <v/>
      </c>
      <c r="N627" s="108" t="str">
        <f t="shared" si="94"/>
        <v/>
      </c>
      <c r="O627" s="108" t="str">
        <f t="shared" si="94"/>
        <v/>
      </c>
      <c r="P627" s="108" t="str">
        <f t="shared" si="94"/>
        <v/>
      </c>
      <c r="Q627" s="108" t="str">
        <f t="shared" si="94"/>
        <v/>
      </c>
      <c r="R627" s="103" t="str">
        <f t="shared" si="94"/>
        <v/>
      </c>
      <c r="S627" s="105"/>
      <c r="T627" s="103" t="s">
        <v>30</v>
      </c>
      <c r="U627" s="103" t="s">
        <v>56</v>
      </c>
      <c r="V627" s="105"/>
    </row>
    <row r="628" spans="1:22" ht="13.5">
      <c r="A628" s="102">
        <v>45628.886476053245</v>
      </c>
      <c r="B628" s="103" t="s">
        <v>41</v>
      </c>
      <c r="C628" s="104" t="str">
        <f t="shared" si="93"/>
        <v>×</v>
      </c>
      <c r="D628" s="104" t="str">
        <f t="shared" si="93"/>
        <v>○</v>
      </c>
      <c r="E628" s="104" t="str">
        <f t="shared" si="93"/>
        <v>×</v>
      </c>
      <c r="F628" s="104" t="str">
        <f t="shared" si="93"/>
        <v>×</v>
      </c>
      <c r="G628" s="103" t="s">
        <v>20</v>
      </c>
      <c r="H628" s="105"/>
      <c r="I628" s="105"/>
      <c r="J628" s="103" t="s">
        <v>38</v>
      </c>
      <c r="K628" s="103" t="s">
        <v>16</v>
      </c>
      <c r="L628" s="103" t="s">
        <v>88</v>
      </c>
      <c r="M628" s="108" t="str">
        <f t="shared" si="94"/>
        <v/>
      </c>
      <c r="N628" s="108" t="str">
        <f t="shared" si="94"/>
        <v>○</v>
      </c>
      <c r="O628" s="108" t="str">
        <f t="shared" si="94"/>
        <v/>
      </c>
      <c r="P628" s="108" t="str">
        <f t="shared" si="94"/>
        <v/>
      </c>
      <c r="Q628" s="108" t="str">
        <f t="shared" si="94"/>
        <v>○</v>
      </c>
      <c r="R628" s="103" t="str">
        <f t="shared" si="94"/>
        <v/>
      </c>
      <c r="S628" s="103" t="s">
        <v>1193</v>
      </c>
      <c r="T628" s="103" t="s">
        <v>30</v>
      </c>
      <c r="U628" s="103" t="s">
        <v>56</v>
      </c>
      <c r="V628" s="105"/>
    </row>
    <row r="629" spans="1:22" ht="13.5">
      <c r="A629" s="102">
        <v>45628.888427256941</v>
      </c>
      <c r="B629" s="103" t="s">
        <v>312</v>
      </c>
      <c r="C629" s="104" t="str">
        <f t="shared" si="93"/>
        <v>×</v>
      </c>
      <c r="D629" s="104" t="str">
        <f t="shared" si="93"/>
        <v>○</v>
      </c>
      <c r="E629" s="104" t="str">
        <f t="shared" si="93"/>
        <v>×</v>
      </c>
      <c r="F629" s="104" t="str">
        <f t="shared" si="93"/>
        <v>×</v>
      </c>
      <c r="G629" s="103" t="s">
        <v>20</v>
      </c>
      <c r="H629" s="105"/>
      <c r="I629" s="105"/>
      <c r="J629" s="103" t="s">
        <v>38</v>
      </c>
      <c r="K629" s="103" t="s">
        <v>16</v>
      </c>
      <c r="L629" s="103" t="s">
        <v>88</v>
      </c>
      <c r="M629" s="108" t="str">
        <f t="shared" si="94"/>
        <v/>
      </c>
      <c r="N629" s="108" t="str">
        <f t="shared" si="94"/>
        <v>○</v>
      </c>
      <c r="O629" s="108" t="str">
        <f t="shared" si="94"/>
        <v/>
      </c>
      <c r="P629" s="108" t="str">
        <f t="shared" si="94"/>
        <v/>
      </c>
      <c r="Q629" s="108" t="str">
        <f t="shared" si="94"/>
        <v>○</v>
      </c>
      <c r="R629" s="103" t="str">
        <f t="shared" si="94"/>
        <v/>
      </c>
      <c r="S629" s="103" t="s">
        <v>1194</v>
      </c>
      <c r="T629" s="103" t="s">
        <v>24</v>
      </c>
      <c r="U629" s="103" t="s">
        <v>56</v>
      </c>
      <c r="V629" s="105"/>
    </row>
    <row r="630" spans="1:22" ht="13.5">
      <c r="A630" s="102">
        <v>45628.889801331017</v>
      </c>
      <c r="B630" s="103" t="s">
        <v>1075</v>
      </c>
      <c r="C630" s="104" t="str">
        <f t="shared" si="93"/>
        <v>×</v>
      </c>
      <c r="D630" s="104" t="str">
        <f t="shared" si="93"/>
        <v>○</v>
      </c>
      <c r="E630" s="104" t="str">
        <f t="shared" si="93"/>
        <v>×</v>
      </c>
      <c r="F630" s="104" t="str">
        <f t="shared" si="93"/>
        <v>×</v>
      </c>
      <c r="G630" s="103" t="s">
        <v>20</v>
      </c>
      <c r="H630" s="105"/>
      <c r="I630" s="105"/>
      <c r="J630" s="103" t="s">
        <v>21</v>
      </c>
      <c r="K630" s="103" t="s">
        <v>16</v>
      </c>
      <c r="L630" s="103" t="s">
        <v>39</v>
      </c>
      <c r="M630" s="108" t="str">
        <f t="shared" si="94"/>
        <v/>
      </c>
      <c r="N630" s="108" t="str">
        <f t="shared" si="94"/>
        <v>○</v>
      </c>
      <c r="O630" s="108" t="str">
        <f t="shared" si="94"/>
        <v/>
      </c>
      <c r="P630" s="108" t="str">
        <f t="shared" si="94"/>
        <v/>
      </c>
      <c r="Q630" s="108" t="str">
        <f t="shared" si="94"/>
        <v/>
      </c>
      <c r="R630" s="103" t="str">
        <f t="shared" si="94"/>
        <v/>
      </c>
      <c r="S630" s="105"/>
      <c r="T630" s="103" t="s">
        <v>30</v>
      </c>
      <c r="U630" s="103" t="s">
        <v>56</v>
      </c>
      <c r="V630" s="103" t="s">
        <v>1195</v>
      </c>
    </row>
    <row r="631" spans="1:22" ht="13.5">
      <c r="A631" s="102">
        <v>45628.890350659727</v>
      </c>
      <c r="B631" s="103" t="s">
        <v>461</v>
      </c>
      <c r="C631" s="104" t="str">
        <f t="shared" si="93"/>
        <v>×</v>
      </c>
      <c r="D631" s="104" t="str">
        <f t="shared" si="93"/>
        <v>○</v>
      </c>
      <c r="E631" s="104" t="str">
        <f t="shared" si="93"/>
        <v>○</v>
      </c>
      <c r="F631" s="104" t="str">
        <f t="shared" si="93"/>
        <v>×</v>
      </c>
      <c r="G631" s="103" t="s">
        <v>13</v>
      </c>
      <c r="H631" s="103" t="s">
        <v>27</v>
      </c>
      <c r="I631" s="103" t="s">
        <v>1197</v>
      </c>
      <c r="J631" s="105"/>
      <c r="K631" s="103" t="s">
        <v>34</v>
      </c>
      <c r="L631" s="105"/>
      <c r="M631" s="110" t="str">
        <f t="shared" si="94"/>
        <v/>
      </c>
      <c r="N631" s="110" t="str">
        <f t="shared" si="94"/>
        <v/>
      </c>
      <c r="O631" s="110" t="str">
        <f t="shared" si="94"/>
        <v/>
      </c>
      <c r="P631" s="110" t="str">
        <f t="shared" si="94"/>
        <v/>
      </c>
      <c r="Q631" s="110" t="str">
        <f t="shared" si="94"/>
        <v/>
      </c>
      <c r="R631" s="105" t="str">
        <f t="shared" si="94"/>
        <v/>
      </c>
      <c r="S631" s="105"/>
      <c r="T631" s="103" t="s">
        <v>30</v>
      </c>
      <c r="U631" s="103" t="s">
        <v>56</v>
      </c>
      <c r="V631" s="105"/>
    </row>
    <row r="632" spans="1:22" ht="13.5">
      <c r="A632" s="102">
        <v>45628.892641412036</v>
      </c>
      <c r="B632" s="103" t="s">
        <v>1075</v>
      </c>
      <c r="C632" s="104" t="str">
        <f t="shared" si="93"/>
        <v>×</v>
      </c>
      <c r="D632" s="104" t="str">
        <f t="shared" si="93"/>
        <v>○</v>
      </c>
      <c r="E632" s="104" t="str">
        <f t="shared" si="93"/>
        <v>×</v>
      </c>
      <c r="F632" s="104" t="str">
        <f t="shared" si="93"/>
        <v>×</v>
      </c>
      <c r="G632" s="103" t="s">
        <v>13</v>
      </c>
      <c r="H632" s="103" t="s">
        <v>32</v>
      </c>
      <c r="I632" s="103" t="s">
        <v>1201</v>
      </c>
      <c r="J632" s="105"/>
      <c r="K632" s="103" t="s">
        <v>16</v>
      </c>
      <c r="L632" s="103" t="s">
        <v>39</v>
      </c>
      <c r="M632" s="108" t="str">
        <f t="shared" ref="M632:R641" si="95">IF(ISERROR(SEARCH(M$1,$L632)),"","○")</f>
        <v/>
      </c>
      <c r="N632" s="108" t="str">
        <f t="shared" si="95"/>
        <v>○</v>
      </c>
      <c r="O632" s="108" t="str">
        <f t="shared" si="95"/>
        <v/>
      </c>
      <c r="P632" s="108" t="str">
        <f t="shared" si="95"/>
        <v/>
      </c>
      <c r="Q632" s="108" t="str">
        <f t="shared" si="95"/>
        <v/>
      </c>
      <c r="R632" s="103" t="str">
        <f t="shared" si="95"/>
        <v/>
      </c>
      <c r="S632" s="105"/>
      <c r="T632" s="103" t="s">
        <v>30</v>
      </c>
      <c r="U632" s="103" t="s">
        <v>56</v>
      </c>
      <c r="V632" s="105"/>
    </row>
    <row r="633" spans="1:22" ht="13.5">
      <c r="A633" s="102">
        <v>45628.89713326389</v>
      </c>
      <c r="B633" s="103" t="s">
        <v>49</v>
      </c>
      <c r="C633" s="104" t="str">
        <f t="shared" si="93"/>
        <v>×</v>
      </c>
      <c r="D633" s="104" t="str">
        <f t="shared" si="93"/>
        <v>○</v>
      </c>
      <c r="E633" s="104" t="str">
        <f t="shared" si="93"/>
        <v>×</v>
      </c>
      <c r="F633" s="104" t="str">
        <f t="shared" si="93"/>
        <v>×</v>
      </c>
      <c r="G633" s="103" t="s">
        <v>20</v>
      </c>
      <c r="H633" s="105"/>
      <c r="I633" s="105"/>
      <c r="J633" s="103" t="s">
        <v>38</v>
      </c>
      <c r="K633" s="103" t="s">
        <v>16</v>
      </c>
      <c r="L633" s="103" t="s">
        <v>68</v>
      </c>
      <c r="M633" s="108" t="str">
        <f t="shared" si="95"/>
        <v/>
      </c>
      <c r="N633" s="108" t="str">
        <f t="shared" si="95"/>
        <v/>
      </c>
      <c r="O633" s="108" t="str">
        <f t="shared" si="95"/>
        <v/>
      </c>
      <c r="P633" s="108" t="str">
        <f t="shared" si="95"/>
        <v/>
      </c>
      <c r="Q633" s="108" t="str">
        <f t="shared" si="95"/>
        <v>○</v>
      </c>
      <c r="R633" s="103" t="str">
        <f t="shared" si="95"/>
        <v/>
      </c>
      <c r="S633" s="103" t="s">
        <v>1211</v>
      </c>
      <c r="T633" s="103" t="s">
        <v>30</v>
      </c>
      <c r="U633" s="103" t="s">
        <v>56</v>
      </c>
      <c r="V633" s="103" t="s">
        <v>1212</v>
      </c>
    </row>
    <row r="634" spans="1:22" ht="13.5">
      <c r="A634" s="102">
        <v>45628.901698900459</v>
      </c>
      <c r="B634" s="103" t="s">
        <v>181</v>
      </c>
      <c r="C634" s="104" t="str">
        <f t="shared" si="93"/>
        <v>×</v>
      </c>
      <c r="D634" s="104" t="str">
        <f t="shared" si="93"/>
        <v>○</v>
      </c>
      <c r="E634" s="104" t="str">
        <f t="shared" si="93"/>
        <v>×</v>
      </c>
      <c r="F634" s="104" t="str">
        <f t="shared" si="93"/>
        <v>×</v>
      </c>
      <c r="G634" s="103" t="s">
        <v>13</v>
      </c>
      <c r="H634" s="103" t="s">
        <v>27</v>
      </c>
      <c r="I634" s="103" t="s">
        <v>1220</v>
      </c>
      <c r="J634" s="105"/>
      <c r="K634" s="103" t="s">
        <v>34</v>
      </c>
      <c r="L634" s="105"/>
      <c r="M634" s="110" t="str">
        <f t="shared" si="95"/>
        <v/>
      </c>
      <c r="N634" s="110" t="str">
        <f t="shared" si="95"/>
        <v/>
      </c>
      <c r="O634" s="110" t="str">
        <f t="shared" si="95"/>
        <v/>
      </c>
      <c r="P634" s="110" t="str">
        <f t="shared" si="95"/>
        <v/>
      </c>
      <c r="Q634" s="110" t="str">
        <f t="shared" si="95"/>
        <v/>
      </c>
      <c r="R634" s="105" t="str">
        <f t="shared" si="95"/>
        <v/>
      </c>
      <c r="S634" s="105"/>
      <c r="T634" s="103" t="s">
        <v>30</v>
      </c>
      <c r="U634" s="103" t="s">
        <v>56</v>
      </c>
      <c r="V634" s="105"/>
    </row>
    <row r="635" spans="1:22" ht="13.5">
      <c r="A635" s="102">
        <v>45628.901918506948</v>
      </c>
      <c r="B635" s="103" t="s">
        <v>164</v>
      </c>
      <c r="C635" s="104" t="str">
        <f t="shared" si="93"/>
        <v>×</v>
      </c>
      <c r="D635" s="104" t="str">
        <f t="shared" si="93"/>
        <v>○</v>
      </c>
      <c r="E635" s="104" t="str">
        <f t="shared" si="93"/>
        <v>×</v>
      </c>
      <c r="F635" s="104" t="str">
        <f t="shared" si="93"/>
        <v>×</v>
      </c>
      <c r="G635" s="103" t="s">
        <v>20</v>
      </c>
      <c r="H635" s="105"/>
      <c r="I635" s="105"/>
      <c r="J635" s="103" t="s">
        <v>38</v>
      </c>
      <c r="K635" s="103" t="s">
        <v>16</v>
      </c>
      <c r="L635" s="103" t="s">
        <v>39</v>
      </c>
      <c r="M635" s="108" t="str">
        <f t="shared" si="95"/>
        <v/>
      </c>
      <c r="N635" s="108" t="str">
        <f t="shared" si="95"/>
        <v>○</v>
      </c>
      <c r="O635" s="108" t="str">
        <f t="shared" si="95"/>
        <v/>
      </c>
      <c r="P635" s="108" t="str">
        <f t="shared" si="95"/>
        <v/>
      </c>
      <c r="Q635" s="108" t="str">
        <f t="shared" si="95"/>
        <v/>
      </c>
      <c r="R635" s="103" t="str">
        <f t="shared" si="95"/>
        <v/>
      </c>
      <c r="S635" s="105"/>
      <c r="T635" s="103" t="s">
        <v>30</v>
      </c>
      <c r="U635" s="103" t="s">
        <v>56</v>
      </c>
      <c r="V635" s="105"/>
    </row>
    <row r="636" spans="1:22" ht="13.5">
      <c r="A636" s="102">
        <v>45628.90444622685</v>
      </c>
      <c r="B636" s="103" t="s">
        <v>49</v>
      </c>
      <c r="C636" s="104" t="str">
        <f t="shared" si="93"/>
        <v>×</v>
      </c>
      <c r="D636" s="104" t="str">
        <f t="shared" si="93"/>
        <v>○</v>
      </c>
      <c r="E636" s="104" t="str">
        <f t="shared" si="93"/>
        <v>×</v>
      </c>
      <c r="F636" s="104" t="str">
        <f t="shared" si="93"/>
        <v>×</v>
      </c>
      <c r="G636" s="103" t="s">
        <v>20</v>
      </c>
      <c r="H636" s="105"/>
      <c r="I636" s="105"/>
      <c r="J636" s="103" t="s">
        <v>21</v>
      </c>
      <c r="K636" s="103" t="s">
        <v>16</v>
      </c>
      <c r="L636" s="103" t="s">
        <v>39</v>
      </c>
      <c r="M636" s="108" t="str">
        <f t="shared" si="95"/>
        <v/>
      </c>
      <c r="N636" s="108" t="str">
        <f t="shared" si="95"/>
        <v>○</v>
      </c>
      <c r="O636" s="108" t="str">
        <f t="shared" si="95"/>
        <v/>
      </c>
      <c r="P636" s="108" t="str">
        <f t="shared" si="95"/>
        <v/>
      </c>
      <c r="Q636" s="108" t="str">
        <f t="shared" si="95"/>
        <v/>
      </c>
      <c r="R636" s="103" t="str">
        <f t="shared" si="95"/>
        <v/>
      </c>
      <c r="S636" s="105"/>
      <c r="T636" s="103" t="s">
        <v>35</v>
      </c>
      <c r="U636" s="103" t="s">
        <v>56</v>
      </c>
      <c r="V636" s="103" t="s">
        <v>1232</v>
      </c>
    </row>
    <row r="637" spans="1:22" ht="13.5">
      <c r="A637" s="102">
        <v>45628.905072372683</v>
      </c>
      <c r="B637" s="103" t="s">
        <v>209</v>
      </c>
      <c r="C637" s="104" t="str">
        <f t="shared" si="93"/>
        <v>○</v>
      </c>
      <c r="D637" s="104" t="str">
        <f t="shared" si="93"/>
        <v>○</v>
      </c>
      <c r="E637" s="104" t="str">
        <f t="shared" si="93"/>
        <v>×</v>
      </c>
      <c r="F637" s="104" t="str">
        <f t="shared" si="93"/>
        <v>×</v>
      </c>
      <c r="G637" s="103" t="s">
        <v>20</v>
      </c>
      <c r="H637" s="105"/>
      <c r="I637" s="105"/>
      <c r="J637" s="103" t="s">
        <v>58</v>
      </c>
      <c r="K637" s="103" t="s">
        <v>16</v>
      </c>
      <c r="L637" s="103" t="s">
        <v>386</v>
      </c>
      <c r="M637" s="108" t="str">
        <f t="shared" si="95"/>
        <v>○</v>
      </c>
      <c r="N637" s="108" t="str">
        <f t="shared" si="95"/>
        <v/>
      </c>
      <c r="O637" s="108" t="str">
        <f t="shared" si="95"/>
        <v/>
      </c>
      <c r="P637" s="108" t="str">
        <f t="shared" si="95"/>
        <v/>
      </c>
      <c r="Q637" s="108" t="str">
        <f t="shared" si="95"/>
        <v/>
      </c>
      <c r="R637" s="103" t="str">
        <f t="shared" si="95"/>
        <v/>
      </c>
      <c r="S637" s="105"/>
      <c r="T637" s="103" t="s">
        <v>35</v>
      </c>
      <c r="U637" s="103" t="s">
        <v>56</v>
      </c>
      <c r="V637" s="105"/>
    </row>
    <row r="638" spans="1:22" ht="13.5">
      <c r="A638" s="102">
        <v>45628.909594074074</v>
      </c>
      <c r="B638" s="103" t="s">
        <v>199</v>
      </c>
      <c r="C638" s="104" t="str">
        <f t="shared" si="93"/>
        <v>×</v>
      </c>
      <c r="D638" s="104" t="str">
        <f t="shared" si="93"/>
        <v>○</v>
      </c>
      <c r="E638" s="104" t="str">
        <f t="shared" si="93"/>
        <v>×</v>
      </c>
      <c r="F638" s="104" t="str">
        <f t="shared" si="93"/>
        <v>×</v>
      </c>
      <c r="G638" s="103" t="s">
        <v>13</v>
      </c>
      <c r="H638" s="103" t="s">
        <v>27</v>
      </c>
      <c r="I638" s="103" t="s">
        <v>1242</v>
      </c>
      <c r="J638" s="105"/>
      <c r="K638" s="103" t="s">
        <v>34</v>
      </c>
      <c r="L638" s="105"/>
      <c r="M638" s="110" t="str">
        <f t="shared" si="95"/>
        <v/>
      </c>
      <c r="N638" s="110" t="str">
        <f t="shared" si="95"/>
        <v/>
      </c>
      <c r="O638" s="110" t="str">
        <f t="shared" si="95"/>
        <v/>
      </c>
      <c r="P638" s="110" t="str">
        <f t="shared" si="95"/>
        <v/>
      </c>
      <c r="Q638" s="110" t="str">
        <f t="shared" si="95"/>
        <v/>
      </c>
      <c r="R638" s="105" t="str">
        <f t="shared" si="95"/>
        <v/>
      </c>
      <c r="S638" s="105"/>
      <c r="T638" s="103" t="s">
        <v>30</v>
      </c>
      <c r="U638" s="103" t="s">
        <v>56</v>
      </c>
      <c r="V638" s="105"/>
    </row>
    <row r="639" spans="1:22" ht="13.5">
      <c r="A639" s="102">
        <v>45628.924837349536</v>
      </c>
      <c r="B639" s="103" t="s">
        <v>1041</v>
      </c>
      <c r="C639" s="104" t="str">
        <f t="shared" si="93"/>
        <v>×</v>
      </c>
      <c r="D639" s="104" t="str">
        <f t="shared" si="93"/>
        <v>○</v>
      </c>
      <c r="E639" s="104" t="str">
        <f t="shared" si="93"/>
        <v>○</v>
      </c>
      <c r="F639" s="104" t="str">
        <f t="shared" si="93"/>
        <v>○</v>
      </c>
      <c r="G639" s="103" t="s">
        <v>20</v>
      </c>
      <c r="H639" s="105"/>
      <c r="I639" s="105"/>
      <c r="J639" s="103" t="s">
        <v>186</v>
      </c>
      <c r="K639" s="103" t="s">
        <v>16</v>
      </c>
      <c r="L639" s="103" t="s">
        <v>279</v>
      </c>
      <c r="M639" s="108" t="str">
        <f t="shared" si="95"/>
        <v/>
      </c>
      <c r="N639" s="108" t="str">
        <f t="shared" si="95"/>
        <v>○</v>
      </c>
      <c r="O639" s="108" t="str">
        <f t="shared" si="95"/>
        <v>○</v>
      </c>
      <c r="P639" s="108" t="str">
        <f t="shared" si="95"/>
        <v/>
      </c>
      <c r="Q639" s="108" t="str">
        <f t="shared" si="95"/>
        <v/>
      </c>
      <c r="R639" s="103" t="str">
        <f t="shared" si="95"/>
        <v/>
      </c>
      <c r="S639" s="105"/>
      <c r="T639" s="103" t="s">
        <v>30</v>
      </c>
      <c r="U639" s="103" t="s">
        <v>56</v>
      </c>
      <c r="V639" s="105"/>
    </row>
    <row r="640" spans="1:22" ht="13.5">
      <c r="A640" s="102">
        <v>45628.935547696761</v>
      </c>
      <c r="B640" s="103" t="s">
        <v>64</v>
      </c>
      <c r="C640" s="104" t="str">
        <f t="shared" si="93"/>
        <v>○</v>
      </c>
      <c r="D640" s="104" t="str">
        <f t="shared" si="93"/>
        <v>○</v>
      </c>
      <c r="E640" s="104" t="str">
        <f t="shared" si="93"/>
        <v>×</v>
      </c>
      <c r="F640" s="104" t="str">
        <f t="shared" si="93"/>
        <v>×</v>
      </c>
      <c r="G640" s="103" t="s">
        <v>13</v>
      </c>
      <c r="H640" s="103" t="s">
        <v>27</v>
      </c>
      <c r="I640" s="103" t="s">
        <v>1268</v>
      </c>
      <c r="J640" s="105"/>
      <c r="K640" s="103" t="s">
        <v>16</v>
      </c>
      <c r="L640" s="103" t="s">
        <v>1269</v>
      </c>
      <c r="M640" s="108" t="str">
        <f t="shared" si="95"/>
        <v/>
      </c>
      <c r="N640" s="108" t="str">
        <f t="shared" si="95"/>
        <v/>
      </c>
      <c r="O640" s="108" t="str">
        <f t="shared" si="95"/>
        <v/>
      </c>
      <c r="P640" s="108" t="str">
        <f t="shared" si="95"/>
        <v/>
      </c>
      <c r="Q640" s="108" t="str">
        <f t="shared" si="95"/>
        <v/>
      </c>
      <c r="R640" s="103" t="str">
        <f t="shared" si="95"/>
        <v/>
      </c>
      <c r="S640" s="105"/>
      <c r="T640" s="103" t="s">
        <v>30</v>
      </c>
      <c r="U640" s="103" t="s">
        <v>56</v>
      </c>
      <c r="V640" s="105"/>
    </row>
    <row r="641" spans="1:22" ht="13.5">
      <c r="A641" s="102">
        <v>45628.94474737269</v>
      </c>
      <c r="B641" s="103" t="s">
        <v>181</v>
      </c>
      <c r="C641" s="104" t="str">
        <f t="shared" si="93"/>
        <v>×</v>
      </c>
      <c r="D641" s="104" t="str">
        <f t="shared" si="93"/>
        <v>○</v>
      </c>
      <c r="E641" s="104" t="str">
        <f t="shared" si="93"/>
        <v>×</v>
      </c>
      <c r="F641" s="104" t="str">
        <f t="shared" si="93"/>
        <v>×</v>
      </c>
      <c r="G641" s="103" t="s">
        <v>13</v>
      </c>
      <c r="H641" s="103" t="s">
        <v>77</v>
      </c>
      <c r="I641" s="103" t="s">
        <v>1273</v>
      </c>
      <c r="J641" s="105"/>
      <c r="K641" s="103" t="s">
        <v>34</v>
      </c>
      <c r="L641" s="105"/>
      <c r="M641" s="110" t="str">
        <f t="shared" si="95"/>
        <v/>
      </c>
      <c r="N641" s="110" t="str">
        <f t="shared" si="95"/>
        <v/>
      </c>
      <c r="O641" s="110" t="str">
        <f t="shared" si="95"/>
        <v/>
      </c>
      <c r="P641" s="110" t="str">
        <f t="shared" si="95"/>
        <v/>
      </c>
      <c r="Q641" s="110" t="str">
        <f t="shared" si="95"/>
        <v/>
      </c>
      <c r="R641" s="105" t="str">
        <f t="shared" si="95"/>
        <v/>
      </c>
      <c r="S641" s="105"/>
      <c r="T641" s="103" t="s">
        <v>30</v>
      </c>
      <c r="U641" s="103" t="s">
        <v>56</v>
      </c>
      <c r="V641" s="105"/>
    </row>
    <row r="642" spans="1:22" ht="13.5">
      <c r="A642" s="102">
        <v>45628.944935601852</v>
      </c>
      <c r="B642" s="103" t="s">
        <v>46</v>
      </c>
      <c r="C642" s="104" t="str">
        <f t="shared" ref="C642:F661" si="96">IF(ISERROR(FIND(C$1,$B642)),"×","○")</f>
        <v>×</v>
      </c>
      <c r="D642" s="104" t="str">
        <f t="shared" si="96"/>
        <v>×</v>
      </c>
      <c r="E642" s="104" t="str">
        <f t="shared" si="96"/>
        <v>○</v>
      </c>
      <c r="F642" s="104" t="str">
        <f t="shared" si="96"/>
        <v>○</v>
      </c>
      <c r="G642" s="103" t="s">
        <v>13</v>
      </c>
      <c r="H642" s="103" t="s">
        <v>32</v>
      </c>
      <c r="I642" s="103" t="s">
        <v>1274</v>
      </c>
      <c r="J642" s="105"/>
      <c r="K642" s="103" t="s">
        <v>34</v>
      </c>
      <c r="L642" s="105"/>
      <c r="M642" s="110" t="str">
        <f t="shared" ref="M642:R651" si="97">IF(ISERROR(SEARCH(M$1,$L642)),"","○")</f>
        <v/>
      </c>
      <c r="N642" s="110" t="str">
        <f t="shared" si="97"/>
        <v/>
      </c>
      <c r="O642" s="110" t="str">
        <f t="shared" si="97"/>
        <v/>
      </c>
      <c r="P642" s="110" t="str">
        <f t="shared" si="97"/>
        <v/>
      </c>
      <c r="Q642" s="110" t="str">
        <f t="shared" si="97"/>
        <v/>
      </c>
      <c r="R642" s="105" t="str">
        <f t="shared" si="97"/>
        <v/>
      </c>
      <c r="S642" s="105"/>
      <c r="T642" s="103" t="s">
        <v>30</v>
      </c>
      <c r="U642" s="103" t="s">
        <v>56</v>
      </c>
      <c r="V642" s="103" t="s">
        <v>1275</v>
      </c>
    </row>
    <row r="643" spans="1:22" ht="13.5">
      <c r="A643" s="102">
        <v>45628.954621932869</v>
      </c>
      <c r="B643" s="103" t="s">
        <v>199</v>
      </c>
      <c r="C643" s="104" t="str">
        <f t="shared" si="96"/>
        <v>×</v>
      </c>
      <c r="D643" s="104" t="str">
        <f t="shared" si="96"/>
        <v>○</v>
      </c>
      <c r="E643" s="104" t="str">
        <f t="shared" si="96"/>
        <v>×</v>
      </c>
      <c r="F643" s="104" t="str">
        <f t="shared" si="96"/>
        <v>×</v>
      </c>
      <c r="G643" s="103" t="s">
        <v>20</v>
      </c>
      <c r="H643" s="105"/>
      <c r="I643" s="105"/>
      <c r="J643" s="103" t="s">
        <v>21</v>
      </c>
      <c r="K643" s="103" t="s">
        <v>16</v>
      </c>
      <c r="L643" s="103" t="s">
        <v>1278</v>
      </c>
      <c r="M643" s="108" t="str">
        <f t="shared" si="97"/>
        <v/>
      </c>
      <c r="N643" s="108" t="str">
        <f t="shared" si="97"/>
        <v>○</v>
      </c>
      <c r="O643" s="108" t="str">
        <f t="shared" si="97"/>
        <v/>
      </c>
      <c r="P643" s="108" t="str">
        <f t="shared" si="97"/>
        <v/>
      </c>
      <c r="Q643" s="108" t="str">
        <f t="shared" si="97"/>
        <v/>
      </c>
      <c r="R643" s="103" t="str">
        <f t="shared" si="97"/>
        <v/>
      </c>
      <c r="S643" s="103" t="s">
        <v>1279</v>
      </c>
      <c r="T643" s="103" t="s">
        <v>30</v>
      </c>
      <c r="U643" s="103" t="s">
        <v>56</v>
      </c>
      <c r="V643" s="103" t="s">
        <v>1280</v>
      </c>
    </row>
    <row r="644" spans="1:22" ht="13.5">
      <c r="A644" s="102">
        <v>45628.965476145837</v>
      </c>
      <c r="B644" s="103" t="s">
        <v>19</v>
      </c>
      <c r="C644" s="104" t="str">
        <f t="shared" si="96"/>
        <v>×</v>
      </c>
      <c r="D644" s="104" t="str">
        <f t="shared" si="96"/>
        <v>○</v>
      </c>
      <c r="E644" s="104" t="str">
        <f t="shared" si="96"/>
        <v>×</v>
      </c>
      <c r="F644" s="104" t="str">
        <f t="shared" si="96"/>
        <v>×</v>
      </c>
      <c r="G644" s="103" t="s">
        <v>20</v>
      </c>
      <c r="H644" s="105"/>
      <c r="I644" s="105"/>
      <c r="J644" s="103" t="s">
        <v>21</v>
      </c>
      <c r="K644" s="103" t="s">
        <v>16</v>
      </c>
      <c r="L644" s="103" t="s">
        <v>68</v>
      </c>
      <c r="M644" s="108" t="str">
        <f t="shared" si="97"/>
        <v/>
      </c>
      <c r="N644" s="108" t="str">
        <f t="shared" si="97"/>
        <v/>
      </c>
      <c r="O644" s="108" t="str">
        <f t="shared" si="97"/>
        <v/>
      </c>
      <c r="P644" s="108" t="str">
        <f t="shared" si="97"/>
        <v/>
      </c>
      <c r="Q644" s="108" t="str">
        <f t="shared" si="97"/>
        <v>○</v>
      </c>
      <c r="R644" s="103" t="str">
        <f t="shared" si="97"/>
        <v/>
      </c>
      <c r="S644" s="103" t="s">
        <v>1283</v>
      </c>
      <c r="T644" s="103" t="s">
        <v>24</v>
      </c>
      <c r="U644" s="103" t="s">
        <v>56</v>
      </c>
      <c r="V644" s="103" t="s">
        <v>1284</v>
      </c>
    </row>
    <row r="645" spans="1:22" ht="13.5">
      <c r="A645" s="102">
        <v>45628.970202280092</v>
      </c>
      <c r="B645" s="103" t="s">
        <v>64</v>
      </c>
      <c r="C645" s="104" t="str">
        <f t="shared" si="96"/>
        <v>○</v>
      </c>
      <c r="D645" s="104" t="str">
        <f t="shared" si="96"/>
        <v>○</v>
      </c>
      <c r="E645" s="104" t="str">
        <f t="shared" si="96"/>
        <v>×</v>
      </c>
      <c r="F645" s="104" t="str">
        <f t="shared" si="96"/>
        <v>×</v>
      </c>
      <c r="G645" s="103" t="s">
        <v>20</v>
      </c>
      <c r="H645" s="105"/>
      <c r="I645" s="105"/>
      <c r="J645" s="103" t="s">
        <v>38</v>
      </c>
      <c r="K645" s="103" t="s">
        <v>16</v>
      </c>
      <c r="L645" s="103" t="s">
        <v>39</v>
      </c>
      <c r="M645" s="108" t="str">
        <f t="shared" si="97"/>
        <v/>
      </c>
      <c r="N645" s="108" t="str">
        <f t="shared" si="97"/>
        <v>○</v>
      </c>
      <c r="O645" s="108" t="str">
        <f t="shared" si="97"/>
        <v/>
      </c>
      <c r="P645" s="108" t="str">
        <f t="shared" si="97"/>
        <v/>
      </c>
      <c r="Q645" s="108" t="str">
        <f t="shared" si="97"/>
        <v/>
      </c>
      <c r="R645" s="103" t="str">
        <f t="shared" si="97"/>
        <v/>
      </c>
      <c r="S645" s="105"/>
      <c r="T645" s="103" t="s">
        <v>30</v>
      </c>
      <c r="U645" s="103" t="s">
        <v>56</v>
      </c>
      <c r="V645" s="105"/>
    </row>
    <row r="646" spans="1:22" ht="13.5">
      <c r="A646" s="102">
        <v>45629.027274664353</v>
      </c>
      <c r="B646" s="103" t="s">
        <v>19</v>
      </c>
      <c r="C646" s="104" t="str">
        <f t="shared" si="96"/>
        <v>×</v>
      </c>
      <c r="D646" s="104" t="str">
        <f t="shared" si="96"/>
        <v>○</v>
      </c>
      <c r="E646" s="104" t="str">
        <f t="shared" si="96"/>
        <v>×</v>
      </c>
      <c r="F646" s="104" t="str">
        <f t="shared" si="96"/>
        <v>×</v>
      </c>
      <c r="G646" s="103" t="s">
        <v>13</v>
      </c>
      <c r="H646" s="103" t="s">
        <v>32</v>
      </c>
      <c r="I646" s="103" t="s">
        <v>98</v>
      </c>
      <c r="J646" s="105"/>
      <c r="K646" s="103" t="s">
        <v>34</v>
      </c>
      <c r="L646" s="105"/>
      <c r="M646" s="110" t="str">
        <f t="shared" si="97"/>
        <v/>
      </c>
      <c r="N646" s="110" t="str">
        <f t="shared" si="97"/>
        <v/>
      </c>
      <c r="O646" s="110" t="str">
        <f t="shared" si="97"/>
        <v/>
      </c>
      <c r="P646" s="110" t="str">
        <f t="shared" si="97"/>
        <v/>
      </c>
      <c r="Q646" s="110" t="str">
        <f t="shared" si="97"/>
        <v/>
      </c>
      <c r="R646" s="105" t="str">
        <f t="shared" si="97"/>
        <v/>
      </c>
      <c r="S646" s="105"/>
      <c r="T646" s="103" t="s">
        <v>30</v>
      </c>
      <c r="U646" s="103" t="s">
        <v>56</v>
      </c>
      <c r="V646" s="105"/>
    </row>
    <row r="647" spans="1:22" ht="13.5">
      <c r="A647" s="102">
        <v>45629.036834629631</v>
      </c>
      <c r="B647" s="103" t="s">
        <v>199</v>
      </c>
      <c r="C647" s="104" t="str">
        <f t="shared" si="96"/>
        <v>×</v>
      </c>
      <c r="D647" s="104" t="str">
        <f t="shared" si="96"/>
        <v>○</v>
      </c>
      <c r="E647" s="104" t="str">
        <f t="shared" si="96"/>
        <v>×</v>
      </c>
      <c r="F647" s="104" t="str">
        <f t="shared" si="96"/>
        <v>×</v>
      </c>
      <c r="G647" s="103" t="s">
        <v>13</v>
      </c>
      <c r="H647" s="103" t="s">
        <v>27</v>
      </c>
      <c r="I647" s="103" t="s">
        <v>1301</v>
      </c>
      <c r="J647" s="105"/>
      <c r="K647" s="103" t="s">
        <v>34</v>
      </c>
      <c r="L647" s="105"/>
      <c r="M647" s="110" t="str">
        <f t="shared" si="97"/>
        <v/>
      </c>
      <c r="N647" s="110" t="str">
        <f t="shared" si="97"/>
        <v/>
      </c>
      <c r="O647" s="110" t="str">
        <f t="shared" si="97"/>
        <v/>
      </c>
      <c r="P647" s="110" t="str">
        <f t="shared" si="97"/>
        <v/>
      </c>
      <c r="Q647" s="110" t="str">
        <f t="shared" si="97"/>
        <v/>
      </c>
      <c r="R647" s="105" t="str">
        <f t="shared" si="97"/>
        <v/>
      </c>
      <c r="S647" s="105"/>
      <c r="T647" s="103" t="s">
        <v>30</v>
      </c>
      <c r="U647" s="103" t="s">
        <v>56</v>
      </c>
      <c r="V647" s="103" t="s">
        <v>1302</v>
      </c>
    </row>
    <row r="648" spans="1:22" ht="13.5">
      <c r="A648" s="102">
        <v>45629.040611041666</v>
      </c>
      <c r="B648" s="103" t="s">
        <v>140</v>
      </c>
      <c r="C648" s="104" t="str">
        <f t="shared" si="96"/>
        <v>×</v>
      </c>
      <c r="D648" s="104" t="str">
        <f t="shared" si="96"/>
        <v>○</v>
      </c>
      <c r="E648" s="104" t="str">
        <f t="shared" si="96"/>
        <v>○</v>
      </c>
      <c r="F648" s="104" t="str">
        <f t="shared" si="96"/>
        <v>×</v>
      </c>
      <c r="G648" s="103" t="s">
        <v>20</v>
      </c>
      <c r="H648" s="105"/>
      <c r="I648" s="105"/>
      <c r="J648" s="103" t="s">
        <v>1303</v>
      </c>
      <c r="K648" s="103" t="s">
        <v>16</v>
      </c>
      <c r="L648" s="103" t="s">
        <v>39</v>
      </c>
      <c r="M648" s="108" t="str">
        <f t="shared" si="97"/>
        <v/>
      </c>
      <c r="N648" s="108" t="str">
        <f t="shared" si="97"/>
        <v>○</v>
      </c>
      <c r="O648" s="108" t="str">
        <f t="shared" si="97"/>
        <v/>
      </c>
      <c r="P648" s="108" t="str">
        <f t="shared" si="97"/>
        <v/>
      </c>
      <c r="Q648" s="108" t="str">
        <f t="shared" si="97"/>
        <v/>
      </c>
      <c r="R648" s="103" t="str">
        <f t="shared" si="97"/>
        <v/>
      </c>
      <c r="S648" s="105"/>
      <c r="T648" s="103" t="s">
        <v>1304</v>
      </c>
      <c r="U648" s="103" t="s">
        <v>56</v>
      </c>
      <c r="V648" s="103" t="s">
        <v>1305</v>
      </c>
    </row>
    <row r="649" spans="1:22" ht="13.5">
      <c r="A649" s="102">
        <v>45629.20340150463</v>
      </c>
      <c r="B649" s="103" t="s">
        <v>67</v>
      </c>
      <c r="C649" s="104" t="str">
        <f t="shared" si="96"/>
        <v>×</v>
      </c>
      <c r="D649" s="104" t="str">
        <f t="shared" si="96"/>
        <v>○</v>
      </c>
      <c r="E649" s="104" t="str">
        <f t="shared" si="96"/>
        <v>×</v>
      </c>
      <c r="F649" s="104" t="str">
        <f t="shared" si="96"/>
        <v>×</v>
      </c>
      <c r="G649" s="103" t="s">
        <v>13</v>
      </c>
      <c r="H649" s="103" t="s">
        <v>27</v>
      </c>
      <c r="I649" s="103" t="s">
        <v>1309</v>
      </c>
      <c r="J649" s="105"/>
      <c r="K649" s="103" t="s">
        <v>34</v>
      </c>
      <c r="L649" s="105"/>
      <c r="M649" s="110" t="str">
        <f t="shared" si="97"/>
        <v/>
      </c>
      <c r="N649" s="110" t="str">
        <f t="shared" si="97"/>
        <v/>
      </c>
      <c r="O649" s="110" t="str">
        <f t="shared" si="97"/>
        <v/>
      </c>
      <c r="P649" s="110" t="str">
        <f t="shared" si="97"/>
        <v/>
      </c>
      <c r="Q649" s="110" t="str">
        <f t="shared" si="97"/>
        <v/>
      </c>
      <c r="R649" s="105" t="str">
        <f t="shared" si="97"/>
        <v/>
      </c>
      <c r="S649" s="105"/>
      <c r="T649" s="103" t="s">
        <v>30</v>
      </c>
      <c r="U649" s="103" t="s">
        <v>56</v>
      </c>
      <c r="V649" s="103" t="s">
        <v>1310</v>
      </c>
    </row>
    <row r="650" spans="1:22" ht="13.5">
      <c r="A650" s="102">
        <v>45629.280713541666</v>
      </c>
      <c r="B650" s="103" t="s">
        <v>49</v>
      </c>
      <c r="C650" s="104" t="str">
        <f t="shared" si="96"/>
        <v>×</v>
      </c>
      <c r="D650" s="104" t="str">
        <f t="shared" si="96"/>
        <v>○</v>
      </c>
      <c r="E650" s="104" t="str">
        <f t="shared" si="96"/>
        <v>×</v>
      </c>
      <c r="F650" s="104" t="str">
        <f t="shared" si="96"/>
        <v>×</v>
      </c>
      <c r="G650" s="103" t="s">
        <v>13</v>
      </c>
      <c r="H650" s="103" t="s">
        <v>32</v>
      </c>
      <c r="I650" s="103" t="s">
        <v>1320</v>
      </c>
      <c r="J650" s="105"/>
      <c r="K650" s="103" t="s">
        <v>16</v>
      </c>
      <c r="L650" s="103" t="s">
        <v>386</v>
      </c>
      <c r="M650" s="108" t="str">
        <f t="shared" si="97"/>
        <v>○</v>
      </c>
      <c r="N650" s="108" t="str">
        <f t="shared" si="97"/>
        <v/>
      </c>
      <c r="O650" s="108" t="str">
        <f t="shared" si="97"/>
        <v/>
      </c>
      <c r="P650" s="108" t="str">
        <f t="shared" si="97"/>
        <v/>
      </c>
      <c r="Q650" s="108" t="str">
        <f t="shared" si="97"/>
        <v/>
      </c>
      <c r="R650" s="103" t="str">
        <f t="shared" si="97"/>
        <v/>
      </c>
      <c r="S650" s="105"/>
      <c r="T650" s="103" t="s">
        <v>35</v>
      </c>
      <c r="U650" s="103" t="s">
        <v>56</v>
      </c>
      <c r="V650" s="105"/>
    </row>
    <row r="651" spans="1:22" ht="13.5">
      <c r="A651" s="102">
        <v>45629.285458796294</v>
      </c>
      <c r="B651" s="103" t="s">
        <v>1281</v>
      </c>
      <c r="C651" s="104" t="str">
        <f t="shared" si="96"/>
        <v>×</v>
      </c>
      <c r="D651" s="104" t="str">
        <f t="shared" si="96"/>
        <v>○</v>
      </c>
      <c r="E651" s="104" t="str">
        <f t="shared" si="96"/>
        <v>○</v>
      </c>
      <c r="F651" s="104" t="str">
        <f t="shared" si="96"/>
        <v>○</v>
      </c>
      <c r="G651" s="103" t="s">
        <v>13</v>
      </c>
      <c r="H651" s="103" t="s">
        <v>47</v>
      </c>
      <c r="I651" s="103" t="s">
        <v>1323</v>
      </c>
      <c r="J651" s="105"/>
      <c r="K651" s="103" t="s">
        <v>34</v>
      </c>
      <c r="L651" s="105"/>
      <c r="M651" s="110" t="str">
        <f t="shared" si="97"/>
        <v/>
      </c>
      <c r="N651" s="110" t="str">
        <f t="shared" si="97"/>
        <v/>
      </c>
      <c r="O651" s="110" t="str">
        <f t="shared" si="97"/>
        <v/>
      </c>
      <c r="P651" s="110" t="str">
        <f t="shared" si="97"/>
        <v/>
      </c>
      <c r="Q651" s="110" t="str">
        <f t="shared" si="97"/>
        <v/>
      </c>
      <c r="R651" s="105" t="str">
        <f t="shared" si="97"/>
        <v/>
      </c>
      <c r="S651" s="105"/>
      <c r="T651" s="103" t="s">
        <v>30</v>
      </c>
      <c r="U651" s="103" t="s">
        <v>56</v>
      </c>
      <c r="V651" s="103" t="s">
        <v>1324</v>
      </c>
    </row>
    <row r="652" spans="1:22" ht="13.5">
      <c r="A652" s="102">
        <v>45629.291576932868</v>
      </c>
      <c r="B652" s="103" t="s">
        <v>164</v>
      </c>
      <c r="C652" s="104" t="str">
        <f t="shared" si="96"/>
        <v>×</v>
      </c>
      <c r="D652" s="104" t="str">
        <f t="shared" si="96"/>
        <v>○</v>
      </c>
      <c r="E652" s="104" t="str">
        <f t="shared" si="96"/>
        <v>×</v>
      </c>
      <c r="F652" s="104" t="str">
        <f t="shared" si="96"/>
        <v>×</v>
      </c>
      <c r="G652" s="103" t="s">
        <v>13</v>
      </c>
      <c r="H652" s="103" t="s">
        <v>32</v>
      </c>
      <c r="I652" s="103" t="s">
        <v>1013</v>
      </c>
      <c r="J652" s="105"/>
      <c r="K652" s="103" t="s">
        <v>34</v>
      </c>
      <c r="L652" s="105"/>
      <c r="M652" s="110" t="str">
        <f t="shared" ref="M652:R661" si="98">IF(ISERROR(SEARCH(M$1,$L652)),"","○")</f>
        <v/>
      </c>
      <c r="N652" s="110" t="str">
        <f t="shared" si="98"/>
        <v/>
      </c>
      <c r="O652" s="110" t="str">
        <f t="shared" si="98"/>
        <v/>
      </c>
      <c r="P652" s="110" t="str">
        <f t="shared" si="98"/>
        <v/>
      </c>
      <c r="Q652" s="110" t="str">
        <f t="shared" si="98"/>
        <v/>
      </c>
      <c r="R652" s="105" t="str">
        <f t="shared" si="98"/>
        <v/>
      </c>
      <c r="S652" s="105"/>
      <c r="T652" s="103" t="s">
        <v>30</v>
      </c>
      <c r="U652" s="103" t="s">
        <v>56</v>
      </c>
      <c r="V652" s="103" t="s">
        <v>1329</v>
      </c>
    </row>
    <row r="653" spans="1:22" ht="13.5">
      <c r="A653" s="102">
        <v>45629.298495347219</v>
      </c>
      <c r="B653" s="103" t="s">
        <v>57</v>
      </c>
      <c r="C653" s="104" t="str">
        <f t="shared" si="96"/>
        <v>×</v>
      </c>
      <c r="D653" s="104" t="str">
        <f t="shared" si="96"/>
        <v>○</v>
      </c>
      <c r="E653" s="104" t="str">
        <f t="shared" si="96"/>
        <v>×</v>
      </c>
      <c r="F653" s="104" t="str">
        <f t="shared" si="96"/>
        <v>×</v>
      </c>
      <c r="G653" s="103" t="s">
        <v>20</v>
      </c>
      <c r="H653" s="105"/>
      <c r="I653" s="105"/>
      <c r="J653" s="103" t="s">
        <v>21</v>
      </c>
      <c r="K653" s="103" t="s">
        <v>16</v>
      </c>
      <c r="L653" s="103" t="s">
        <v>59</v>
      </c>
      <c r="M653" s="108" t="str">
        <f t="shared" si="98"/>
        <v/>
      </c>
      <c r="N653" s="108" t="str">
        <f t="shared" si="98"/>
        <v/>
      </c>
      <c r="O653" s="108" t="str">
        <f t="shared" si="98"/>
        <v/>
      </c>
      <c r="P653" s="108" t="str">
        <f t="shared" si="98"/>
        <v>○</v>
      </c>
      <c r="Q653" s="108" t="str">
        <f t="shared" si="98"/>
        <v/>
      </c>
      <c r="R653" s="103" t="str">
        <f t="shared" si="98"/>
        <v/>
      </c>
      <c r="S653" s="103" t="s">
        <v>1331</v>
      </c>
      <c r="T653" s="103" t="s">
        <v>24</v>
      </c>
      <c r="U653" s="103" t="s">
        <v>56</v>
      </c>
      <c r="V653" s="105"/>
    </row>
    <row r="654" spans="1:22" ht="13.5">
      <c r="A654" s="102">
        <v>45629.301051793984</v>
      </c>
      <c r="B654" s="103" t="s">
        <v>181</v>
      </c>
      <c r="C654" s="104" t="str">
        <f t="shared" si="96"/>
        <v>×</v>
      </c>
      <c r="D654" s="104" t="str">
        <f t="shared" si="96"/>
        <v>○</v>
      </c>
      <c r="E654" s="104" t="str">
        <f t="shared" si="96"/>
        <v>×</v>
      </c>
      <c r="F654" s="104" t="str">
        <f t="shared" si="96"/>
        <v>×</v>
      </c>
      <c r="G654" s="103" t="s">
        <v>20</v>
      </c>
      <c r="H654" s="105"/>
      <c r="I654" s="105"/>
      <c r="J654" s="103" t="s">
        <v>58</v>
      </c>
      <c r="K654" s="103" t="s">
        <v>16</v>
      </c>
      <c r="L654" s="103" t="s">
        <v>88</v>
      </c>
      <c r="M654" s="108" t="str">
        <f t="shared" si="98"/>
        <v/>
      </c>
      <c r="N654" s="108" t="str">
        <f t="shared" si="98"/>
        <v>○</v>
      </c>
      <c r="O654" s="108" t="str">
        <f t="shared" si="98"/>
        <v/>
      </c>
      <c r="P654" s="108" t="str">
        <f t="shared" si="98"/>
        <v/>
      </c>
      <c r="Q654" s="108" t="str">
        <f t="shared" si="98"/>
        <v>○</v>
      </c>
      <c r="R654" s="103" t="str">
        <f t="shared" si="98"/>
        <v/>
      </c>
      <c r="S654" s="103" t="s">
        <v>1334</v>
      </c>
      <c r="T654" s="103" t="s">
        <v>24</v>
      </c>
      <c r="U654" s="103" t="s">
        <v>56</v>
      </c>
      <c r="V654" s="105"/>
    </row>
    <row r="655" spans="1:22" ht="13.5">
      <c r="A655" s="102">
        <v>45629.302420706023</v>
      </c>
      <c r="B655" s="103" t="s">
        <v>49</v>
      </c>
      <c r="C655" s="104" t="str">
        <f t="shared" si="96"/>
        <v>×</v>
      </c>
      <c r="D655" s="104" t="str">
        <f t="shared" si="96"/>
        <v>○</v>
      </c>
      <c r="E655" s="104" t="str">
        <f t="shared" si="96"/>
        <v>×</v>
      </c>
      <c r="F655" s="104" t="str">
        <f t="shared" si="96"/>
        <v>×</v>
      </c>
      <c r="G655" s="103" t="s">
        <v>20</v>
      </c>
      <c r="H655" s="105"/>
      <c r="I655" s="105"/>
      <c r="J655" s="103" t="s">
        <v>38</v>
      </c>
      <c r="K655" s="103" t="s">
        <v>16</v>
      </c>
      <c r="L655" s="103" t="s">
        <v>39</v>
      </c>
      <c r="M655" s="108" t="str">
        <f t="shared" si="98"/>
        <v/>
      </c>
      <c r="N655" s="108" t="str">
        <f t="shared" si="98"/>
        <v>○</v>
      </c>
      <c r="O655" s="108" t="str">
        <f t="shared" si="98"/>
        <v/>
      </c>
      <c r="P655" s="108" t="str">
        <f t="shared" si="98"/>
        <v/>
      </c>
      <c r="Q655" s="108" t="str">
        <f t="shared" si="98"/>
        <v/>
      </c>
      <c r="R655" s="103" t="str">
        <f t="shared" si="98"/>
        <v/>
      </c>
      <c r="S655" s="105"/>
      <c r="T655" s="103" t="s">
        <v>24</v>
      </c>
      <c r="U655" s="103" t="s">
        <v>56</v>
      </c>
      <c r="V655" s="105"/>
    </row>
    <row r="656" spans="1:22" ht="13.5">
      <c r="A656" s="102">
        <v>45629.304213645832</v>
      </c>
      <c r="B656" s="103" t="s">
        <v>244</v>
      </c>
      <c r="C656" s="104" t="str">
        <f t="shared" si="96"/>
        <v>×</v>
      </c>
      <c r="D656" s="104" t="str">
        <f t="shared" si="96"/>
        <v>○</v>
      </c>
      <c r="E656" s="104" t="str">
        <f t="shared" si="96"/>
        <v>○</v>
      </c>
      <c r="F656" s="104" t="str">
        <f t="shared" si="96"/>
        <v>×</v>
      </c>
      <c r="G656" s="103" t="s">
        <v>20</v>
      </c>
      <c r="H656" s="105"/>
      <c r="I656" s="105"/>
      <c r="J656" s="103" t="s">
        <v>58</v>
      </c>
      <c r="K656" s="103" t="s">
        <v>16</v>
      </c>
      <c r="L656" s="103" t="s">
        <v>107</v>
      </c>
      <c r="M656" s="108" t="str">
        <f t="shared" si="98"/>
        <v/>
      </c>
      <c r="N656" s="108" t="str">
        <f t="shared" si="98"/>
        <v/>
      </c>
      <c r="O656" s="108" t="str">
        <f t="shared" si="98"/>
        <v>○</v>
      </c>
      <c r="P656" s="108" t="str">
        <f t="shared" si="98"/>
        <v/>
      </c>
      <c r="Q656" s="108" t="str">
        <f t="shared" si="98"/>
        <v/>
      </c>
      <c r="R656" s="103" t="str">
        <f t="shared" si="98"/>
        <v/>
      </c>
      <c r="S656" s="105"/>
      <c r="T656" s="103" t="s">
        <v>30</v>
      </c>
      <c r="U656" s="103" t="s">
        <v>56</v>
      </c>
      <c r="V656" s="105"/>
    </row>
    <row r="657" spans="1:22" ht="13.5">
      <c r="A657" s="102">
        <v>45629.311014224542</v>
      </c>
      <c r="B657" s="103" t="s">
        <v>49</v>
      </c>
      <c r="C657" s="104" t="str">
        <f t="shared" si="96"/>
        <v>×</v>
      </c>
      <c r="D657" s="104" t="str">
        <f t="shared" si="96"/>
        <v>○</v>
      </c>
      <c r="E657" s="104" t="str">
        <f t="shared" si="96"/>
        <v>×</v>
      </c>
      <c r="F657" s="104" t="str">
        <f t="shared" si="96"/>
        <v>×</v>
      </c>
      <c r="G657" s="103" t="s">
        <v>20</v>
      </c>
      <c r="H657" s="105"/>
      <c r="I657" s="105"/>
      <c r="J657" s="103" t="s">
        <v>38</v>
      </c>
      <c r="K657" s="103" t="s">
        <v>16</v>
      </c>
      <c r="L657" s="103" t="s">
        <v>88</v>
      </c>
      <c r="M657" s="108" t="str">
        <f t="shared" si="98"/>
        <v/>
      </c>
      <c r="N657" s="108" t="str">
        <f t="shared" si="98"/>
        <v>○</v>
      </c>
      <c r="O657" s="108" t="str">
        <f t="shared" si="98"/>
        <v/>
      </c>
      <c r="P657" s="108" t="str">
        <f t="shared" si="98"/>
        <v/>
      </c>
      <c r="Q657" s="108" t="str">
        <f t="shared" si="98"/>
        <v>○</v>
      </c>
      <c r="R657" s="103" t="str">
        <f t="shared" si="98"/>
        <v/>
      </c>
      <c r="S657" s="103" t="s">
        <v>1341</v>
      </c>
      <c r="T657" s="103" t="s">
        <v>30</v>
      </c>
      <c r="U657" s="103" t="s">
        <v>56</v>
      </c>
      <c r="V657" s="105"/>
    </row>
    <row r="658" spans="1:22" ht="13.5">
      <c r="A658" s="102">
        <v>45629.329570497684</v>
      </c>
      <c r="B658" s="103" t="s">
        <v>19</v>
      </c>
      <c r="C658" s="104" t="str">
        <f t="shared" si="96"/>
        <v>×</v>
      </c>
      <c r="D658" s="104" t="str">
        <f t="shared" si="96"/>
        <v>○</v>
      </c>
      <c r="E658" s="104" t="str">
        <f t="shared" si="96"/>
        <v>×</v>
      </c>
      <c r="F658" s="104" t="str">
        <f t="shared" si="96"/>
        <v>×</v>
      </c>
      <c r="G658" s="103" t="s">
        <v>20</v>
      </c>
      <c r="H658" s="105"/>
      <c r="I658" s="105"/>
      <c r="J658" s="103" t="s">
        <v>58</v>
      </c>
      <c r="K658" s="103" t="s">
        <v>16</v>
      </c>
      <c r="L658" s="103" t="s">
        <v>794</v>
      </c>
      <c r="M658" s="108" t="str">
        <f t="shared" si="98"/>
        <v>○</v>
      </c>
      <c r="N658" s="108" t="str">
        <f t="shared" si="98"/>
        <v>○</v>
      </c>
      <c r="O658" s="108" t="str">
        <f t="shared" si="98"/>
        <v/>
      </c>
      <c r="P658" s="108" t="str">
        <f t="shared" si="98"/>
        <v/>
      </c>
      <c r="Q658" s="108" t="str">
        <f t="shared" si="98"/>
        <v>○</v>
      </c>
      <c r="R658" s="103" t="str">
        <f t="shared" si="98"/>
        <v/>
      </c>
      <c r="S658" s="105"/>
      <c r="T658" s="103" t="s">
        <v>35</v>
      </c>
      <c r="U658" s="103" t="s">
        <v>56</v>
      </c>
      <c r="V658" s="105"/>
    </row>
    <row r="659" spans="1:22" ht="13.5">
      <c r="A659" s="102">
        <v>45629.329793020835</v>
      </c>
      <c r="B659" s="103" t="s">
        <v>164</v>
      </c>
      <c r="C659" s="104" t="str">
        <f t="shared" si="96"/>
        <v>×</v>
      </c>
      <c r="D659" s="104" t="str">
        <f t="shared" si="96"/>
        <v>○</v>
      </c>
      <c r="E659" s="104" t="str">
        <f t="shared" si="96"/>
        <v>×</v>
      </c>
      <c r="F659" s="104" t="str">
        <f t="shared" si="96"/>
        <v>×</v>
      </c>
      <c r="G659" s="103" t="s">
        <v>20</v>
      </c>
      <c r="H659" s="105"/>
      <c r="I659" s="105"/>
      <c r="J659" s="103" t="s">
        <v>38</v>
      </c>
      <c r="K659" s="103" t="s">
        <v>16</v>
      </c>
      <c r="L659" s="103" t="s">
        <v>1350</v>
      </c>
      <c r="M659" s="108" t="str">
        <f t="shared" si="98"/>
        <v/>
      </c>
      <c r="N659" s="108" t="str">
        <f t="shared" si="98"/>
        <v>○</v>
      </c>
      <c r="O659" s="108" t="str">
        <f t="shared" si="98"/>
        <v/>
      </c>
      <c r="P659" s="108" t="str">
        <f t="shared" si="98"/>
        <v/>
      </c>
      <c r="Q659" s="108" t="str">
        <f t="shared" si="98"/>
        <v/>
      </c>
      <c r="R659" s="103" t="str">
        <f t="shared" si="98"/>
        <v/>
      </c>
      <c r="S659" s="105"/>
      <c r="T659" s="103" t="s">
        <v>1351</v>
      </c>
      <c r="U659" s="103" t="s">
        <v>56</v>
      </c>
      <c r="V659" s="103" t="s">
        <v>1352</v>
      </c>
    </row>
    <row r="660" spans="1:22" ht="13.5">
      <c r="A660" s="102">
        <v>45629.361030879634</v>
      </c>
      <c r="B660" s="103" t="s">
        <v>181</v>
      </c>
      <c r="C660" s="104" t="str">
        <f t="shared" si="96"/>
        <v>×</v>
      </c>
      <c r="D660" s="104" t="str">
        <f t="shared" si="96"/>
        <v>○</v>
      </c>
      <c r="E660" s="104" t="str">
        <f t="shared" si="96"/>
        <v>×</v>
      </c>
      <c r="F660" s="104" t="str">
        <f t="shared" si="96"/>
        <v>×</v>
      </c>
      <c r="G660" s="103" t="s">
        <v>20</v>
      </c>
      <c r="H660" s="105"/>
      <c r="I660" s="105"/>
      <c r="J660" s="103" t="s">
        <v>21</v>
      </c>
      <c r="K660" s="103" t="s">
        <v>16</v>
      </c>
      <c r="L660" s="103" t="s">
        <v>68</v>
      </c>
      <c r="M660" s="108" t="str">
        <f t="shared" si="98"/>
        <v/>
      </c>
      <c r="N660" s="108" t="str">
        <f t="shared" si="98"/>
        <v/>
      </c>
      <c r="O660" s="108" t="str">
        <f t="shared" si="98"/>
        <v/>
      </c>
      <c r="P660" s="108" t="str">
        <f t="shared" si="98"/>
        <v/>
      </c>
      <c r="Q660" s="108" t="str">
        <f t="shared" si="98"/>
        <v>○</v>
      </c>
      <c r="R660" s="103" t="str">
        <f t="shared" si="98"/>
        <v/>
      </c>
      <c r="S660" s="103" t="s">
        <v>1367</v>
      </c>
      <c r="T660" s="103" t="s">
        <v>30</v>
      </c>
      <c r="U660" s="103" t="s">
        <v>56</v>
      </c>
      <c r="V660" s="103" t="s">
        <v>1368</v>
      </c>
    </row>
    <row r="661" spans="1:22" ht="13.5">
      <c r="A661" s="102">
        <v>45629.383723298612</v>
      </c>
      <c r="B661" s="103" t="s">
        <v>381</v>
      </c>
      <c r="C661" s="104" t="str">
        <f t="shared" si="96"/>
        <v>×</v>
      </c>
      <c r="D661" s="104" t="str">
        <f t="shared" si="96"/>
        <v>○</v>
      </c>
      <c r="E661" s="104" t="str">
        <f t="shared" si="96"/>
        <v>○</v>
      </c>
      <c r="F661" s="104" t="str">
        <f t="shared" si="96"/>
        <v>×</v>
      </c>
      <c r="G661" s="103" t="s">
        <v>13</v>
      </c>
      <c r="H661" s="103" t="s">
        <v>32</v>
      </c>
      <c r="I661" s="103" t="s">
        <v>1369</v>
      </c>
      <c r="J661" s="105"/>
      <c r="K661" s="103" t="s">
        <v>34</v>
      </c>
      <c r="L661" s="105"/>
      <c r="M661" s="110" t="str">
        <f t="shared" si="98"/>
        <v/>
      </c>
      <c r="N661" s="110" t="str">
        <f t="shared" si="98"/>
        <v/>
      </c>
      <c r="O661" s="110" t="str">
        <f t="shared" si="98"/>
        <v/>
      </c>
      <c r="P661" s="110" t="str">
        <f t="shared" si="98"/>
        <v/>
      </c>
      <c r="Q661" s="110" t="str">
        <f t="shared" si="98"/>
        <v/>
      </c>
      <c r="R661" s="105" t="str">
        <f t="shared" si="98"/>
        <v/>
      </c>
      <c r="S661" s="105"/>
      <c r="T661" s="103" t="s">
        <v>35</v>
      </c>
      <c r="U661" s="103" t="s">
        <v>56</v>
      </c>
      <c r="V661" s="105"/>
    </row>
    <row r="662" spans="1:22" ht="13.5">
      <c r="A662" s="102">
        <v>45629.440906863427</v>
      </c>
      <c r="B662" s="103" t="s">
        <v>164</v>
      </c>
      <c r="C662" s="104" t="str">
        <f t="shared" ref="C662:F681" si="99">IF(ISERROR(FIND(C$1,$B662)),"×","○")</f>
        <v>×</v>
      </c>
      <c r="D662" s="104" t="str">
        <f t="shared" si="99"/>
        <v>○</v>
      </c>
      <c r="E662" s="104" t="str">
        <f t="shared" si="99"/>
        <v>×</v>
      </c>
      <c r="F662" s="104" t="str">
        <f t="shared" si="99"/>
        <v>×</v>
      </c>
      <c r="G662" s="103" t="s">
        <v>20</v>
      </c>
      <c r="H662" s="105"/>
      <c r="I662" s="105"/>
      <c r="J662" s="103" t="s">
        <v>186</v>
      </c>
      <c r="K662" s="103" t="s">
        <v>16</v>
      </c>
      <c r="L662" s="103" t="s">
        <v>39</v>
      </c>
      <c r="M662" s="108" t="str">
        <f t="shared" ref="M662:R671" si="100">IF(ISERROR(SEARCH(M$1,$L662)),"","○")</f>
        <v/>
      </c>
      <c r="N662" s="108" t="str">
        <f t="shared" si="100"/>
        <v>○</v>
      </c>
      <c r="O662" s="108" t="str">
        <f t="shared" si="100"/>
        <v/>
      </c>
      <c r="P662" s="108" t="str">
        <f t="shared" si="100"/>
        <v/>
      </c>
      <c r="Q662" s="108" t="str">
        <f t="shared" si="100"/>
        <v/>
      </c>
      <c r="R662" s="103" t="str">
        <f t="shared" si="100"/>
        <v/>
      </c>
      <c r="S662" s="105"/>
      <c r="T662" s="103" t="s">
        <v>30</v>
      </c>
      <c r="U662" s="103" t="s">
        <v>56</v>
      </c>
      <c r="V662" s="103" t="s">
        <v>1377</v>
      </c>
    </row>
    <row r="663" spans="1:22" ht="13.5">
      <c r="A663" s="102">
        <v>45629.48504039352</v>
      </c>
      <c r="B663" s="103" t="s">
        <v>164</v>
      </c>
      <c r="C663" s="104" t="str">
        <f t="shared" si="99"/>
        <v>×</v>
      </c>
      <c r="D663" s="104" t="str">
        <f t="shared" si="99"/>
        <v>○</v>
      </c>
      <c r="E663" s="104" t="str">
        <f t="shared" si="99"/>
        <v>×</v>
      </c>
      <c r="F663" s="104" t="str">
        <f t="shared" si="99"/>
        <v>×</v>
      </c>
      <c r="G663" s="103" t="s">
        <v>13</v>
      </c>
      <c r="H663" s="103" t="s">
        <v>14</v>
      </c>
      <c r="I663" s="103" t="s">
        <v>1379</v>
      </c>
      <c r="J663" s="105"/>
      <c r="K663" s="103" t="s">
        <v>16</v>
      </c>
      <c r="L663" s="103" t="s">
        <v>1380</v>
      </c>
      <c r="M663" s="108" t="str">
        <f t="shared" si="100"/>
        <v/>
      </c>
      <c r="N663" s="108" t="str">
        <f t="shared" si="100"/>
        <v/>
      </c>
      <c r="O663" s="108" t="str">
        <f t="shared" si="100"/>
        <v/>
      </c>
      <c r="P663" s="108" t="str">
        <f t="shared" si="100"/>
        <v/>
      </c>
      <c r="Q663" s="108" t="str">
        <f t="shared" si="100"/>
        <v/>
      </c>
      <c r="R663" s="103" t="str">
        <f t="shared" si="100"/>
        <v/>
      </c>
      <c r="S663" s="105"/>
      <c r="T663" s="103" t="s">
        <v>61</v>
      </c>
      <c r="U663" s="103" t="s">
        <v>56</v>
      </c>
      <c r="V663" s="105"/>
    </row>
    <row r="664" spans="1:22" ht="13.5">
      <c r="A664" s="102">
        <v>45629.55443502315</v>
      </c>
      <c r="B664" s="103" t="s">
        <v>939</v>
      </c>
      <c r="C664" s="104" t="str">
        <f t="shared" si="99"/>
        <v>×</v>
      </c>
      <c r="D664" s="104" t="str">
        <f t="shared" si="99"/>
        <v>○</v>
      </c>
      <c r="E664" s="104" t="str">
        <f t="shared" si="99"/>
        <v>○</v>
      </c>
      <c r="F664" s="104" t="str">
        <f t="shared" si="99"/>
        <v>○</v>
      </c>
      <c r="G664" s="103" t="s">
        <v>20</v>
      </c>
      <c r="H664" s="105"/>
      <c r="I664" s="105"/>
      <c r="J664" s="103" t="s">
        <v>38</v>
      </c>
      <c r="K664" s="103" t="s">
        <v>16</v>
      </c>
      <c r="L664" s="103" t="s">
        <v>39</v>
      </c>
      <c r="M664" s="108" t="str">
        <f t="shared" si="100"/>
        <v/>
      </c>
      <c r="N664" s="108" t="str">
        <f t="shared" si="100"/>
        <v>○</v>
      </c>
      <c r="O664" s="108" t="str">
        <f t="shared" si="100"/>
        <v/>
      </c>
      <c r="P664" s="108" t="str">
        <f t="shared" si="100"/>
        <v/>
      </c>
      <c r="Q664" s="108" t="str">
        <f t="shared" si="100"/>
        <v/>
      </c>
      <c r="R664" s="103" t="str">
        <f t="shared" si="100"/>
        <v/>
      </c>
      <c r="S664" s="105"/>
      <c r="T664" s="103" t="s">
        <v>30</v>
      </c>
      <c r="U664" s="103" t="s">
        <v>56</v>
      </c>
      <c r="V664" s="105"/>
    </row>
    <row r="665" spans="1:22" ht="13.5">
      <c r="A665" s="102">
        <v>45629.556399502311</v>
      </c>
      <c r="B665" s="103" t="s">
        <v>1385</v>
      </c>
      <c r="C665" s="104" t="str">
        <f t="shared" si="99"/>
        <v>○</v>
      </c>
      <c r="D665" s="104" t="str">
        <f t="shared" si="99"/>
        <v>○</v>
      </c>
      <c r="E665" s="104" t="str">
        <f t="shared" si="99"/>
        <v>○</v>
      </c>
      <c r="F665" s="104" t="str">
        <f t="shared" si="99"/>
        <v>×</v>
      </c>
      <c r="G665" s="103" t="s">
        <v>20</v>
      </c>
      <c r="H665" s="105"/>
      <c r="I665" s="105"/>
      <c r="J665" s="103" t="s">
        <v>58</v>
      </c>
      <c r="K665" s="103" t="s">
        <v>16</v>
      </c>
      <c r="L665" s="103" t="s">
        <v>107</v>
      </c>
      <c r="M665" s="108" t="str">
        <f t="shared" si="100"/>
        <v/>
      </c>
      <c r="N665" s="108" t="str">
        <f t="shared" si="100"/>
        <v/>
      </c>
      <c r="O665" s="108" t="str">
        <f t="shared" si="100"/>
        <v>○</v>
      </c>
      <c r="P665" s="108" t="str">
        <f t="shared" si="100"/>
        <v/>
      </c>
      <c r="Q665" s="108" t="str">
        <f t="shared" si="100"/>
        <v/>
      </c>
      <c r="R665" s="103" t="str">
        <f t="shared" si="100"/>
        <v/>
      </c>
      <c r="S665" s="105"/>
      <c r="T665" s="103" t="s">
        <v>1386</v>
      </c>
      <c r="U665" s="103" t="s">
        <v>56</v>
      </c>
      <c r="V665" s="103" t="s">
        <v>1387</v>
      </c>
    </row>
    <row r="666" spans="1:22" ht="13.5">
      <c r="A666" s="102">
        <v>45629.561771851848</v>
      </c>
      <c r="B666" s="103" t="s">
        <v>131</v>
      </c>
      <c r="C666" s="104" t="str">
        <f t="shared" si="99"/>
        <v>×</v>
      </c>
      <c r="D666" s="104" t="str">
        <f t="shared" si="99"/>
        <v>○</v>
      </c>
      <c r="E666" s="104" t="str">
        <f t="shared" si="99"/>
        <v>○</v>
      </c>
      <c r="F666" s="104" t="str">
        <f t="shared" si="99"/>
        <v>×</v>
      </c>
      <c r="G666" s="103" t="s">
        <v>13</v>
      </c>
      <c r="H666" s="103" t="s">
        <v>32</v>
      </c>
      <c r="I666" s="103" t="s">
        <v>1388</v>
      </c>
      <c r="J666" s="105"/>
      <c r="K666" s="103" t="s">
        <v>16</v>
      </c>
      <c r="L666" s="103" t="s">
        <v>1389</v>
      </c>
      <c r="M666" s="108" t="str">
        <f t="shared" si="100"/>
        <v/>
      </c>
      <c r="N666" s="108" t="str">
        <f t="shared" si="100"/>
        <v/>
      </c>
      <c r="O666" s="108" t="str">
        <f t="shared" si="100"/>
        <v/>
      </c>
      <c r="P666" s="108" t="str">
        <f t="shared" si="100"/>
        <v/>
      </c>
      <c r="Q666" s="108" t="str">
        <f t="shared" si="100"/>
        <v/>
      </c>
      <c r="R666" s="103" t="str">
        <f t="shared" si="100"/>
        <v/>
      </c>
      <c r="S666" s="105"/>
      <c r="T666" s="103" t="s">
        <v>24</v>
      </c>
      <c r="U666" s="103" t="s">
        <v>56</v>
      </c>
      <c r="V666" s="103" t="s">
        <v>1390</v>
      </c>
    </row>
    <row r="667" spans="1:22" ht="13.5">
      <c r="A667" s="102">
        <v>45629.669459618061</v>
      </c>
      <c r="B667" s="103" t="s">
        <v>181</v>
      </c>
      <c r="C667" s="104" t="str">
        <f t="shared" si="99"/>
        <v>×</v>
      </c>
      <c r="D667" s="104" t="str">
        <f t="shared" si="99"/>
        <v>○</v>
      </c>
      <c r="E667" s="104" t="str">
        <f t="shared" si="99"/>
        <v>×</v>
      </c>
      <c r="F667" s="104" t="str">
        <f t="shared" si="99"/>
        <v>×</v>
      </c>
      <c r="G667" s="103" t="s">
        <v>20</v>
      </c>
      <c r="H667" s="105"/>
      <c r="I667" s="105"/>
      <c r="J667" s="103" t="s">
        <v>58</v>
      </c>
      <c r="K667" s="103" t="s">
        <v>16</v>
      </c>
      <c r="L667" s="103" t="s">
        <v>255</v>
      </c>
      <c r="M667" s="108" t="str">
        <f t="shared" si="100"/>
        <v/>
      </c>
      <c r="N667" s="108" t="str">
        <f t="shared" si="100"/>
        <v>○</v>
      </c>
      <c r="O667" s="108" t="str">
        <f t="shared" si="100"/>
        <v/>
      </c>
      <c r="P667" s="108" t="str">
        <f t="shared" si="100"/>
        <v>○</v>
      </c>
      <c r="Q667" s="108" t="str">
        <f t="shared" si="100"/>
        <v/>
      </c>
      <c r="R667" s="103" t="str">
        <f t="shared" si="100"/>
        <v/>
      </c>
      <c r="S667" s="105"/>
      <c r="T667" s="103" t="s">
        <v>30</v>
      </c>
      <c r="U667" s="103" t="s">
        <v>56</v>
      </c>
      <c r="V667" s="105"/>
    </row>
    <row r="668" spans="1:22" ht="13.5">
      <c r="A668" s="102">
        <v>45629.675048356483</v>
      </c>
      <c r="B668" s="103" t="s">
        <v>64</v>
      </c>
      <c r="C668" s="104" t="str">
        <f t="shared" si="99"/>
        <v>○</v>
      </c>
      <c r="D668" s="104" t="str">
        <f t="shared" si="99"/>
        <v>○</v>
      </c>
      <c r="E668" s="104" t="str">
        <f t="shared" si="99"/>
        <v>×</v>
      </c>
      <c r="F668" s="104" t="str">
        <f t="shared" si="99"/>
        <v>×</v>
      </c>
      <c r="G668" s="103" t="s">
        <v>13</v>
      </c>
      <c r="H668" s="103" t="s">
        <v>14</v>
      </c>
      <c r="I668" s="103" t="s">
        <v>1400</v>
      </c>
      <c r="J668" s="105"/>
      <c r="K668" s="103" t="s">
        <v>34</v>
      </c>
      <c r="L668" s="105"/>
      <c r="M668" s="110" t="str">
        <f t="shared" si="100"/>
        <v/>
      </c>
      <c r="N668" s="110" t="str">
        <f t="shared" si="100"/>
        <v/>
      </c>
      <c r="O668" s="110" t="str">
        <f t="shared" si="100"/>
        <v/>
      </c>
      <c r="P668" s="110" t="str">
        <f t="shared" si="100"/>
        <v/>
      </c>
      <c r="Q668" s="110" t="str">
        <f t="shared" si="100"/>
        <v/>
      </c>
      <c r="R668" s="105" t="str">
        <f t="shared" si="100"/>
        <v/>
      </c>
      <c r="S668" s="105"/>
      <c r="T668" s="103" t="s">
        <v>61</v>
      </c>
      <c r="U668" s="103" t="s">
        <v>56</v>
      </c>
      <c r="V668" s="103" t="s">
        <v>1401</v>
      </c>
    </row>
    <row r="669" spans="1:22" ht="13.5">
      <c r="A669" s="102">
        <v>45629.719434675921</v>
      </c>
      <c r="B669" s="103" t="s">
        <v>41</v>
      </c>
      <c r="C669" s="104" t="str">
        <f t="shared" si="99"/>
        <v>×</v>
      </c>
      <c r="D669" s="104" t="str">
        <f t="shared" si="99"/>
        <v>○</v>
      </c>
      <c r="E669" s="104" t="str">
        <f t="shared" si="99"/>
        <v>×</v>
      </c>
      <c r="F669" s="104" t="str">
        <f t="shared" si="99"/>
        <v>×</v>
      </c>
      <c r="G669" s="103" t="s">
        <v>13</v>
      </c>
      <c r="H669" s="103" t="s">
        <v>27</v>
      </c>
      <c r="I669" s="103" t="s">
        <v>1419</v>
      </c>
      <c r="J669" s="105"/>
      <c r="K669" s="103" t="s">
        <v>34</v>
      </c>
      <c r="L669" s="105"/>
      <c r="M669" s="110" t="str">
        <f t="shared" si="100"/>
        <v/>
      </c>
      <c r="N669" s="110" t="str">
        <f t="shared" si="100"/>
        <v/>
      </c>
      <c r="O669" s="110" t="str">
        <f t="shared" si="100"/>
        <v/>
      </c>
      <c r="P669" s="110" t="str">
        <f t="shared" si="100"/>
        <v/>
      </c>
      <c r="Q669" s="110" t="str">
        <f t="shared" si="100"/>
        <v/>
      </c>
      <c r="R669" s="105" t="str">
        <f t="shared" si="100"/>
        <v/>
      </c>
      <c r="S669" s="105"/>
      <c r="T669" s="103" t="s">
        <v>35</v>
      </c>
      <c r="U669" s="103" t="s">
        <v>56</v>
      </c>
      <c r="V669" s="105"/>
    </row>
    <row r="670" spans="1:22" ht="13.5">
      <c r="A670" s="102">
        <v>45629.749077280096</v>
      </c>
      <c r="B670" s="103" t="s">
        <v>57</v>
      </c>
      <c r="C670" s="104" t="str">
        <f t="shared" si="99"/>
        <v>×</v>
      </c>
      <c r="D670" s="104" t="str">
        <f t="shared" si="99"/>
        <v>○</v>
      </c>
      <c r="E670" s="104" t="str">
        <f t="shared" si="99"/>
        <v>×</v>
      </c>
      <c r="F670" s="104" t="str">
        <f t="shared" si="99"/>
        <v>×</v>
      </c>
      <c r="G670" s="103" t="s">
        <v>20</v>
      </c>
      <c r="H670" s="105"/>
      <c r="I670" s="105"/>
      <c r="J670" s="103" t="s">
        <v>21</v>
      </c>
      <c r="K670" s="103" t="s">
        <v>16</v>
      </c>
      <c r="L670" s="103" t="s">
        <v>68</v>
      </c>
      <c r="M670" s="108" t="str">
        <f t="shared" si="100"/>
        <v/>
      </c>
      <c r="N670" s="108" t="str">
        <f t="shared" si="100"/>
        <v/>
      </c>
      <c r="O670" s="108" t="str">
        <f t="shared" si="100"/>
        <v/>
      </c>
      <c r="P670" s="108" t="str">
        <f t="shared" si="100"/>
        <v/>
      </c>
      <c r="Q670" s="108" t="str">
        <f t="shared" si="100"/>
        <v>○</v>
      </c>
      <c r="R670" s="103" t="str">
        <f t="shared" si="100"/>
        <v/>
      </c>
      <c r="S670" s="103" t="s">
        <v>1435</v>
      </c>
      <c r="T670" s="103" t="s">
        <v>30</v>
      </c>
      <c r="U670" s="103" t="s">
        <v>56</v>
      </c>
      <c r="V670" s="105"/>
    </row>
    <row r="671" spans="1:22" ht="13.5">
      <c r="A671" s="102">
        <v>45629.756618391199</v>
      </c>
      <c r="B671" s="103" t="s">
        <v>594</v>
      </c>
      <c r="C671" s="104" t="str">
        <f t="shared" si="99"/>
        <v>○</v>
      </c>
      <c r="D671" s="104" t="str">
        <f t="shared" si="99"/>
        <v>○</v>
      </c>
      <c r="E671" s="104" t="str">
        <f t="shared" si="99"/>
        <v>×</v>
      </c>
      <c r="F671" s="104" t="str">
        <f t="shared" si="99"/>
        <v>×</v>
      </c>
      <c r="G671" s="103" t="s">
        <v>20</v>
      </c>
      <c r="H671" s="105"/>
      <c r="I671" s="105"/>
      <c r="J671" s="103" t="s">
        <v>186</v>
      </c>
      <c r="K671" s="103" t="s">
        <v>16</v>
      </c>
      <c r="L671" s="103" t="s">
        <v>88</v>
      </c>
      <c r="M671" s="108" t="str">
        <f t="shared" si="100"/>
        <v/>
      </c>
      <c r="N671" s="108" t="str">
        <f t="shared" si="100"/>
        <v>○</v>
      </c>
      <c r="O671" s="108" t="str">
        <f t="shared" si="100"/>
        <v/>
      </c>
      <c r="P671" s="108" t="str">
        <f t="shared" si="100"/>
        <v/>
      </c>
      <c r="Q671" s="108" t="str">
        <f t="shared" si="100"/>
        <v>○</v>
      </c>
      <c r="R671" s="103" t="str">
        <f t="shared" si="100"/>
        <v/>
      </c>
      <c r="S671" s="105"/>
      <c r="T671" s="103" t="s">
        <v>30</v>
      </c>
      <c r="U671" s="103" t="s">
        <v>56</v>
      </c>
      <c r="V671" s="105"/>
    </row>
    <row r="672" spans="1:22" ht="13.5">
      <c r="A672" s="102">
        <v>45629.7613365625</v>
      </c>
      <c r="B672" s="103" t="s">
        <v>105</v>
      </c>
      <c r="C672" s="104" t="str">
        <f t="shared" si="99"/>
        <v>×</v>
      </c>
      <c r="D672" s="104" t="str">
        <f t="shared" si="99"/>
        <v>×</v>
      </c>
      <c r="E672" s="104" t="str">
        <f t="shared" si="99"/>
        <v>○</v>
      </c>
      <c r="F672" s="104" t="str">
        <f t="shared" si="99"/>
        <v>×</v>
      </c>
      <c r="G672" s="103" t="s">
        <v>20</v>
      </c>
      <c r="H672" s="105"/>
      <c r="I672" s="105"/>
      <c r="J672" s="103" t="s">
        <v>418</v>
      </c>
      <c r="K672" s="103" t="s">
        <v>16</v>
      </c>
      <c r="L672" s="103" t="s">
        <v>88</v>
      </c>
      <c r="M672" s="108" t="str">
        <f t="shared" ref="M672:R681" si="101">IF(ISERROR(SEARCH(M$1,$L672)),"","○")</f>
        <v/>
      </c>
      <c r="N672" s="108" t="str">
        <f t="shared" si="101"/>
        <v>○</v>
      </c>
      <c r="O672" s="108" t="str">
        <f t="shared" si="101"/>
        <v/>
      </c>
      <c r="P672" s="108" t="str">
        <f t="shared" si="101"/>
        <v/>
      </c>
      <c r="Q672" s="108" t="str">
        <f t="shared" si="101"/>
        <v>○</v>
      </c>
      <c r="R672" s="103" t="str">
        <f t="shared" si="101"/>
        <v/>
      </c>
      <c r="S672" s="103" t="s">
        <v>1439</v>
      </c>
      <c r="T672" s="103" t="s">
        <v>30</v>
      </c>
      <c r="U672" s="103" t="s">
        <v>56</v>
      </c>
      <c r="V672" s="103" t="s">
        <v>1440</v>
      </c>
    </row>
    <row r="673" spans="1:22" ht="13.5">
      <c r="A673" s="102">
        <v>45629.783982141205</v>
      </c>
      <c r="B673" s="103" t="s">
        <v>1443</v>
      </c>
      <c r="C673" s="104" t="str">
        <f t="shared" si="99"/>
        <v>×</v>
      </c>
      <c r="D673" s="104" t="str">
        <f t="shared" si="99"/>
        <v>○</v>
      </c>
      <c r="E673" s="104" t="str">
        <f t="shared" si="99"/>
        <v>○</v>
      </c>
      <c r="F673" s="104" t="str">
        <f t="shared" si="99"/>
        <v>×</v>
      </c>
      <c r="G673" s="103" t="s">
        <v>13</v>
      </c>
      <c r="H673" s="103" t="s">
        <v>32</v>
      </c>
      <c r="I673" s="103" t="s">
        <v>1444</v>
      </c>
      <c r="J673" s="105"/>
      <c r="K673" s="103" t="s">
        <v>34</v>
      </c>
      <c r="L673" s="105"/>
      <c r="M673" s="110" t="str">
        <f t="shared" si="101"/>
        <v/>
      </c>
      <c r="N673" s="110" t="str">
        <f t="shared" si="101"/>
        <v/>
      </c>
      <c r="O673" s="110" t="str">
        <f t="shared" si="101"/>
        <v/>
      </c>
      <c r="P673" s="110" t="str">
        <f t="shared" si="101"/>
        <v/>
      </c>
      <c r="Q673" s="110" t="str">
        <f t="shared" si="101"/>
        <v/>
      </c>
      <c r="R673" s="105" t="str">
        <f t="shared" si="101"/>
        <v/>
      </c>
      <c r="S673" s="105"/>
      <c r="T673" s="103" t="s">
        <v>61</v>
      </c>
      <c r="U673" s="103" t="s">
        <v>56</v>
      </c>
      <c r="V673" s="105"/>
    </row>
    <row r="674" spans="1:22" ht="13.5">
      <c r="A674" s="102">
        <v>45629.797972175926</v>
      </c>
      <c r="B674" s="103" t="s">
        <v>1448</v>
      </c>
      <c r="C674" s="104" t="str">
        <f t="shared" si="99"/>
        <v>×</v>
      </c>
      <c r="D674" s="104" t="str">
        <f t="shared" si="99"/>
        <v>○</v>
      </c>
      <c r="E674" s="104" t="str">
        <f t="shared" si="99"/>
        <v>○</v>
      </c>
      <c r="F674" s="104" t="str">
        <f t="shared" si="99"/>
        <v>○</v>
      </c>
      <c r="G674" s="103" t="s">
        <v>20</v>
      </c>
      <c r="H674" s="105"/>
      <c r="I674" s="105"/>
      <c r="J674" s="103" t="s">
        <v>21</v>
      </c>
      <c r="K674" s="103" t="s">
        <v>16</v>
      </c>
      <c r="L674" s="103" t="s">
        <v>68</v>
      </c>
      <c r="M674" s="108" t="str">
        <f t="shared" si="101"/>
        <v/>
      </c>
      <c r="N674" s="108" t="str">
        <f t="shared" si="101"/>
        <v/>
      </c>
      <c r="O674" s="108" t="str">
        <f t="shared" si="101"/>
        <v/>
      </c>
      <c r="P674" s="108" t="str">
        <f t="shared" si="101"/>
        <v/>
      </c>
      <c r="Q674" s="108" t="str">
        <f t="shared" si="101"/>
        <v>○</v>
      </c>
      <c r="R674" s="103" t="str">
        <f t="shared" si="101"/>
        <v/>
      </c>
      <c r="S674" s="103" t="s">
        <v>1449</v>
      </c>
      <c r="T674" s="103" t="s">
        <v>30</v>
      </c>
      <c r="U674" s="103" t="s">
        <v>56</v>
      </c>
      <c r="V674" s="103" t="s">
        <v>1450</v>
      </c>
    </row>
    <row r="675" spans="1:22" ht="13.5">
      <c r="A675" s="102">
        <v>45629.814360937497</v>
      </c>
      <c r="B675" s="103" t="s">
        <v>90</v>
      </c>
      <c r="C675" s="104" t="str">
        <f t="shared" si="99"/>
        <v>×</v>
      </c>
      <c r="D675" s="104" t="str">
        <f t="shared" si="99"/>
        <v>×</v>
      </c>
      <c r="E675" s="104" t="str">
        <f t="shared" si="99"/>
        <v>○</v>
      </c>
      <c r="F675" s="104" t="str">
        <f t="shared" si="99"/>
        <v>×</v>
      </c>
      <c r="G675" s="103" t="s">
        <v>13</v>
      </c>
      <c r="H675" s="103" t="s">
        <v>77</v>
      </c>
      <c r="I675" s="103" t="s">
        <v>1457</v>
      </c>
      <c r="J675" s="105"/>
      <c r="K675" s="103" t="s">
        <v>16</v>
      </c>
      <c r="L675" s="103" t="s">
        <v>59</v>
      </c>
      <c r="M675" s="108" t="str">
        <f t="shared" si="101"/>
        <v/>
      </c>
      <c r="N675" s="108" t="str">
        <f t="shared" si="101"/>
        <v/>
      </c>
      <c r="O675" s="108" t="str">
        <f t="shared" si="101"/>
        <v/>
      </c>
      <c r="P675" s="108" t="str">
        <f t="shared" si="101"/>
        <v>○</v>
      </c>
      <c r="Q675" s="108" t="str">
        <f t="shared" si="101"/>
        <v/>
      </c>
      <c r="R675" s="103" t="str">
        <f t="shared" si="101"/>
        <v/>
      </c>
      <c r="S675" s="103" t="s">
        <v>1458</v>
      </c>
      <c r="T675" s="103" t="s">
        <v>30</v>
      </c>
      <c r="U675" s="103" t="s">
        <v>56</v>
      </c>
      <c r="V675" s="105"/>
    </row>
    <row r="676" spans="1:22" ht="13.5">
      <c r="A676" s="102">
        <v>45629.815382025467</v>
      </c>
      <c r="B676" s="103" t="s">
        <v>264</v>
      </c>
      <c r="C676" s="104" t="str">
        <f t="shared" si="99"/>
        <v>○</v>
      </c>
      <c r="D676" s="104" t="str">
        <f t="shared" si="99"/>
        <v>○</v>
      </c>
      <c r="E676" s="104" t="str">
        <f t="shared" si="99"/>
        <v>×</v>
      </c>
      <c r="F676" s="104" t="str">
        <f t="shared" si="99"/>
        <v>×</v>
      </c>
      <c r="G676" s="103" t="s">
        <v>13</v>
      </c>
      <c r="H676" s="103" t="s">
        <v>32</v>
      </c>
      <c r="I676" s="103" t="s">
        <v>1459</v>
      </c>
      <c r="J676" s="105"/>
      <c r="K676" s="103" t="s">
        <v>16</v>
      </c>
      <c r="L676" s="103" t="s">
        <v>29</v>
      </c>
      <c r="M676" s="108" t="str">
        <f t="shared" si="101"/>
        <v/>
      </c>
      <c r="N676" s="108" t="str">
        <f t="shared" si="101"/>
        <v/>
      </c>
      <c r="O676" s="108" t="str">
        <f t="shared" si="101"/>
        <v/>
      </c>
      <c r="P676" s="108" t="str">
        <f t="shared" si="101"/>
        <v/>
      </c>
      <c r="Q676" s="108" t="str">
        <f t="shared" si="101"/>
        <v/>
      </c>
      <c r="R676" s="103" t="str">
        <f t="shared" si="101"/>
        <v>○</v>
      </c>
      <c r="S676" s="105"/>
      <c r="T676" s="103" t="s">
        <v>30</v>
      </c>
      <c r="U676" s="103" t="s">
        <v>56</v>
      </c>
      <c r="V676" s="103" t="s">
        <v>1460</v>
      </c>
    </row>
    <row r="677" spans="1:22" ht="13.5">
      <c r="A677" s="102">
        <v>45629.82315225694</v>
      </c>
      <c r="B677" s="103" t="s">
        <v>181</v>
      </c>
      <c r="C677" s="104" t="str">
        <f t="shared" si="99"/>
        <v>×</v>
      </c>
      <c r="D677" s="104" t="str">
        <f t="shared" si="99"/>
        <v>○</v>
      </c>
      <c r="E677" s="104" t="str">
        <f t="shared" si="99"/>
        <v>×</v>
      </c>
      <c r="F677" s="104" t="str">
        <f t="shared" si="99"/>
        <v>×</v>
      </c>
      <c r="G677" s="103" t="s">
        <v>13</v>
      </c>
      <c r="H677" s="103" t="s">
        <v>32</v>
      </c>
      <c r="I677" s="103" t="s">
        <v>1461</v>
      </c>
      <c r="J677" s="105"/>
      <c r="K677" s="103" t="s">
        <v>34</v>
      </c>
      <c r="L677" s="105"/>
      <c r="M677" s="110" t="str">
        <f t="shared" si="101"/>
        <v/>
      </c>
      <c r="N677" s="110" t="str">
        <f t="shared" si="101"/>
        <v/>
      </c>
      <c r="O677" s="110" t="str">
        <f t="shared" si="101"/>
        <v/>
      </c>
      <c r="P677" s="110" t="str">
        <f t="shared" si="101"/>
        <v/>
      </c>
      <c r="Q677" s="110" t="str">
        <f t="shared" si="101"/>
        <v/>
      </c>
      <c r="R677" s="105" t="str">
        <f t="shared" si="101"/>
        <v/>
      </c>
      <c r="S677" s="105"/>
      <c r="T677" s="103" t="s">
        <v>30</v>
      </c>
      <c r="U677" s="103" t="s">
        <v>56</v>
      </c>
      <c r="V677" s="105"/>
    </row>
    <row r="678" spans="1:22" ht="13.5">
      <c r="A678" s="102">
        <v>45629.824595393518</v>
      </c>
      <c r="B678" s="103" t="s">
        <v>314</v>
      </c>
      <c r="C678" s="104" t="str">
        <f t="shared" si="99"/>
        <v>×</v>
      </c>
      <c r="D678" s="104" t="str">
        <f t="shared" si="99"/>
        <v>○</v>
      </c>
      <c r="E678" s="104" t="str">
        <f t="shared" si="99"/>
        <v>×</v>
      </c>
      <c r="F678" s="104" t="str">
        <f t="shared" si="99"/>
        <v>×</v>
      </c>
      <c r="G678" s="103" t="s">
        <v>20</v>
      </c>
      <c r="H678" s="105"/>
      <c r="I678" s="105"/>
      <c r="J678" s="103" t="s">
        <v>1466</v>
      </c>
      <c r="K678" s="103" t="s">
        <v>16</v>
      </c>
      <c r="L678" s="103" t="s">
        <v>88</v>
      </c>
      <c r="M678" s="108" t="str">
        <f t="shared" si="101"/>
        <v/>
      </c>
      <c r="N678" s="108" t="str">
        <f t="shared" si="101"/>
        <v>○</v>
      </c>
      <c r="O678" s="108" t="str">
        <f t="shared" si="101"/>
        <v/>
      </c>
      <c r="P678" s="108" t="str">
        <f t="shared" si="101"/>
        <v/>
      </c>
      <c r="Q678" s="108" t="str">
        <f t="shared" si="101"/>
        <v>○</v>
      </c>
      <c r="R678" s="103" t="str">
        <f t="shared" si="101"/>
        <v/>
      </c>
      <c r="S678" s="103" t="s">
        <v>1467</v>
      </c>
      <c r="T678" s="103" t="s">
        <v>30</v>
      </c>
      <c r="U678" s="103" t="s">
        <v>56</v>
      </c>
      <c r="V678" s="105"/>
    </row>
    <row r="679" spans="1:22" ht="13.5">
      <c r="A679" s="102">
        <v>45629.82550082176</v>
      </c>
      <c r="B679" s="103" t="s">
        <v>181</v>
      </c>
      <c r="C679" s="104" t="str">
        <f t="shared" si="99"/>
        <v>×</v>
      </c>
      <c r="D679" s="104" t="str">
        <f t="shared" si="99"/>
        <v>○</v>
      </c>
      <c r="E679" s="104" t="str">
        <f t="shared" si="99"/>
        <v>×</v>
      </c>
      <c r="F679" s="104" t="str">
        <f t="shared" si="99"/>
        <v>×</v>
      </c>
      <c r="G679" s="103" t="s">
        <v>13</v>
      </c>
      <c r="H679" s="103" t="s">
        <v>32</v>
      </c>
      <c r="I679" s="103" t="s">
        <v>1468</v>
      </c>
      <c r="J679" s="105"/>
      <c r="K679" s="103" t="s">
        <v>34</v>
      </c>
      <c r="L679" s="105"/>
      <c r="M679" s="110" t="str">
        <f t="shared" si="101"/>
        <v/>
      </c>
      <c r="N679" s="110" t="str">
        <f t="shared" si="101"/>
        <v/>
      </c>
      <c r="O679" s="110" t="str">
        <f t="shared" si="101"/>
        <v/>
      </c>
      <c r="P679" s="110" t="str">
        <f t="shared" si="101"/>
        <v/>
      </c>
      <c r="Q679" s="110" t="str">
        <f t="shared" si="101"/>
        <v/>
      </c>
      <c r="R679" s="105" t="str">
        <f t="shared" si="101"/>
        <v/>
      </c>
      <c r="S679" s="105"/>
      <c r="T679" s="103" t="s">
        <v>24</v>
      </c>
      <c r="U679" s="103" t="s">
        <v>56</v>
      </c>
      <c r="V679" s="103" t="s">
        <v>1469</v>
      </c>
    </row>
    <row r="680" spans="1:22" ht="13.5">
      <c r="A680" s="102">
        <v>45629.844446550924</v>
      </c>
      <c r="B680" s="103" t="s">
        <v>140</v>
      </c>
      <c r="C680" s="104" t="str">
        <f t="shared" si="99"/>
        <v>×</v>
      </c>
      <c r="D680" s="104" t="str">
        <f t="shared" si="99"/>
        <v>○</v>
      </c>
      <c r="E680" s="104" t="str">
        <f t="shared" si="99"/>
        <v>○</v>
      </c>
      <c r="F680" s="104" t="str">
        <f t="shared" si="99"/>
        <v>×</v>
      </c>
      <c r="G680" s="103" t="s">
        <v>13</v>
      </c>
      <c r="H680" s="103" t="s">
        <v>32</v>
      </c>
      <c r="I680" s="103" t="s">
        <v>1487</v>
      </c>
      <c r="J680" s="105"/>
      <c r="K680" s="103" t="s">
        <v>34</v>
      </c>
      <c r="L680" s="105"/>
      <c r="M680" s="110" t="str">
        <f t="shared" si="101"/>
        <v/>
      </c>
      <c r="N680" s="110" t="str">
        <f t="shared" si="101"/>
        <v/>
      </c>
      <c r="O680" s="110" t="str">
        <f t="shared" si="101"/>
        <v/>
      </c>
      <c r="P680" s="110" t="str">
        <f t="shared" si="101"/>
        <v/>
      </c>
      <c r="Q680" s="110" t="str">
        <f t="shared" si="101"/>
        <v/>
      </c>
      <c r="R680" s="105" t="str">
        <f t="shared" si="101"/>
        <v/>
      </c>
      <c r="S680" s="105"/>
      <c r="T680" s="103" t="s">
        <v>35</v>
      </c>
      <c r="U680" s="103" t="s">
        <v>56</v>
      </c>
      <c r="V680" s="105"/>
    </row>
    <row r="681" spans="1:22" ht="13.5">
      <c r="A681" s="102">
        <v>45629.847671377313</v>
      </c>
      <c r="B681" s="103" t="s">
        <v>49</v>
      </c>
      <c r="C681" s="104" t="str">
        <f t="shared" si="99"/>
        <v>×</v>
      </c>
      <c r="D681" s="104" t="str">
        <f t="shared" si="99"/>
        <v>○</v>
      </c>
      <c r="E681" s="104" t="str">
        <f t="shared" si="99"/>
        <v>×</v>
      </c>
      <c r="F681" s="104" t="str">
        <f t="shared" si="99"/>
        <v>×</v>
      </c>
      <c r="G681" s="103" t="s">
        <v>20</v>
      </c>
      <c r="H681" s="105"/>
      <c r="I681" s="105"/>
      <c r="J681" s="103" t="s">
        <v>38</v>
      </c>
      <c r="K681" s="103" t="s">
        <v>16</v>
      </c>
      <c r="L681" s="103" t="s">
        <v>39</v>
      </c>
      <c r="M681" s="108" t="str">
        <f t="shared" si="101"/>
        <v/>
      </c>
      <c r="N681" s="108" t="str">
        <f t="shared" si="101"/>
        <v>○</v>
      </c>
      <c r="O681" s="108" t="str">
        <f t="shared" si="101"/>
        <v/>
      </c>
      <c r="P681" s="108" t="str">
        <f t="shared" si="101"/>
        <v/>
      </c>
      <c r="Q681" s="108" t="str">
        <f t="shared" si="101"/>
        <v/>
      </c>
      <c r="R681" s="103" t="str">
        <f t="shared" si="101"/>
        <v/>
      </c>
      <c r="S681" s="105"/>
      <c r="T681" s="103" t="s">
        <v>30</v>
      </c>
      <c r="U681" s="103" t="s">
        <v>56</v>
      </c>
      <c r="V681" s="105"/>
    </row>
    <row r="682" spans="1:22" ht="13.5">
      <c r="A682" s="102">
        <v>45629.856157222224</v>
      </c>
      <c r="B682" s="103" t="s">
        <v>19</v>
      </c>
      <c r="C682" s="104" t="str">
        <f t="shared" ref="C682:F701" si="102">IF(ISERROR(FIND(C$1,$B682)),"×","○")</f>
        <v>×</v>
      </c>
      <c r="D682" s="104" t="str">
        <f t="shared" si="102"/>
        <v>○</v>
      </c>
      <c r="E682" s="104" t="str">
        <f t="shared" si="102"/>
        <v>×</v>
      </c>
      <c r="F682" s="104" t="str">
        <f t="shared" si="102"/>
        <v>×</v>
      </c>
      <c r="G682" s="103" t="s">
        <v>13</v>
      </c>
      <c r="H682" s="103" t="s">
        <v>27</v>
      </c>
      <c r="I682" s="103" t="s">
        <v>1493</v>
      </c>
      <c r="J682" s="105"/>
      <c r="K682" s="103" t="s">
        <v>34</v>
      </c>
      <c r="L682" s="105"/>
      <c r="M682" s="110" t="str">
        <f t="shared" ref="M682:R691" si="103">IF(ISERROR(SEARCH(M$1,$L682)),"","○")</f>
        <v/>
      </c>
      <c r="N682" s="110" t="str">
        <f t="shared" si="103"/>
        <v/>
      </c>
      <c r="O682" s="110" t="str">
        <f t="shared" si="103"/>
        <v/>
      </c>
      <c r="P682" s="110" t="str">
        <f t="shared" si="103"/>
        <v/>
      </c>
      <c r="Q682" s="110" t="str">
        <f t="shared" si="103"/>
        <v/>
      </c>
      <c r="R682" s="105" t="str">
        <f t="shared" si="103"/>
        <v/>
      </c>
      <c r="S682" s="105"/>
      <c r="T682" s="103" t="s">
        <v>35</v>
      </c>
      <c r="U682" s="103" t="s">
        <v>56</v>
      </c>
      <c r="V682" s="103" t="s">
        <v>1494</v>
      </c>
    </row>
    <row r="683" spans="1:22" ht="13.5">
      <c r="A683" s="102">
        <v>45629.86951866898</v>
      </c>
      <c r="B683" s="103" t="s">
        <v>49</v>
      </c>
      <c r="C683" s="104" t="str">
        <f t="shared" si="102"/>
        <v>×</v>
      </c>
      <c r="D683" s="104" t="str">
        <f t="shared" si="102"/>
        <v>○</v>
      </c>
      <c r="E683" s="104" t="str">
        <f t="shared" si="102"/>
        <v>×</v>
      </c>
      <c r="F683" s="104" t="str">
        <f t="shared" si="102"/>
        <v>×</v>
      </c>
      <c r="G683" s="103" t="s">
        <v>13</v>
      </c>
      <c r="H683" s="103" t="s">
        <v>27</v>
      </c>
      <c r="I683" s="103" t="s">
        <v>1503</v>
      </c>
      <c r="J683" s="105"/>
      <c r="K683" s="103" t="s">
        <v>16</v>
      </c>
      <c r="L683" s="103" t="s">
        <v>29</v>
      </c>
      <c r="M683" s="108" t="str">
        <f t="shared" si="103"/>
        <v/>
      </c>
      <c r="N683" s="108" t="str">
        <f t="shared" si="103"/>
        <v/>
      </c>
      <c r="O683" s="108" t="str">
        <f t="shared" si="103"/>
        <v/>
      </c>
      <c r="P683" s="108" t="str">
        <f t="shared" si="103"/>
        <v/>
      </c>
      <c r="Q683" s="108" t="str">
        <f t="shared" si="103"/>
        <v/>
      </c>
      <c r="R683" s="103" t="str">
        <f t="shared" si="103"/>
        <v>○</v>
      </c>
      <c r="S683" s="105"/>
      <c r="T683" s="103" t="s">
        <v>35</v>
      </c>
      <c r="U683" s="103" t="s">
        <v>56</v>
      </c>
      <c r="V683" s="105"/>
    </row>
    <row r="684" spans="1:22" ht="13.5">
      <c r="A684" s="102">
        <v>45629.871592210649</v>
      </c>
      <c r="B684" s="103" t="s">
        <v>164</v>
      </c>
      <c r="C684" s="104" t="str">
        <f t="shared" si="102"/>
        <v>×</v>
      </c>
      <c r="D684" s="104" t="str">
        <f t="shared" si="102"/>
        <v>○</v>
      </c>
      <c r="E684" s="104" t="str">
        <f t="shared" si="102"/>
        <v>×</v>
      </c>
      <c r="F684" s="104" t="str">
        <f t="shared" si="102"/>
        <v>×</v>
      </c>
      <c r="G684" s="103" t="s">
        <v>20</v>
      </c>
      <c r="H684" s="105"/>
      <c r="I684" s="105"/>
      <c r="J684" s="103" t="s">
        <v>38</v>
      </c>
      <c r="K684" s="103" t="s">
        <v>16</v>
      </c>
      <c r="L684" s="103" t="s">
        <v>88</v>
      </c>
      <c r="M684" s="108" t="str">
        <f t="shared" si="103"/>
        <v/>
      </c>
      <c r="N684" s="108" t="str">
        <f t="shared" si="103"/>
        <v>○</v>
      </c>
      <c r="O684" s="108" t="str">
        <f t="shared" si="103"/>
        <v/>
      </c>
      <c r="P684" s="108" t="str">
        <f t="shared" si="103"/>
        <v/>
      </c>
      <c r="Q684" s="108" t="str">
        <f t="shared" si="103"/>
        <v>○</v>
      </c>
      <c r="R684" s="103" t="str">
        <f t="shared" si="103"/>
        <v/>
      </c>
      <c r="S684" s="103" t="s">
        <v>1504</v>
      </c>
      <c r="T684" s="103" t="s">
        <v>24</v>
      </c>
      <c r="U684" s="103" t="s">
        <v>56</v>
      </c>
      <c r="V684" s="103" t="s">
        <v>1505</v>
      </c>
    </row>
    <row r="685" spans="1:22" ht="13.5">
      <c r="A685" s="102">
        <v>45629.889959942127</v>
      </c>
      <c r="B685" s="103" t="s">
        <v>499</v>
      </c>
      <c r="C685" s="104" t="str">
        <f t="shared" si="102"/>
        <v>×</v>
      </c>
      <c r="D685" s="104" t="str">
        <f t="shared" si="102"/>
        <v>○</v>
      </c>
      <c r="E685" s="104" t="str">
        <f t="shared" si="102"/>
        <v>○</v>
      </c>
      <c r="F685" s="104" t="str">
        <f t="shared" si="102"/>
        <v>○</v>
      </c>
      <c r="G685" s="103" t="s">
        <v>20</v>
      </c>
      <c r="H685" s="105"/>
      <c r="I685" s="105"/>
      <c r="J685" s="103" t="s">
        <v>58</v>
      </c>
      <c r="K685" s="103" t="s">
        <v>16</v>
      </c>
      <c r="L685" s="103" t="s">
        <v>88</v>
      </c>
      <c r="M685" s="108" t="str">
        <f t="shared" si="103"/>
        <v/>
      </c>
      <c r="N685" s="108" t="str">
        <f t="shared" si="103"/>
        <v>○</v>
      </c>
      <c r="O685" s="108" t="str">
        <f t="shared" si="103"/>
        <v/>
      </c>
      <c r="P685" s="108" t="str">
        <f t="shared" si="103"/>
        <v/>
      </c>
      <c r="Q685" s="108" t="str">
        <f t="shared" si="103"/>
        <v>○</v>
      </c>
      <c r="R685" s="103" t="str">
        <f t="shared" si="103"/>
        <v/>
      </c>
      <c r="S685" s="103" t="s">
        <v>1520</v>
      </c>
      <c r="T685" s="103" t="s">
        <v>30</v>
      </c>
      <c r="U685" s="103" t="s">
        <v>56</v>
      </c>
      <c r="V685" s="103" t="s">
        <v>1521</v>
      </c>
    </row>
    <row r="686" spans="1:22" ht="13.5">
      <c r="A686" s="102">
        <v>45629.893730173615</v>
      </c>
      <c r="B686" s="103" t="s">
        <v>1176</v>
      </c>
      <c r="C686" s="104" t="str">
        <f t="shared" si="102"/>
        <v>×</v>
      </c>
      <c r="D686" s="104" t="str">
        <f t="shared" si="102"/>
        <v>○</v>
      </c>
      <c r="E686" s="104" t="str">
        <f t="shared" si="102"/>
        <v>×</v>
      </c>
      <c r="F686" s="104" t="str">
        <f t="shared" si="102"/>
        <v>×</v>
      </c>
      <c r="G686" s="103" t="s">
        <v>20</v>
      </c>
      <c r="H686" s="105"/>
      <c r="I686" s="105"/>
      <c r="J686" s="103" t="s">
        <v>58</v>
      </c>
      <c r="K686" s="103" t="s">
        <v>16</v>
      </c>
      <c r="L686" s="103" t="s">
        <v>39</v>
      </c>
      <c r="M686" s="108" t="str">
        <f t="shared" si="103"/>
        <v/>
      </c>
      <c r="N686" s="108" t="str">
        <f t="shared" si="103"/>
        <v>○</v>
      </c>
      <c r="O686" s="108" t="str">
        <f t="shared" si="103"/>
        <v/>
      </c>
      <c r="P686" s="108" t="str">
        <f t="shared" si="103"/>
        <v/>
      </c>
      <c r="Q686" s="108" t="str">
        <f t="shared" si="103"/>
        <v/>
      </c>
      <c r="R686" s="103" t="str">
        <f t="shared" si="103"/>
        <v/>
      </c>
      <c r="S686" s="105"/>
      <c r="T686" s="103" t="s">
        <v>30</v>
      </c>
      <c r="U686" s="103" t="s">
        <v>56</v>
      </c>
      <c r="V686" s="105"/>
    </row>
    <row r="687" spans="1:22" ht="13.5">
      <c r="A687" s="102">
        <v>45629.927885381941</v>
      </c>
      <c r="B687" s="103" t="s">
        <v>12</v>
      </c>
      <c r="C687" s="104" t="str">
        <f t="shared" si="102"/>
        <v>○</v>
      </c>
      <c r="D687" s="104" t="str">
        <f t="shared" si="102"/>
        <v>○</v>
      </c>
      <c r="E687" s="104" t="str">
        <f t="shared" si="102"/>
        <v>×</v>
      </c>
      <c r="F687" s="104" t="str">
        <f t="shared" si="102"/>
        <v>×</v>
      </c>
      <c r="G687" s="103" t="s">
        <v>20</v>
      </c>
      <c r="H687" s="105"/>
      <c r="I687" s="105"/>
      <c r="J687" s="103" t="s">
        <v>38</v>
      </c>
      <c r="K687" s="103" t="s">
        <v>16</v>
      </c>
      <c r="L687" s="103" t="s">
        <v>59</v>
      </c>
      <c r="M687" s="108" t="str">
        <f t="shared" si="103"/>
        <v/>
      </c>
      <c r="N687" s="108" t="str">
        <f t="shared" si="103"/>
        <v/>
      </c>
      <c r="O687" s="108" t="str">
        <f t="shared" si="103"/>
        <v/>
      </c>
      <c r="P687" s="108" t="str">
        <f t="shared" si="103"/>
        <v>○</v>
      </c>
      <c r="Q687" s="108" t="str">
        <f t="shared" si="103"/>
        <v/>
      </c>
      <c r="R687" s="103" t="str">
        <f t="shared" si="103"/>
        <v/>
      </c>
      <c r="S687" s="103" t="s">
        <v>1548</v>
      </c>
      <c r="T687" s="103" t="s">
        <v>24</v>
      </c>
      <c r="U687" s="103" t="s">
        <v>56</v>
      </c>
      <c r="V687" s="103" t="s">
        <v>1549</v>
      </c>
    </row>
    <row r="688" spans="1:22" ht="13.5">
      <c r="A688" s="102">
        <v>45630.258543194446</v>
      </c>
      <c r="B688" s="103" t="s">
        <v>105</v>
      </c>
      <c r="C688" s="104" t="str">
        <f t="shared" si="102"/>
        <v>×</v>
      </c>
      <c r="D688" s="104" t="str">
        <f t="shared" si="102"/>
        <v>×</v>
      </c>
      <c r="E688" s="104" t="str">
        <f t="shared" si="102"/>
        <v>○</v>
      </c>
      <c r="F688" s="104" t="str">
        <f t="shared" si="102"/>
        <v>×</v>
      </c>
      <c r="G688" s="103" t="s">
        <v>13</v>
      </c>
      <c r="H688" s="103" t="s">
        <v>32</v>
      </c>
      <c r="I688" s="103" t="s">
        <v>1572</v>
      </c>
      <c r="J688" s="105"/>
      <c r="K688" s="103" t="s">
        <v>34</v>
      </c>
      <c r="L688" s="105"/>
      <c r="M688" s="110" t="str">
        <f t="shared" si="103"/>
        <v/>
      </c>
      <c r="N688" s="110" t="str">
        <f t="shared" si="103"/>
        <v/>
      </c>
      <c r="O688" s="110" t="str">
        <f t="shared" si="103"/>
        <v/>
      </c>
      <c r="P688" s="110" t="str">
        <f t="shared" si="103"/>
        <v/>
      </c>
      <c r="Q688" s="110" t="str">
        <f t="shared" si="103"/>
        <v/>
      </c>
      <c r="R688" s="105" t="str">
        <f t="shared" si="103"/>
        <v/>
      </c>
      <c r="S688" s="105"/>
      <c r="T688" s="103" t="s">
        <v>35</v>
      </c>
      <c r="U688" s="103" t="s">
        <v>56</v>
      </c>
      <c r="V688" s="105"/>
    </row>
    <row r="689" spans="1:22" ht="13.5">
      <c r="A689" s="102">
        <v>45630.274233090277</v>
      </c>
      <c r="B689" s="103" t="s">
        <v>1075</v>
      </c>
      <c r="C689" s="104" t="str">
        <f t="shared" si="102"/>
        <v>×</v>
      </c>
      <c r="D689" s="104" t="str">
        <f t="shared" si="102"/>
        <v>○</v>
      </c>
      <c r="E689" s="104" t="str">
        <f t="shared" si="102"/>
        <v>×</v>
      </c>
      <c r="F689" s="104" t="str">
        <f t="shared" si="102"/>
        <v>×</v>
      </c>
      <c r="G689" s="103" t="s">
        <v>13</v>
      </c>
      <c r="H689" s="103" t="s">
        <v>27</v>
      </c>
      <c r="I689" s="103" t="s">
        <v>162</v>
      </c>
      <c r="J689" s="105"/>
      <c r="K689" s="103" t="s">
        <v>34</v>
      </c>
      <c r="L689" s="105"/>
      <c r="M689" s="110" t="str">
        <f t="shared" si="103"/>
        <v/>
      </c>
      <c r="N689" s="110" t="str">
        <f t="shared" si="103"/>
        <v/>
      </c>
      <c r="O689" s="110" t="str">
        <f t="shared" si="103"/>
        <v/>
      </c>
      <c r="P689" s="110" t="str">
        <f t="shared" si="103"/>
        <v/>
      </c>
      <c r="Q689" s="110" t="str">
        <f t="shared" si="103"/>
        <v/>
      </c>
      <c r="R689" s="105" t="str">
        <f t="shared" si="103"/>
        <v/>
      </c>
      <c r="S689" s="105"/>
      <c r="T689" s="103" t="s">
        <v>30</v>
      </c>
      <c r="U689" s="103" t="s">
        <v>56</v>
      </c>
      <c r="V689" s="103" t="s">
        <v>1579</v>
      </c>
    </row>
    <row r="690" spans="1:22" ht="13.5">
      <c r="A690" s="102">
        <v>45630.27923078704</v>
      </c>
      <c r="B690" s="103" t="s">
        <v>93</v>
      </c>
      <c r="C690" s="104" t="str">
        <f t="shared" si="102"/>
        <v>×</v>
      </c>
      <c r="D690" s="104" t="str">
        <f t="shared" si="102"/>
        <v>×</v>
      </c>
      <c r="E690" s="104" t="str">
        <f t="shared" si="102"/>
        <v>○</v>
      </c>
      <c r="F690" s="104" t="str">
        <f t="shared" si="102"/>
        <v>×</v>
      </c>
      <c r="G690" s="103" t="s">
        <v>20</v>
      </c>
      <c r="H690" s="105"/>
      <c r="I690" s="105"/>
      <c r="J690" s="103" t="s">
        <v>58</v>
      </c>
      <c r="K690" s="103" t="s">
        <v>16</v>
      </c>
      <c r="L690" s="103" t="s">
        <v>255</v>
      </c>
      <c r="M690" s="108" t="str">
        <f t="shared" si="103"/>
        <v/>
      </c>
      <c r="N690" s="108" t="str">
        <f t="shared" si="103"/>
        <v>○</v>
      </c>
      <c r="O690" s="108" t="str">
        <f t="shared" si="103"/>
        <v/>
      </c>
      <c r="P690" s="108" t="str">
        <f t="shared" si="103"/>
        <v>○</v>
      </c>
      <c r="Q690" s="108" t="str">
        <f t="shared" si="103"/>
        <v/>
      </c>
      <c r="R690" s="103" t="str">
        <f t="shared" si="103"/>
        <v/>
      </c>
      <c r="S690" s="103" t="s">
        <v>1582</v>
      </c>
      <c r="T690" s="103" t="s">
        <v>24</v>
      </c>
      <c r="U690" s="103" t="s">
        <v>56</v>
      </c>
      <c r="V690" s="105"/>
    </row>
    <row r="691" spans="1:22" ht="13.5">
      <c r="A691" s="102">
        <v>45630.286807939818</v>
      </c>
      <c r="B691" s="103" t="s">
        <v>84</v>
      </c>
      <c r="C691" s="104" t="str">
        <f t="shared" si="102"/>
        <v>×</v>
      </c>
      <c r="D691" s="104" t="str">
        <f t="shared" si="102"/>
        <v>×</v>
      </c>
      <c r="E691" s="104" t="str">
        <f t="shared" si="102"/>
        <v>○</v>
      </c>
      <c r="F691" s="104" t="str">
        <f t="shared" si="102"/>
        <v>×</v>
      </c>
      <c r="G691" s="103" t="s">
        <v>20</v>
      </c>
      <c r="H691" s="105"/>
      <c r="I691" s="105"/>
      <c r="J691" s="103" t="s">
        <v>58</v>
      </c>
      <c r="K691" s="103" t="s">
        <v>16</v>
      </c>
      <c r="L691" s="103" t="s">
        <v>39</v>
      </c>
      <c r="M691" s="108" t="str">
        <f t="shared" si="103"/>
        <v/>
      </c>
      <c r="N691" s="108" t="str">
        <f t="shared" si="103"/>
        <v>○</v>
      </c>
      <c r="O691" s="108" t="str">
        <f t="shared" si="103"/>
        <v/>
      </c>
      <c r="P691" s="108" t="str">
        <f t="shared" si="103"/>
        <v/>
      </c>
      <c r="Q691" s="108" t="str">
        <f t="shared" si="103"/>
        <v/>
      </c>
      <c r="R691" s="103" t="str">
        <f t="shared" si="103"/>
        <v/>
      </c>
      <c r="S691" s="105"/>
      <c r="T691" s="103" t="s">
        <v>61</v>
      </c>
      <c r="U691" s="103" t="s">
        <v>56</v>
      </c>
      <c r="V691" s="103" t="s">
        <v>1585</v>
      </c>
    </row>
    <row r="692" spans="1:22" ht="13.5">
      <c r="A692" s="102">
        <v>45630.301124386577</v>
      </c>
      <c r="B692" s="103" t="s">
        <v>19</v>
      </c>
      <c r="C692" s="104" t="str">
        <f t="shared" si="102"/>
        <v>×</v>
      </c>
      <c r="D692" s="104" t="str">
        <f t="shared" si="102"/>
        <v>○</v>
      </c>
      <c r="E692" s="104" t="str">
        <f t="shared" si="102"/>
        <v>×</v>
      </c>
      <c r="F692" s="104" t="str">
        <f t="shared" si="102"/>
        <v>×</v>
      </c>
      <c r="G692" s="103" t="s">
        <v>20</v>
      </c>
      <c r="H692" s="105"/>
      <c r="I692" s="105"/>
      <c r="J692" s="103" t="s">
        <v>58</v>
      </c>
      <c r="K692" s="103" t="s">
        <v>16</v>
      </c>
      <c r="L692" s="103" t="s">
        <v>39</v>
      </c>
      <c r="M692" s="108" t="str">
        <f t="shared" ref="M692:R701" si="104">IF(ISERROR(SEARCH(M$1,$L692)),"","○")</f>
        <v/>
      </c>
      <c r="N692" s="108" t="str">
        <f t="shared" si="104"/>
        <v>○</v>
      </c>
      <c r="O692" s="108" t="str">
        <f t="shared" si="104"/>
        <v/>
      </c>
      <c r="P692" s="108" t="str">
        <f t="shared" si="104"/>
        <v/>
      </c>
      <c r="Q692" s="108" t="str">
        <f t="shared" si="104"/>
        <v/>
      </c>
      <c r="R692" s="103" t="str">
        <f t="shared" si="104"/>
        <v/>
      </c>
      <c r="S692" s="105"/>
      <c r="T692" s="103" t="s">
        <v>30</v>
      </c>
      <c r="U692" s="103" t="s">
        <v>56</v>
      </c>
      <c r="V692" s="105"/>
    </row>
    <row r="693" spans="1:22" ht="13.5">
      <c r="A693" s="102">
        <v>45630.30856164352</v>
      </c>
      <c r="B693" s="103" t="s">
        <v>649</v>
      </c>
      <c r="C693" s="104" t="str">
        <f t="shared" si="102"/>
        <v>×</v>
      </c>
      <c r="D693" s="104" t="str">
        <f t="shared" si="102"/>
        <v>○</v>
      </c>
      <c r="E693" s="104" t="str">
        <f t="shared" si="102"/>
        <v>○</v>
      </c>
      <c r="F693" s="104" t="str">
        <f t="shared" si="102"/>
        <v>×</v>
      </c>
      <c r="G693" s="103" t="s">
        <v>20</v>
      </c>
      <c r="H693" s="105"/>
      <c r="I693" s="105"/>
      <c r="J693" s="103" t="s">
        <v>58</v>
      </c>
      <c r="K693" s="103" t="s">
        <v>16</v>
      </c>
      <c r="L693" s="103" t="s">
        <v>1586</v>
      </c>
      <c r="M693" s="108" t="str">
        <f t="shared" si="104"/>
        <v/>
      </c>
      <c r="N693" s="108" t="str">
        <f t="shared" si="104"/>
        <v/>
      </c>
      <c r="O693" s="108" t="str">
        <f t="shared" si="104"/>
        <v/>
      </c>
      <c r="P693" s="108" t="str">
        <f t="shared" si="104"/>
        <v/>
      </c>
      <c r="Q693" s="108" t="str">
        <f t="shared" si="104"/>
        <v/>
      </c>
      <c r="R693" s="103" t="str">
        <f t="shared" si="104"/>
        <v/>
      </c>
      <c r="S693" s="105"/>
      <c r="T693" s="103" t="s">
        <v>30</v>
      </c>
      <c r="U693" s="103" t="s">
        <v>56</v>
      </c>
      <c r="V693" s="103" t="s">
        <v>1587</v>
      </c>
    </row>
    <row r="694" spans="1:22" ht="13.5">
      <c r="A694" s="102">
        <v>45630.327533321761</v>
      </c>
      <c r="B694" s="103" t="s">
        <v>90</v>
      </c>
      <c r="C694" s="104" t="str">
        <f t="shared" si="102"/>
        <v>×</v>
      </c>
      <c r="D694" s="104" t="str">
        <f t="shared" si="102"/>
        <v>×</v>
      </c>
      <c r="E694" s="104" t="str">
        <f t="shared" si="102"/>
        <v>○</v>
      </c>
      <c r="F694" s="104" t="str">
        <f t="shared" si="102"/>
        <v>×</v>
      </c>
      <c r="G694" s="103" t="s">
        <v>20</v>
      </c>
      <c r="H694" s="105"/>
      <c r="I694" s="105"/>
      <c r="J694" s="103" t="s">
        <v>21</v>
      </c>
      <c r="K694" s="103" t="s">
        <v>16</v>
      </c>
      <c r="L694" s="103" t="s">
        <v>39</v>
      </c>
      <c r="M694" s="108" t="str">
        <f t="shared" si="104"/>
        <v/>
      </c>
      <c r="N694" s="108" t="str">
        <f t="shared" si="104"/>
        <v>○</v>
      </c>
      <c r="O694" s="108" t="str">
        <f t="shared" si="104"/>
        <v/>
      </c>
      <c r="P694" s="108" t="str">
        <f t="shared" si="104"/>
        <v/>
      </c>
      <c r="Q694" s="108" t="str">
        <f t="shared" si="104"/>
        <v/>
      </c>
      <c r="R694" s="103" t="str">
        <f t="shared" si="104"/>
        <v/>
      </c>
      <c r="S694" s="105"/>
      <c r="T694" s="103" t="s">
        <v>30</v>
      </c>
      <c r="U694" s="103" t="s">
        <v>56</v>
      </c>
      <c r="V694" s="105"/>
    </row>
    <row r="695" spans="1:22" ht="13.5">
      <c r="A695" s="102">
        <v>45630.334308043981</v>
      </c>
      <c r="B695" s="103" t="s">
        <v>57</v>
      </c>
      <c r="C695" s="104" t="str">
        <f t="shared" si="102"/>
        <v>×</v>
      </c>
      <c r="D695" s="104" t="str">
        <f t="shared" si="102"/>
        <v>○</v>
      </c>
      <c r="E695" s="104" t="str">
        <f t="shared" si="102"/>
        <v>×</v>
      </c>
      <c r="F695" s="104" t="str">
        <f t="shared" si="102"/>
        <v>×</v>
      </c>
      <c r="G695" s="103" t="s">
        <v>13</v>
      </c>
      <c r="H695" s="103" t="s">
        <v>32</v>
      </c>
      <c r="I695" s="103" t="s">
        <v>1596</v>
      </c>
      <c r="J695" s="105"/>
      <c r="K695" s="103" t="s">
        <v>16</v>
      </c>
      <c r="L695" s="103" t="s">
        <v>1597</v>
      </c>
      <c r="M695" s="108" t="str">
        <f t="shared" si="104"/>
        <v/>
      </c>
      <c r="N695" s="108" t="str">
        <f t="shared" si="104"/>
        <v>○</v>
      </c>
      <c r="O695" s="108" t="str">
        <f t="shared" si="104"/>
        <v>○</v>
      </c>
      <c r="P695" s="108" t="str">
        <f t="shared" si="104"/>
        <v/>
      </c>
      <c r="Q695" s="108" t="str">
        <f t="shared" si="104"/>
        <v>○</v>
      </c>
      <c r="R695" s="103" t="str">
        <f t="shared" si="104"/>
        <v/>
      </c>
      <c r="S695" s="103" t="s">
        <v>1598</v>
      </c>
      <c r="T695" s="103" t="s">
        <v>1599</v>
      </c>
      <c r="U695" s="103" t="s">
        <v>56</v>
      </c>
      <c r="V695" s="103" t="s">
        <v>1600</v>
      </c>
    </row>
    <row r="696" spans="1:22" ht="13.5">
      <c r="A696" s="102">
        <v>45630.342193738426</v>
      </c>
      <c r="B696" s="103" t="s">
        <v>164</v>
      </c>
      <c r="C696" s="104" t="str">
        <f t="shared" si="102"/>
        <v>×</v>
      </c>
      <c r="D696" s="104" t="str">
        <f t="shared" si="102"/>
        <v>○</v>
      </c>
      <c r="E696" s="104" t="str">
        <f t="shared" si="102"/>
        <v>×</v>
      </c>
      <c r="F696" s="104" t="str">
        <f t="shared" si="102"/>
        <v>×</v>
      </c>
      <c r="G696" s="103" t="s">
        <v>13</v>
      </c>
      <c r="H696" s="103" t="s">
        <v>14</v>
      </c>
      <c r="I696" s="103" t="s">
        <v>1601</v>
      </c>
      <c r="J696" s="105"/>
      <c r="K696" s="103" t="s">
        <v>16</v>
      </c>
      <c r="L696" s="103" t="s">
        <v>39</v>
      </c>
      <c r="M696" s="108" t="str">
        <f t="shared" si="104"/>
        <v/>
      </c>
      <c r="N696" s="108" t="str">
        <f t="shared" si="104"/>
        <v>○</v>
      </c>
      <c r="O696" s="108" t="str">
        <f t="shared" si="104"/>
        <v/>
      </c>
      <c r="P696" s="108" t="str">
        <f t="shared" si="104"/>
        <v/>
      </c>
      <c r="Q696" s="108" t="str">
        <f t="shared" si="104"/>
        <v/>
      </c>
      <c r="R696" s="103" t="str">
        <f t="shared" si="104"/>
        <v/>
      </c>
      <c r="S696" s="105"/>
      <c r="T696" s="103" t="s">
        <v>61</v>
      </c>
      <c r="U696" s="103" t="s">
        <v>56</v>
      </c>
      <c r="V696" s="103" t="s">
        <v>1602</v>
      </c>
    </row>
    <row r="697" spans="1:22" ht="13.5">
      <c r="A697" s="102">
        <v>45630.407071875001</v>
      </c>
      <c r="B697" s="103" t="s">
        <v>84</v>
      </c>
      <c r="C697" s="104" t="str">
        <f t="shared" si="102"/>
        <v>×</v>
      </c>
      <c r="D697" s="104" t="str">
        <f t="shared" si="102"/>
        <v>×</v>
      </c>
      <c r="E697" s="104" t="str">
        <f t="shared" si="102"/>
        <v>○</v>
      </c>
      <c r="F697" s="104" t="str">
        <f t="shared" si="102"/>
        <v>×</v>
      </c>
      <c r="G697" s="103" t="s">
        <v>13</v>
      </c>
      <c r="H697" s="103" t="s">
        <v>77</v>
      </c>
      <c r="I697" s="103" t="s">
        <v>1614</v>
      </c>
      <c r="J697" s="105"/>
      <c r="K697" s="103" t="s">
        <v>34</v>
      </c>
      <c r="L697" s="105"/>
      <c r="M697" s="110" t="str">
        <f t="shared" si="104"/>
        <v/>
      </c>
      <c r="N697" s="110" t="str">
        <f t="shared" si="104"/>
        <v/>
      </c>
      <c r="O697" s="110" t="str">
        <f t="shared" si="104"/>
        <v/>
      </c>
      <c r="P697" s="110" t="str">
        <f t="shared" si="104"/>
        <v/>
      </c>
      <c r="Q697" s="110" t="str">
        <f t="shared" si="104"/>
        <v/>
      </c>
      <c r="R697" s="105" t="str">
        <f t="shared" si="104"/>
        <v/>
      </c>
      <c r="S697" s="105"/>
      <c r="T697" s="103" t="s">
        <v>30</v>
      </c>
      <c r="U697" s="103" t="s">
        <v>56</v>
      </c>
      <c r="V697" s="103" t="s">
        <v>1615</v>
      </c>
    </row>
    <row r="698" spans="1:22" ht="13.5">
      <c r="A698" s="102">
        <v>45630.416755717597</v>
      </c>
      <c r="B698" s="103" t="s">
        <v>57</v>
      </c>
      <c r="C698" s="104" t="str">
        <f t="shared" si="102"/>
        <v>×</v>
      </c>
      <c r="D698" s="104" t="str">
        <f t="shared" si="102"/>
        <v>○</v>
      </c>
      <c r="E698" s="104" t="str">
        <f t="shared" si="102"/>
        <v>×</v>
      </c>
      <c r="F698" s="104" t="str">
        <f t="shared" si="102"/>
        <v>×</v>
      </c>
      <c r="G698" s="103" t="s">
        <v>13</v>
      </c>
      <c r="H698" s="103" t="s">
        <v>27</v>
      </c>
      <c r="I698" s="103" t="s">
        <v>1616</v>
      </c>
      <c r="J698" s="105"/>
      <c r="K698" s="103" t="s">
        <v>34</v>
      </c>
      <c r="L698" s="105"/>
      <c r="M698" s="110" t="str">
        <f t="shared" si="104"/>
        <v/>
      </c>
      <c r="N698" s="110" t="str">
        <f t="shared" si="104"/>
        <v/>
      </c>
      <c r="O698" s="110" t="str">
        <f t="shared" si="104"/>
        <v/>
      </c>
      <c r="P698" s="110" t="str">
        <f t="shared" si="104"/>
        <v/>
      </c>
      <c r="Q698" s="110" t="str">
        <f t="shared" si="104"/>
        <v/>
      </c>
      <c r="R698" s="105" t="str">
        <f t="shared" si="104"/>
        <v/>
      </c>
      <c r="S698" s="105"/>
      <c r="T698" s="103" t="s">
        <v>30</v>
      </c>
      <c r="U698" s="103" t="s">
        <v>56</v>
      </c>
      <c r="V698" s="105"/>
    </row>
    <row r="699" spans="1:22" ht="13.5">
      <c r="A699" s="102">
        <v>45630.634794247686</v>
      </c>
      <c r="B699" s="103" t="s">
        <v>105</v>
      </c>
      <c r="C699" s="104" t="str">
        <f t="shared" si="102"/>
        <v>×</v>
      </c>
      <c r="D699" s="104" t="str">
        <f t="shared" si="102"/>
        <v>×</v>
      </c>
      <c r="E699" s="104" t="str">
        <f t="shared" si="102"/>
        <v>○</v>
      </c>
      <c r="F699" s="104" t="str">
        <f t="shared" si="102"/>
        <v>×</v>
      </c>
      <c r="G699" s="103" t="s">
        <v>20</v>
      </c>
      <c r="H699" s="105"/>
      <c r="I699" s="105"/>
      <c r="J699" s="103" t="s">
        <v>58</v>
      </c>
      <c r="K699" s="103" t="s">
        <v>16</v>
      </c>
      <c r="L699" s="103" t="s">
        <v>59</v>
      </c>
      <c r="M699" s="108" t="str">
        <f t="shared" si="104"/>
        <v/>
      </c>
      <c r="N699" s="108" t="str">
        <f t="shared" si="104"/>
        <v/>
      </c>
      <c r="O699" s="108" t="str">
        <f t="shared" si="104"/>
        <v/>
      </c>
      <c r="P699" s="108" t="str">
        <f t="shared" si="104"/>
        <v>○</v>
      </c>
      <c r="Q699" s="108" t="str">
        <f t="shared" si="104"/>
        <v/>
      </c>
      <c r="R699" s="103" t="str">
        <f t="shared" si="104"/>
        <v/>
      </c>
      <c r="S699" s="103" t="s">
        <v>1629</v>
      </c>
      <c r="T699" s="103" t="s">
        <v>30</v>
      </c>
      <c r="U699" s="103" t="s">
        <v>56</v>
      </c>
      <c r="V699" s="105"/>
    </row>
    <row r="700" spans="1:22" ht="13.5">
      <c r="A700" s="102">
        <v>45630.771027974537</v>
      </c>
      <c r="B700" s="103" t="s">
        <v>181</v>
      </c>
      <c r="C700" s="104" t="str">
        <f t="shared" si="102"/>
        <v>×</v>
      </c>
      <c r="D700" s="104" t="str">
        <f t="shared" si="102"/>
        <v>○</v>
      </c>
      <c r="E700" s="104" t="str">
        <f t="shared" si="102"/>
        <v>×</v>
      </c>
      <c r="F700" s="104" t="str">
        <f t="shared" si="102"/>
        <v>×</v>
      </c>
      <c r="G700" s="103" t="s">
        <v>20</v>
      </c>
      <c r="H700" s="105"/>
      <c r="I700" s="105"/>
      <c r="J700" s="103" t="s">
        <v>58</v>
      </c>
      <c r="K700" s="103" t="s">
        <v>16</v>
      </c>
      <c r="L700" s="103" t="s">
        <v>39</v>
      </c>
      <c r="M700" s="108" t="str">
        <f t="shared" si="104"/>
        <v/>
      </c>
      <c r="N700" s="108" t="str">
        <f t="shared" si="104"/>
        <v>○</v>
      </c>
      <c r="O700" s="108" t="str">
        <f t="shared" si="104"/>
        <v/>
      </c>
      <c r="P700" s="108" t="str">
        <f t="shared" si="104"/>
        <v/>
      </c>
      <c r="Q700" s="108" t="str">
        <f t="shared" si="104"/>
        <v/>
      </c>
      <c r="R700" s="103" t="str">
        <f t="shared" si="104"/>
        <v/>
      </c>
      <c r="S700" s="105"/>
      <c r="T700" s="103" t="s">
        <v>30</v>
      </c>
      <c r="U700" s="103" t="s">
        <v>56</v>
      </c>
      <c r="V700" s="105"/>
    </row>
    <row r="701" spans="1:22" ht="13.5">
      <c r="A701" s="102">
        <v>45630.771611145829</v>
      </c>
      <c r="B701" s="103" t="s">
        <v>93</v>
      </c>
      <c r="C701" s="104" t="str">
        <f t="shared" si="102"/>
        <v>×</v>
      </c>
      <c r="D701" s="104" t="str">
        <f t="shared" si="102"/>
        <v>×</v>
      </c>
      <c r="E701" s="104" t="str">
        <f t="shared" si="102"/>
        <v>○</v>
      </c>
      <c r="F701" s="104" t="str">
        <f t="shared" si="102"/>
        <v>×</v>
      </c>
      <c r="G701" s="103" t="s">
        <v>20</v>
      </c>
      <c r="H701" s="105"/>
      <c r="I701" s="105"/>
      <c r="J701" s="103" t="s">
        <v>58</v>
      </c>
      <c r="K701" s="103" t="s">
        <v>16</v>
      </c>
      <c r="L701" s="103" t="s">
        <v>39</v>
      </c>
      <c r="M701" s="108" t="str">
        <f t="shared" si="104"/>
        <v/>
      </c>
      <c r="N701" s="108" t="str">
        <f t="shared" si="104"/>
        <v>○</v>
      </c>
      <c r="O701" s="108" t="str">
        <f t="shared" si="104"/>
        <v/>
      </c>
      <c r="P701" s="108" t="str">
        <f t="shared" si="104"/>
        <v/>
      </c>
      <c r="Q701" s="108" t="str">
        <f t="shared" si="104"/>
        <v/>
      </c>
      <c r="R701" s="103" t="str">
        <f t="shared" si="104"/>
        <v/>
      </c>
      <c r="S701" s="105"/>
      <c r="T701" s="103" t="s">
        <v>30</v>
      </c>
      <c r="U701" s="103" t="s">
        <v>56</v>
      </c>
      <c r="V701" s="105"/>
    </row>
    <row r="702" spans="1:22" ht="13.5">
      <c r="A702" s="102">
        <v>45630.77436142361</v>
      </c>
      <c r="B702" s="103" t="s">
        <v>389</v>
      </c>
      <c r="C702" s="104" t="str">
        <f t="shared" ref="C702:F721" si="105">IF(ISERROR(FIND(C$1,$B702)),"×","○")</f>
        <v>×</v>
      </c>
      <c r="D702" s="104" t="str">
        <f t="shared" si="105"/>
        <v>○</v>
      </c>
      <c r="E702" s="104" t="str">
        <f t="shared" si="105"/>
        <v>×</v>
      </c>
      <c r="F702" s="104" t="str">
        <f t="shared" si="105"/>
        <v>×</v>
      </c>
      <c r="G702" s="103" t="s">
        <v>20</v>
      </c>
      <c r="H702" s="105"/>
      <c r="I702" s="105"/>
      <c r="J702" s="103" t="s">
        <v>58</v>
      </c>
      <c r="K702" s="103" t="s">
        <v>16</v>
      </c>
      <c r="L702" s="103" t="s">
        <v>68</v>
      </c>
      <c r="M702" s="108" t="str">
        <f t="shared" ref="M702:R711" si="106">IF(ISERROR(SEARCH(M$1,$L702)),"","○")</f>
        <v/>
      </c>
      <c r="N702" s="108" t="str">
        <f t="shared" si="106"/>
        <v/>
      </c>
      <c r="O702" s="108" t="str">
        <f t="shared" si="106"/>
        <v/>
      </c>
      <c r="P702" s="108" t="str">
        <f t="shared" si="106"/>
        <v/>
      </c>
      <c r="Q702" s="108" t="str">
        <f t="shared" si="106"/>
        <v>○</v>
      </c>
      <c r="R702" s="103" t="str">
        <f t="shared" si="106"/>
        <v/>
      </c>
      <c r="S702" s="103" t="s">
        <v>1654</v>
      </c>
      <c r="T702" s="103" t="s">
        <v>30</v>
      </c>
      <c r="U702" s="103" t="s">
        <v>56</v>
      </c>
      <c r="V702" s="105"/>
    </row>
    <row r="703" spans="1:22" ht="13.5">
      <c r="A703" s="102">
        <v>45630.775807858794</v>
      </c>
      <c r="B703" s="103" t="s">
        <v>41</v>
      </c>
      <c r="C703" s="104" t="str">
        <f t="shared" si="105"/>
        <v>×</v>
      </c>
      <c r="D703" s="104" t="str">
        <f t="shared" si="105"/>
        <v>○</v>
      </c>
      <c r="E703" s="104" t="str">
        <f t="shared" si="105"/>
        <v>×</v>
      </c>
      <c r="F703" s="104" t="str">
        <f t="shared" si="105"/>
        <v>×</v>
      </c>
      <c r="G703" s="103" t="s">
        <v>20</v>
      </c>
      <c r="H703" s="105"/>
      <c r="I703" s="105"/>
      <c r="J703" s="103" t="s">
        <v>21</v>
      </c>
      <c r="K703" s="103" t="s">
        <v>16</v>
      </c>
      <c r="L703" s="103" t="s">
        <v>355</v>
      </c>
      <c r="M703" s="108" t="str">
        <f t="shared" si="106"/>
        <v/>
      </c>
      <c r="N703" s="108" t="str">
        <f t="shared" si="106"/>
        <v>○</v>
      </c>
      <c r="O703" s="108" t="str">
        <f t="shared" si="106"/>
        <v/>
      </c>
      <c r="P703" s="108" t="str">
        <f t="shared" si="106"/>
        <v>○</v>
      </c>
      <c r="Q703" s="108" t="str">
        <f t="shared" si="106"/>
        <v>○</v>
      </c>
      <c r="R703" s="103" t="str">
        <f t="shared" si="106"/>
        <v/>
      </c>
      <c r="S703" s="105"/>
      <c r="T703" s="103" t="s">
        <v>30</v>
      </c>
      <c r="U703" s="103" t="s">
        <v>56</v>
      </c>
      <c r="V703" s="105"/>
    </row>
    <row r="704" spans="1:22" ht="13.5">
      <c r="A704" s="102">
        <v>45630.797925162042</v>
      </c>
      <c r="B704" s="103" t="s">
        <v>888</v>
      </c>
      <c r="C704" s="104" t="str">
        <f t="shared" si="105"/>
        <v>○</v>
      </c>
      <c r="D704" s="104" t="str">
        <f t="shared" si="105"/>
        <v>×</v>
      </c>
      <c r="E704" s="104" t="str">
        <f t="shared" si="105"/>
        <v>○</v>
      </c>
      <c r="F704" s="104" t="str">
        <f t="shared" si="105"/>
        <v>×</v>
      </c>
      <c r="G704" s="103" t="s">
        <v>20</v>
      </c>
      <c r="H704" s="105"/>
      <c r="I704" s="105"/>
      <c r="J704" s="103" t="s">
        <v>118</v>
      </c>
      <c r="K704" s="103" t="s">
        <v>16</v>
      </c>
      <c r="L704" s="103" t="s">
        <v>59</v>
      </c>
      <c r="M704" s="108" t="str">
        <f t="shared" si="106"/>
        <v/>
      </c>
      <c r="N704" s="108" t="str">
        <f t="shared" si="106"/>
        <v/>
      </c>
      <c r="O704" s="108" t="str">
        <f t="shared" si="106"/>
        <v/>
      </c>
      <c r="P704" s="108" t="str">
        <f t="shared" si="106"/>
        <v>○</v>
      </c>
      <c r="Q704" s="108" t="str">
        <f t="shared" si="106"/>
        <v/>
      </c>
      <c r="R704" s="103" t="str">
        <f t="shared" si="106"/>
        <v/>
      </c>
      <c r="S704" s="103" t="s">
        <v>1659</v>
      </c>
      <c r="T704" s="103" t="s">
        <v>24</v>
      </c>
      <c r="U704" s="103" t="s">
        <v>56</v>
      </c>
      <c r="V704" s="103" t="s">
        <v>1660</v>
      </c>
    </row>
    <row r="705" spans="1:22" ht="13.5">
      <c r="A705" s="102">
        <v>45630.802794513889</v>
      </c>
      <c r="B705" s="103" t="s">
        <v>649</v>
      </c>
      <c r="C705" s="104" t="str">
        <f t="shared" si="105"/>
        <v>×</v>
      </c>
      <c r="D705" s="104" t="str">
        <f t="shared" si="105"/>
        <v>○</v>
      </c>
      <c r="E705" s="104" t="str">
        <f t="shared" si="105"/>
        <v>○</v>
      </c>
      <c r="F705" s="104" t="str">
        <f t="shared" si="105"/>
        <v>×</v>
      </c>
      <c r="G705" s="103" t="s">
        <v>13</v>
      </c>
      <c r="H705" s="103" t="s">
        <v>27</v>
      </c>
      <c r="I705" s="103" t="s">
        <v>1666</v>
      </c>
      <c r="J705" s="105"/>
      <c r="K705" s="103" t="s">
        <v>34</v>
      </c>
      <c r="L705" s="105"/>
      <c r="M705" s="110" t="str">
        <f t="shared" si="106"/>
        <v/>
      </c>
      <c r="N705" s="110" t="str">
        <f t="shared" si="106"/>
        <v/>
      </c>
      <c r="O705" s="110" t="str">
        <f t="shared" si="106"/>
        <v/>
      </c>
      <c r="P705" s="110" t="str">
        <f t="shared" si="106"/>
        <v/>
      </c>
      <c r="Q705" s="110" t="str">
        <f t="shared" si="106"/>
        <v/>
      </c>
      <c r="R705" s="105" t="str">
        <f t="shared" si="106"/>
        <v/>
      </c>
      <c r="S705" s="105"/>
      <c r="T705" s="103" t="s">
        <v>24</v>
      </c>
      <c r="U705" s="103" t="s">
        <v>56</v>
      </c>
      <c r="V705" s="103" t="s">
        <v>1667</v>
      </c>
    </row>
    <row r="706" spans="1:22" ht="13.5">
      <c r="A706" s="102">
        <v>45630.833611226852</v>
      </c>
      <c r="B706" s="103" t="s">
        <v>49</v>
      </c>
      <c r="C706" s="104" t="str">
        <f t="shared" si="105"/>
        <v>×</v>
      </c>
      <c r="D706" s="104" t="str">
        <f t="shared" si="105"/>
        <v>○</v>
      </c>
      <c r="E706" s="104" t="str">
        <f t="shared" si="105"/>
        <v>×</v>
      </c>
      <c r="F706" s="104" t="str">
        <f t="shared" si="105"/>
        <v>×</v>
      </c>
      <c r="G706" s="103" t="s">
        <v>20</v>
      </c>
      <c r="H706" s="105"/>
      <c r="I706" s="105"/>
      <c r="J706" s="103" t="s">
        <v>38</v>
      </c>
      <c r="K706" s="103" t="s">
        <v>16</v>
      </c>
      <c r="L706" s="103" t="s">
        <v>68</v>
      </c>
      <c r="M706" s="108" t="str">
        <f t="shared" si="106"/>
        <v/>
      </c>
      <c r="N706" s="108" t="str">
        <f t="shared" si="106"/>
        <v/>
      </c>
      <c r="O706" s="108" t="str">
        <f t="shared" si="106"/>
        <v/>
      </c>
      <c r="P706" s="108" t="str">
        <f t="shared" si="106"/>
        <v/>
      </c>
      <c r="Q706" s="108" t="str">
        <f t="shared" si="106"/>
        <v>○</v>
      </c>
      <c r="R706" s="103" t="str">
        <f t="shared" si="106"/>
        <v/>
      </c>
      <c r="S706" s="103" t="s">
        <v>1670</v>
      </c>
      <c r="T706" s="103" t="s">
        <v>30</v>
      </c>
      <c r="U706" s="103" t="s">
        <v>56</v>
      </c>
      <c r="V706" s="103" t="s">
        <v>1671</v>
      </c>
    </row>
    <row r="707" spans="1:22" ht="13.5">
      <c r="A707" s="102">
        <v>45630.840471226853</v>
      </c>
      <c r="B707" s="103" t="s">
        <v>1672</v>
      </c>
      <c r="C707" s="104" t="str">
        <f t="shared" si="105"/>
        <v>○</v>
      </c>
      <c r="D707" s="104" t="str">
        <f t="shared" si="105"/>
        <v>○</v>
      </c>
      <c r="E707" s="104" t="str">
        <f t="shared" si="105"/>
        <v>○</v>
      </c>
      <c r="F707" s="104" t="str">
        <f t="shared" si="105"/>
        <v>×</v>
      </c>
      <c r="G707" s="103" t="s">
        <v>20</v>
      </c>
      <c r="H707" s="105"/>
      <c r="I707" s="105"/>
      <c r="J707" s="103" t="s">
        <v>58</v>
      </c>
      <c r="K707" s="103" t="s">
        <v>16</v>
      </c>
      <c r="L707" s="103" t="s">
        <v>39</v>
      </c>
      <c r="M707" s="108" t="str">
        <f t="shared" si="106"/>
        <v/>
      </c>
      <c r="N707" s="108" t="str">
        <f t="shared" si="106"/>
        <v>○</v>
      </c>
      <c r="O707" s="108" t="str">
        <f t="shared" si="106"/>
        <v/>
      </c>
      <c r="P707" s="108" t="str">
        <f t="shared" si="106"/>
        <v/>
      </c>
      <c r="Q707" s="108" t="str">
        <f t="shared" si="106"/>
        <v/>
      </c>
      <c r="R707" s="103" t="str">
        <f t="shared" si="106"/>
        <v/>
      </c>
      <c r="S707" s="105"/>
      <c r="T707" s="103" t="s">
        <v>30</v>
      </c>
      <c r="U707" s="103" t="s">
        <v>56</v>
      </c>
      <c r="V707" s="105"/>
    </row>
    <row r="708" spans="1:22" ht="13.5">
      <c r="A708" s="102">
        <v>45630.858422534722</v>
      </c>
      <c r="B708" s="103" t="s">
        <v>1683</v>
      </c>
      <c r="C708" s="104" t="str">
        <f t="shared" si="105"/>
        <v>○</v>
      </c>
      <c r="D708" s="104" t="str">
        <f t="shared" si="105"/>
        <v>○</v>
      </c>
      <c r="E708" s="104" t="str">
        <f t="shared" si="105"/>
        <v>×</v>
      </c>
      <c r="F708" s="104" t="str">
        <f t="shared" si="105"/>
        <v>×</v>
      </c>
      <c r="G708" s="103" t="s">
        <v>13</v>
      </c>
      <c r="H708" s="103" t="s">
        <v>27</v>
      </c>
      <c r="I708" s="103" t="s">
        <v>229</v>
      </c>
      <c r="J708" s="105"/>
      <c r="K708" s="103" t="s">
        <v>34</v>
      </c>
      <c r="L708" s="105"/>
      <c r="M708" s="110" t="str">
        <f t="shared" si="106"/>
        <v/>
      </c>
      <c r="N708" s="110" t="str">
        <f t="shared" si="106"/>
        <v/>
      </c>
      <c r="O708" s="110" t="str">
        <f t="shared" si="106"/>
        <v/>
      </c>
      <c r="P708" s="110" t="str">
        <f t="shared" si="106"/>
        <v/>
      </c>
      <c r="Q708" s="110" t="str">
        <f t="shared" si="106"/>
        <v/>
      </c>
      <c r="R708" s="105" t="str">
        <f t="shared" si="106"/>
        <v/>
      </c>
      <c r="S708" s="105"/>
      <c r="T708" s="103" t="s">
        <v>229</v>
      </c>
      <c r="U708" s="103" t="s">
        <v>56</v>
      </c>
      <c r="V708" s="103" t="s">
        <v>1684</v>
      </c>
    </row>
    <row r="709" spans="1:22" ht="13.5">
      <c r="A709" s="102">
        <v>45630.864275173612</v>
      </c>
      <c r="B709" s="103" t="s">
        <v>19</v>
      </c>
      <c r="C709" s="104" t="str">
        <f t="shared" si="105"/>
        <v>×</v>
      </c>
      <c r="D709" s="104" t="str">
        <f t="shared" si="105"/>
        <v>○</v>
      </c>
      <c r="E709" s="104" t="str">
        <f t="shared" si="105"/>
        <v>×</v>
      </c>
      <c r="F709" s="104" t="str">
        <f t="shared" si="105"/>
        <v>×</v>
      </c>
      <c r="G709" s="103" t="s">
        <v>20</v>
      </c>
      <c r="H709" s="105"/>
      <c r="I709" s="105"/>
      <c r="J709" s="103" t="s">
        <v>58</v>
      </c>
      <c r="K709" s="103" t="s">
        <v>16</v>
      </c>
      <c r="L709" s="103" t="s">
        <v>39</v>
      </c>
      <c r="M709" s="108" t="str">
        <f t="shared" si="106"/>
        <v/>
      </c>
      <c r="N709" s="108" t="str">
        <f t="shared" si="106"/>
        <v>○</v>
      </c>
      <c r="O709" s="108" t="str">
        <f t="shared" si="106"/>
        <v/>
      </c>
      <c r="P709" s="108" t="str">
        <f t="shared" si="106"/>
        <v/>
      </c>
      <c r="Q709" s="108" t="str">
        <f t="shared" si="106"/>
        <v/>
      </c>
      <c r="R709" s="103" t="str">
        <f t="shared" si="106"/>
        <v/>
      </c>
      <c r="S709" s="105"/>
      <c r="T709" s="103" t="s">
        <v>30</v>
      </c>
      <c r="U709" s="103" t="s">
        <v>56</v>
      </c>
      <c r="V709" s="105"/>
    </row>
    <row r="710" spans="1:22" ht="13.5">
      <c r="A710" s="102">
        <v>45630.867968726852</v>
      </c>
      <c r="B710" s="103" t="s">
        <v>131</v>
      </c>
      <c r="C710" s="104" t="str">
        <f t="shared" si="105"/>
        <v>×</v>
      </c>
      <c r="D710" s="104" t="str">
        <f t="shared" si="105"/>
        <v>○</v>
      </c>
      <c r="E710" s="104" t="str">
        <f t="shared" si="105"/>
        <v>○</v>
      </c>
      <c r="F710" s="104" t="str">
        <f t="shared" si="105"/>
        <v>×</v>
      </c>
      <c r="G710" s="103" t="s">
        <v>20</v>
      </c>
      <c r="H710" s="105"/>
      <c r="I710" s="105"/>
      <c r="J710" s="103" t="s">
        <v>1685</v>
      </c>
      <c r="K710" s="103" t="s">
        <v>16</v>
      </c>
      <c r="L710" s="103" t="s">
        <v>107</v>
      </c>
      <c r="M710" s="108" t="str">
        <f t="shared" si="106"/>
        <v/>
      </c>
      <c r="N710" s="108" t="str">
        <f t="shared" si="106"/>
        <v/>
      </c>
      <c r="O710" s="108" t="str">
        <f t="shared" si="106"/>
        <v>○</v>
      </c>
      <c r="P710" s="108" t="str">
        <f t="shared" si="106"/>
        <v/>
      </c>
      <c r="Q710" s="108" t="str">
        <f t="shared" si="106"/>
        <v/>
      </c>
      <c r="R710" s="103" t="str">
        <f t="shared" si="106"/>
        <v/>
      </c>
      <c r="S710" s="105"/>
      <c r="T710" s="103" t="s">
        <v>24</v>
      </c>
      <c r="U710" s="103" t="s">
        <v>56</v>
      </c>
      <c r="V710" s="105"/>
    </row>
    <row r="711" spans="1:22" ht="13.5">
      <c r="A711" s="102">
        <v>45630.869437476853</v>
      </c>
      <c r="B711" s="103" t="s">
        <v>140</v>
      </c>
      <c r="C711" s="104" t="str">
        <f t="shared" si="105"/>
        <v>×</v>
      </c>
      <c r="D711" s="104" t="str">
        <f t="shared" si="105"/>
        <v>○</v>
      </c>
      <c r="E711" s="104" t="str">
        <f t="shared" si="105"/>
        <v>○</v>
      </c>
      <c r="F711" s="104" t="str">
        <f t="shared" si="105"/>
        <v>×</v>
      </c>
      <c r="G711" s="103" t="s">
        <v>13</v>
      </c>
      <c r="H711" s="103" t="s">
        <v>27</v>
      </c>
      <c r="I711" s="103" t="s">
        <v>1686</v>
      </c>
      <c r="J711" s="105"/>
      <c r="K711" s="103" t="s">
        <v>34</v>
      </c>
      <c r="L711" s="105"/>
      <c r="M711" s="110" t="str">
        <f t="shared" si="106"/>
        <v/>
      </c>
      <c r="N711" s="110" t="str">
        <f t="shared" si="106"/>
        <v/>
      </c>
      <c r="O711" s="110" t="str">
        <f t="shared" si="106"/>
        <v/>
      </c>
      <c r="P711" s="110" t="str">
        <f t="shared" si="106"/>
        <v/>
      </c>
      <c r="Q711" s="110" t="str">
        <f t="shared" si="106"/>
        <v/>
      </c>
      <c r="R711" s="105" t="str">
        <f t="shared" si="106"/>
        <v/>
      </c>
      <c r="S711" s="105"/>
      <c r="T711" s="103" t="s">
        <v>1687</v>
      </c>
      <c r="U711" s="103" t="s">
        <v>56</v>
      </c>
      <c r="V711" s="103" t="s">
        <v>1688</v>
      </c>
    </row>
    <row r="712" spans="1:22" ht="13.5">
      <c r="A712" s="102">
        <v>45630.882985138887</v>
      </c>
      <c r="B712" s="103" t="s">
        <v>46</v>
      </c>
      <c r="C712" s="104" t="str">
        <f t="shared" si="105"/>
        <v>×</v>
      </c>
      <c r="D712" s="104" t="str">
        <f t="shared" si="105"/>
        <v>×</v>
      </c>
      <c r="E712" s="104" t="str">
        <f t="shared" si="105"/>
        <v>○</v>
      </c>
      <c r="F712" s="104" t="str">
        <f t="shared" si="105"/>
        <v>○</v>
      </c>
      <c r="G712" s="103" t="s">
        <v>20</v>
      </c>
      <c r="H712" s="105"/>
      <c r="I712" s="105"/>
      <c r="J712" s="103" t="s">
        <v>58</v>
      </c>
      <c r="K712" s="103" t="s">
        <v>16</v>
      </c>
      <c r="L712" s="103" t="s">
        <v>1695</v>
      </c>
      <c r="M712" s="108" t="str">
        <f t="shared" ref="M712:R721" si="107">IF(ISERROR(SEARCH(M$1,$L712)),"","○")</f>
        <v/>
      </c>
      <c r="N712" s="108" t="str">
        <f t="shared" si="107"/>
        <v>○</v>
      </c>
      <c r="O712" s="108" t="str">
        <f t="shared" si="107"/>
        <v/>
      </c>
      <c r="P712" s="108" t="str">
        <f t="shared" si="107"/>
        <v/>
      </c>
      <c r="Q712" s="108" t="str">
        <f t="shared" si="107"/>
        <v/>
      </c>
      <c r="R712" s="103" t="str">
        <f t="shared" si="107"/>
        <v/>
      </c>
      <c r="S712" s="105"/>
      <c r="T712" s="103" t="s">
        <v>1696</v>
      </c>
      <c r="U712" s="103" t="s">
        <v>56</v>
      </c>
      <c r="V712" s="105"/>
    </row>
    <row r="713" spans="1:22" ht="13.5">
      <c r="A713" s="102">
        <v>45630.891206041662</v>
      </c>
      <c r="B713" s="103" t="s">
        <v>90</v>
      </c>
      <c r="C713" s="104" t="str">
        <f t="shared" si="105"/>
        <v>×</v>
      </c>
      <c r="D713" s="104" t="str">
        <f t="shared" si="105"/>
        <v>×</v>
      </c>
      <c r="E713" s="104" t="str">
        <f t="shared" si="105"/>
        <v>○</v>
      </c>
      <c r="F713" s="104" t="str">
        <f t="shared" si="105"/>
        <v>×</v>
      </c>
      <c r="G713" s="103" t="s">
        <v>20</v>
      </c>
      <c r="H713" s="105"/>
      <c r="I713" s="105"/>
      <c r="J713" s="103" t="s">
        <v>58</v>
      </c>
      <c r="K713" s="103" t="s">
        <v>16</v>
      </c>
      <c r="L713" s="103" t="s">
        <v>59</v>
      </c>
      <c r="M713" s="108" t="str">
        <f t="shared" si="107"/>
        <v/>
      </c>
      <c r="N713" s="108" t="str">
        <f t="shared" si="107"/>
        <v/>
      </c>
      <c r="O713" s="108" t="str">
        <f t="shared" si="107"/>
        <v/>
      </c>
      <c r="P713" s="108" t="str">
        <f t="shared" si="107"/>
        <v>○</v>
      </c>
      <c r="Q713" s="108" t="str">
        <f t="shared" si="107"/>
        <v/>
      </c>
      <c r="R713" s="103" t="str">
        <f t="shared" si="107"/>
        <v/>
      </c>
      <c r="S713" s="103" t="s">
        <v>1697</v>
      </c>
      <c r="T713" s="103" t="s">
        <v>24</v>
      </c>
      <c r="U713" s="103" t="s">
        <v>56</v>
      </c>
      <c r="V713" s="103" t="s">
        <v>1698</v>
      </c>
    </row>
    <row r="714" spans="1:22" ht="13.5">
      <c r="A714" s="102">
        <v>45630.900831782405</v>
      </c>
      <c r="B714" s="103" t="s">
        <v>181</v>
      </c>
      <c r="C714" s="104" t="str">
        <f t="shared" si="105"/>
        <v>×</v>
      </c>
      <c r="D714" s="104" t="str">
        <f t="shared" si="105"/>
        <v>○</v>
      </c>
      <c r="E714" s="104" t="str">
        <f t="shared" si="105"/>
        <v>×</v>
      </c>
      <c r="F714" s="104" t="str">
        <f t="shared" si="105"/>
        <v>×</v>
      </c>
      <c r="G714" s="103" t="s">
        <v>20</v>
      </c>
      <c r="H714" s="105"/>
      <c r="I714" s="105"/>
      <c r="J714" s="103" t="s">
        <v>58</v>
      </c>
      <c r="K714" s="103" t="s">
        <v>16</v>
      </c>
      <c r="L714" s="103" t="s">
        <v>59</v>
      </c>
      <c r="M714" s="108" t="str">
        <f t="shared" si="107"/>
        <v/>
      </c>
      <c r="N714" s="108" t="str">
        <f t="shared" si="107"/>
        <v/>
      </c>
      <c r="O714" s="108" t="str">
        <f t="shared" si="107"/>
        <v/>
      </c>
      <c r="P714" s="108" t="str">
        <f t="shared" si="107"/>
        <v>○</v>
      </c>
      <c r="Q714" s="108" t="str">
        <f t="shared" si="107"/>
        <v/>
      </c>
      <c r="R714" s="103" t="str">
        <f t="shared" si="107"/>
        <v/>
      </c>
      <c r="S714" s="105"/>
      <c r="T714" s="103" t="s">
        <v>30</v>
      </c>
      <c r="U714" s="103" t="s">
        <v>56</v>
      </c>
      <c r="V714" s="105"/>
    </row>
    <row r="715" spans="1:22" ht="13.5">
      <c r="A715" s="102">
        <v>45630.918149652774</v>
      </c>
      <c r="B715" s="103" t="s">
        <v>57</v>
      </c>
      <c r="C715" s="104" t="str">
        <f t="shared" si="105"/>
        <v>×</v>
      </c>
      <c r="D715" s="104" t="str">
        <f t="shared" si="105"/>
        <v>○</v>
      </c>
      <c r="E715" s="104" t="str">
        <f t="shared" si="105"/>
        <v>×</v>
      </c>
      <c r="F715" s="104" t="str">
        <f t="shared" si="105"/>
        <v>×</v>
      </c>
      <c r="G715" s="103" t="s">
        <v>20</v>
      </c>
      <c r="H715" s="105"/>
      <c r="I715" s="105"/>
      <c r="J715" s="103" t="s">
        <v>58</v>
      </c>
      <c r="K715" s="103" t="s">
        <v>16</v>
      </c>
      <c r="L715" s="103" t="s">
        <v>189</v>
      </c>
      <c r="M715" s="108" t="str">
        <f t="shared" si="107"/>
        <v/>
      </c>
      <c r="N715" s="108" t="str">
        <f t="shared" si="107"/>
        <v/>
      </c>
      <c r="O715" s="108" t="str">
        <f t="shared" si="107"/>
        <v/>
      </c>
      <c r="P715" s="108" t="str">
        <f t="shared" si="107"/>
        <v>○</v>
      </c>
      <c r="Q715" s="108" t="str">
        <f t="shared" si="107"/>
        <v>○</v>
      </c>
      <c r="R715" s="103" t="str">
        <f t="shared" si="107"/>
        <v/>
      </c>
      <c r="S715" s="105"/>
      <c r="T715" s="103" t="s">
        <v>24</v>
      </c>
      <c r="U715" s="103" t="s">
        <v>56</v>
      </c>
      <c r="V715" s="105"/>
    </row>
    <row r="716" spans="1:22" ht="13.5">
      <c r="A716" s="102">
        <v>45630.929662361115</v>
      </c>
      <c r="B716" s="103" t="s">
        <v>1708</v>
      </c>
      <c r="C716" s="104" t="str">
        <f t="shared" si="105"/>
        <v>×</v>
      </c>
      <c r="D716" s="104" t="str">
        <f t="shared" si="105"/>
        <v>○</v>
      </c>
      <c r="E716" s="104" t="str">
        <f t="shared" si="105"/>
        <v>○</v>
      </c>
      <c r="F716" s="104" t="str">
        <f t="shared" si="105"/>
        <v>×</v>
      </c>
      <c r="G716" s="103" t="s">
        <v>20</v>
      </c>
      <c r="H716" s="105"/>
      <c r="I716" s="105"/>
      <c r="J716" s="103" t="s">
        <v>38</v>
      </c>
      <c r="K716" s="103" t="s">
        <v>16</v>
      </c>
      <c r="L716" s="103" t="s">
        <v>1709</v>
      </c>
      <c r="M716" s="108" t="str">
        <f t="shared" si="107"/>
        <v/>
      </c>
      <c r="N716" s="108" t="str">
        <f t="shared" si="107"/>
        <v/>
      </c>
      <c r="O716" s="108" t="str">
        <f t="shared" si="107"/>
        <v/>
      </c>
      <c r="P716" s="108" t="str">
        <f t="shared" si="107"/>
        <v/>
      </c>
      <c r="Q716" s="108" t="str">
        <f t="shared" si="107"/>
        <v/>
      </c>
      <c r="R716" s="103" t="str">
        <f t="shared" si="107"/>
        <v/>
      </c>
      <c r="S716" s="105"/>
      <c r="T716" s="103" t="s">
        <v>35</v>
      </c>
      <c r="U716" s="103" t="s">
        <v>56</v>
      </c>
      <c r="V716" s="105"/>
    </row>
    <row r="717" spans="1:22" ht="13.5">
      <c r="A717" s="102">
        <v>45630.953105289351</v>
      </c>
      <c r="B717" s="103" t="s">
        <v>105</v>
      </c>
      <c r="C717" s="104" t="str">
        <f t="shared" si="105"/>
        <v>×</v>
      </c>
      <c r="D717" s="104" t="str">
        <f t="shared" si="105"/>
        <v>×</v>
      </c>
      <c r="E717" s="104" t="str">
        <f t="shared" si="105"/>
        <v>○</v>
      </c>
      <c r="F717" s="104" t="str">
        <f t="shared" si="105"/>
        <v>×</v>
      </c>
      <c r="G717" s="103" t="s">
        <v>20</v>
      </c>
      <c r="H717" s="105"/>
      <c r="I717" s="105"/>
      <c r="J717" s="103" t="s">
        <v>58</v>
      </c>
      <c r="K717" s="103" t="s">
        <v>16</v>
      </c>
      <c r="L717" s="103" t="s">
        <v>68</v>
      </c>
      <c r="M717" s="108" t="str">
        <f t="shared" si="107"/>
        <v/>
      </c>
      <c r="N717" s="108" t="str">
        <f t="shared" si="107"/>
        <v/>
      </c>
      <c r="O717" s="108" t="str">
        <f t="shared" si="107"/>
        <v/>
      </c>
      <c r="P717" s="108" t="str">
        <f t="shared" si="107"/>
        <v/>
      </c>
      <c r="Q717" s="108" t="str">
        <f t="shared" si="107"/>
        <v>○</v>
      </c>
      <c r="R717" s="103" t="str">
        <f t="shared" si="107"/>
        <v/>
      </c>
      <c r="S717" s="103" t="s">
        <v>1721</v>
      </c>
      <c r="T717" s="103" t="s">
        <v>30</v>
      </c>
      <c r="U717" s="103" t="s">
        <v>56</v>
      </c>
      <c r="V717" s="103" t="s">
        <v>1722</v>
      </c>
    </row>
    <row r="718" spans="1:22" ht="13.5">
      <c r="A718" s="102">
        <v>45631.34922314815</v>
      </c>
      <c r="B718" s="103" t="s">
        <v>105</v>
      </c>
      <c r="C718" s="104" t="str">
        <f t="shared" si="105"/>
        <v>×</v>
      </c>
      <c r="D718" s="104" t="str">
        <f t="shared" si="105"/>
        <v>×</v>
      </c>
      <c r="E718" s="104" t="str">
        <f t="shared" si="105"/>
        <v>○</v>
      </c>
      <c r="F718" s="104" t="str">
        <f t="shared" si="105"/>
        <v>×</v>
      </c>
      <c r="G718" s="103" t="s">
        <v>20</v>
      </c>
      <c r="H718" s="105"/>
      <c r="I718" s="105"/>
      <c r="J718" s="103" t="s">
        <v>58</v>
      </c>
      <c r="K718" s="103" t="s">
        <v>16</v>
      </c>
      <c r="L718" s="103" t="s">
        <v>107</v>
      </c>
      <c r="M718" s="108" t="str">
        <f t="shared" si="107"/>
        <v/>
      </c>
      <c r="N718" s="108" t="str">
        <f t="shared" si="107"/>
        <v/>
      </c>
      <c r="O718" s="108" t="str">
        <f t="shared" si="107"/>
        <v>○</v>
      </c>
      <c r="P718" s="108" t="str">
        <f t="shared" si="107"/>
        <v/>
      </c>
      <c r="Q718" s="108" t="str">
        <f t="shared" si="107"/>
        <v/>
      </c>
      <c r="R718" s="103" t="str">
        <f t="shared" si="107"/>
        <v/>
      </c>
      <c r="S718" s="105"/>
      <c r="T718" s="103" t="s">
        <v>24</v>
      </c>
      <c r="U718" s="103" t="s">
        <v>56</v>
      </c>
      <c r="V718" s="103" t="s">
        <v>1750</v>
      </c>
    </row>
    <row r="719" spans="1:22" ht="13.5">
      <c r="A719" s="102">
        <v>45631.455321851856</v>
      </c>
      <c r="B719" s="103" t="s">
        <v>19</v>
      </c>
      <c r="C719" s="104" t="str">
        <f t="shared" si="105"/>
        <v>×</v>
      </c>
      <c r="D719" s="104" t="str">
        <f t="shared" si="105"/>
        <v>○</v>
      </c>
      <c r="E719" s="104" t="str">
        <f t="shared" si="105"/>
        <v>×</v>
      </c>
      <c r="F719" s="104" t="str">
        <f t="shared" si="105"/>
        <v>×</v>
      </c>
      <c r="G719" s="103" t="s">
        <v>13</v>
      </c>
      <c r="H719" s="103" t="s">
        <v>14</v>
      </c>
      <c r="I719" s="103" t="s">
        <v>1753</v>
      </c>
      <c r="J719" s="105"/>
      <c r="K719" s="103" t="s">
        <v>34</v>
      </c>
      <c r="L719" s="105"/>
      <c r="M719" s="110" t="str">
        <f t="shared" si="107"/>
        <v/>
      </c>
      <c r="N719" s="110" t="str">
        <f t="shared" si="107"/>
        <v/>
      </c>
      <c r="O719" s="110" t="str">
        <f t="shared" si="107"/>
        <v/>
      </c>
      <c r="P719" s="110" t="str">
        <f t="shared" si="107"/>
        <v/>
      </c>
      <c r="Q719" s="110" t="str">
        <f t="shared" si="107"/>
        <v/>
      </c>
      <c r="R719" s="105" t="str">
        <f t="shared" si="107"/>
        <v/>
      </c>
      <c r="S719" s="105"/>
      <c r="T719" s="103" t="s">
        <v>30</v>
      </c>
      <c r="U719" s="103" t="s">
        <v>56</v>
      </c>
      <c r="V719" s="105"/>
    </row>
    <row r="720" spans="1:22" ht="13.5">
      <c r="A720" s="102">
        <v>45631.67800670139</v>
      </c>
      <c r="B720" s="103" t="s">
        <v>164</v>
      </c>
      <c r="C720" s="104" t="str">
        <f t="shared" si="105"/>
        <v>×</v>
      </c>
      <c r="D720" s="104" t="str">
        <f t="shared" si="105"/>
        <v>○</v>
      </c>
      <c r="E720" s="104" t="str">
        <f t="shared" si="105"/>
        <v>×</v>
      </c>
      <c r="F720" s="104" t="str">
        <f t="shared" si="105"/>
        <v>×</v>
      </c>
      <c r="G720" s="103" t="s">
        <v>13</v>
      </c>
      <c r="H720" s="103" t="s">
        <v>32</v>
      </c>
      <c r="I720" s="103" t="s">
        <v>1761</v>
      </c>
      <c r="J720" s="105"/>
      <c r="K720" s="103" t="s">
        <v>16</v>
      </c>
      <c r="L720" s="103" t="s">
        <v>1762</v>
      </c>
      <c r="M720" s="108" t="str">
        <f t="shared" si="107"/>
        <v/>
      </c>
      <c r="N720" s="108" t="str">
        <f t="shared" si="107"/>
        <v>○</v>
      </c>
      <c r="O720" s="108" t="str">
        <f t="shared" si="107"/>
        <v/>
      </c>
      <c r="P720" s="108" t="str">
        <f t="shared" si="107"/>
        <v/>
      </c>
      <c r="Q720" s="108" t="str">
        <f t="shared" si="107"/>
        <v/>
      </c>
      <c r="R720" s="103" t="str">
        <f t="shared" si="107"/>
        <v/>
      </c>
      <c r="S720" s="105"/>
      <c r="T720" s="103" t="s">
        <v>30</v>
      </c>
      <c r="U720" s="103" t="s">
        <v>56</v>
      </c>
      <c r="V720" s="103" t="s">
        <v>1763</v>
      </c>
    </row>
    <row r="721" spans="1:22" ht="13.5">
      <c r="A721" s="102">
        <v>45631.727297847217</v>
      </c>
      <c r="B721" s="103" t="s">
        <v>49</v>
      </c>
      <c r="C721" s="104" t="str">
        <f t="shared" si="105"/>
        <v>×</v>
      </c>
      <c r="D721" s="104" t="str">
        <f t="shared" si="105"/>
        <v>○</v>
      </c>
      <c r="E721" s="104" t="str">
        <f t="shared" si="105"/>
        <v>×</v>
      </c>
      <c r="F721" s="104" t="str">
        <f t="shared" si="105"/>
        <v>×</v>
      </c>
      <c r="G721" s="103" t="s">
        <v>13</v>
      </c>
      <c r="H721" s="103" t="s">
        <v>32</v>
      </c>
      <c r="I721" s="103" t="s">
        <v>1766</v>
      </c>
      <c r="J721" s="105"/>
      <c r="K721" s="103" t="s">
        <v>16</v>
      </c>
      <c r="L721" s="103" t="s">
        <v>1767</v>
      </c>
      <c r="M721" s="108" t="str">
        <f t="shared" si="107"/>
        <v/>
      </c>
      <c r="N721" s="108" t="str">
        <f t="shared" si="107"/>
        <v/>
      </c>
      <c r="O721" s="108" t="str">
        <f t="shared" si="107"/>
        <v/>
      </c>
      <c r="P721" s="108" t="str">
        <f t="shared" si="107"/>
        <v/>
      </c>
      <c r="Q721" s="108" t="str">
        <f t="shared" si="107"/>
        <v/>
      </c>
      <c r="R721" s="103" t="str">
        <f t="shared" si="107"/>
        <v/>
      </c>
      <c r="S721" s="105"/>
      <c r="T721" s="103" t="s">
        <v>35</v>
      </c>
      <c r="U721" s="103" t="s">
        <v>56</v>
      </c>
      <c r="V721" s="103" t="s">
        <v>1768</v>
      </c>
    </row>
    <row r="722" spans="1:22" ht="13.5">
      <c r="A722" s="102">
        <v>45631.879516527777</v>
      </c>
      <c r="B722" s="103" t="s">
        <v>93</v>
      </c>
      <c r="C722" s="104" t="str">
        <f t="shared" ref="C722:F741" si="108">IF(ISERROR(FIND(C$1,$B722)),"×","○")</f>
        <v>×</v>
      </c>
      <c r="D722" s="104" t="str">
        <f t="shared" si="108"/>
        <v>×</v>
      </c>
      <c r="E722" s="104" t="str">
        <f t="shared" si="108"/>
        <v>○</v>
      </c>
      <c r="F722" s="104" t="str">
        <f t="shared" si="108"/>
        <v>×</v>
      </c>
      <c r="G722" s="103" t="s">
        <v>20</v>
      </c>
      <c r="H722" s="105"/>
      <c r="I722" s="105"/>
      <c r="J722" s="103" t="s">
        <v>58</v>
      </c>
      <c r="K722" s="103" t="s">
        <v>16</v>
      </c>
      <c r="L722" s="103" t="s">
        <v>272</v>
      </c>
      <c r="M722" s="108" t="str">
        <f t="shared" ref="M722:R731" si="109">IF(ISERROR(SEARCH(M$1,$L722)),"","○")</f>
        <v/>
      </c>
      <c r="N722" s="108" t="str">
        <f t="shared" si="109"/>
        <v/>
      </c>
      <c r="O722" s="108" t="str">
        <f t="shared" si="109"/>
        <v/>
      </c>
      <c r="P722" s="108" t="str">
        <f t="shared" si="109"/>
        <v/>
      </c>
      <c r="Q722" s="108" t="str">
        <f t="shared" si="109"/>
        <v>○</v>
      </c>
      <c r="R722" s="103" t="str">
        <f t="shared" si="109"/>
        <v/>
      </c>
      <c r="S722" s="103" t="s">
        <v>1795</v>
      </c>
      <c r="T722" s="103" t="s">
        <v>30</v>
      </c>
      <c r="U722" s="103" t="s">
        <v>56</v>
      </c>
      <c r="V722" s="103" t="s">
        <v>1796</v>
      </c>
    </row>
    <row r="723" spans="1:22" ht="13.5">
      <c r="A723" s="102">
        <v>45631.940828148145</v>
      </c>
      <c r="B723" s="103" t="s">
        <v>105</v>
      </c>
      <c r="C723" s="104" t="str">
        <f t="shared" si="108"/>
        <v>×</v>
      </c>
      <c r="D723" s="104" t="str">
        <f t="shared" si="108"/>
        <v>×</v>
      </c>
      <c r="E723" s="104" t="str">
        <f t="shared" si="108"/>
        <v>○</v>
      </c>
      <c r="F723" s="104" t="str">
        <f t="shared" si="108"/>
        <v>×</v>
      </c>
      <c r="G723" s="103" t="s">
        <v>20</v>
      </c>
      <c r="H723" s="105"/>
      <c r="I723" s="105"/>
      <c r="J723" s="103" t="s">
        <v>58</v>
      </c>
      <c r="K723" s="103" t="s">
        <v>16</v>
      </c>
      <c r="L723" s="103" t="s">
        <v>39</v>
      </c>
      <c r="M723" s="108" t="str">
        <f t="shared" si="109"/>
        <v/>
      </c>
      <c r="N723" s="108" t="str">
        <f t="shared" si="109"/>
        <v>○</v>
      </c>
      <c r="O723" s="108" t="str">
        <f t="shared" si="109"/>
        <v/>
      </c>
      <c r="P723" s="108" t="str">
        <f t="shared" si="109"/>
        <v/>
      </c>
      <c r="Q723" s="108" t="str">
        <f t="shared" si="109"/>
        <v/>
      </c>
      <c r="R723" s="103" t="str">
        <f t="shared" si="109"/>
        <v/>
      </c>
      <c r="S723" s="105"/>
      <c r="T723" s="103" t="s">
        <v>30</v>
      </c>
      <c r="U723" s="103" t="s">
        <v>56</v>
      </c>
      <c r="V723" s="105"/>
    </row>
    <row r="724" spans="1:22" ht="13.5">
      <c r="A724" s="102">
        <v>45631.972870509257</v>
      </c>
      <c r="B724" s="103" t="s">
        <v>105</v>
      </c>
      <c r="C724" s="104" t="str">
        <f t="shared" si="108"/>
        <v>×</v>
      </c>
      <c r="D724" s="104" t="str">
        <f t="shared" si="108"/>
        <v>×</v>
      </c>
      <c r="E724" s="104" t="str">
        <f t="shared" si="108"/>
        <v>○</v>
      </c>
      <c r="F724" s="104" t="str">
        <f t="shared" si="108"/>
        <v>×</v>
      </c>
      <c r="G724" s="103" t="s">
        <v>13</v>
      </c>
      <c r="H724" s="103" t="s">
        <v>47</v>
      </c>
      <c r="I724" s="103" t="s">
        <v>1801</v>
      </c>
      <c r="J724" s="105"/>
      <c r="K724" s="103" t="s">
        <v>34</v>
      </c>
      <c r="L724" s="105"/>
      <c r="M724" s="110" t="str">
        <f t="shared" si="109"/>
        <v/>
      </c>
      <c r="N724" s="110" t="str">
        <f t="shared" si="109"/>
        <v/>
      </c>
      <c r="O724" s="110" t="str">
        <f t="shared" si="109"/>
        <v/>
      </c>
      <c r="P724" s="110" t="str">
        <f t="shared" si="109"/>
        <v/>
      </c>
      <c r="Q724" s="110" t="str">
        <f t="shared" si="109"/>
        <v/>
      </c>
      <c r="R724" s="105" t="str">
        <f t="shared" si="109"/>
        <v/>
      </c>
      <c r="S724" s="105"/>
      <c r="T724" s="103" t="s">
        <v>30</v>
      </c>
      <c r="U724" s="103" t="s">
        <v>56</v>
      </c>
      <c r="V724" s="105"/>
    </row>
    <row r="725" spans="1:22" ht="13.5">
      <c r="A725" s="102">
        <v>45631.973696805551</v>
      </c>
      <c r="B725" s="103" t="s">
        <v>49</v>
      </c>
      <c r="C725" s="104" t="str">
        <f t="shared" si="108"/>
        <v>×</v>
      </c>
      <c r="D725" s="104" t="str">
        <f t="shared" si="108"/>
        <v>○</v>
      </c>
      <c r="E725" s="104" t="str">
        <f t="shared" si="108"/>
        <v>×</v>
      </c>
      <c r="F725" s="104" t="str">
        <f t="shared" si="108"/>
        <v>×</v>
      </c>
      <c r="G725" s="103" t="s">
        <v>13</v>
      </c>
      <c r="H725" s="103" t="s">
        <v>27</v>
      </c>
      <c r="I725" s="103" t="s">
        <v>1802</v>
      </c>
      <c r="J725" s="105"/>
      <c r="K725" s="103" t="s">
        <v>34</v>
      </c>
      <c r="L725" s="105"/>
      <c r="M725" s="110" t="str">
        <f t="shared" si="109"/>
        <v/>
      </c>
      <c r="N725" s="110" t="str">
        <f t="shared" si="109"/>
        <v/>
      </c>
      <c r="O725" s="110" t="str">
        <f t="shared" si="109"/>
        <v/>
      </c>
      <c r="P725" s="110" t="str">
        <f t="shared" si="109"/>
        <v/>
      </c>
      <c r="Q725" s="110" t="str">
        <f t="shared" si="109"/>
        <v/>
      </c>
      <c r="R725" s="105" t="str">
        <f t="shared" si="109"/>
        <v/>
      </c>
      <c r="S725" s="105"/>
      <c r="T725" s="103" t="s">
        <v>30</v>
      </c>
      <c r="U725" s="103" t="s">
        <v>56</v>
      </c>
      <c r="V725" s="105"/>
    </row>
    <row r="726" spans="1:22" ht="13.5">
      <c r="A726" s="102">
        <v>45631.977425300924</v>
      </c>
      <c r="B726" s="103" t="s">
        <v>199</v>
      </c>
      <c r="C726" s="104" t="str">
        <f t="shared" si="108"/>
        <v>×</v>
      </c>
      <c r="D726" s="104" t="str">
        <f t="shared" si="108"/>
        <v>○</v>
      </c>
      <c r="E726" s="104" t="str">
        <f t="shared" si="108"/>
        <v>×</v>
      </c>
      <c r="F726" s="104" t="str">
        <f t="shared" si="108"/>
        <v>×</v>
      </c>
      <c r="G726" s="103" t="s">
        <v>20</v>
      </c>
      <c r="H726" s="105"/>
      <c r="I726" s="105"/>
      <c r="J726" s="103" t="s">
        <v>38</v>
      </c>
      <c r="K726" s="103" t="s">
        <v>16</v>
      </c>
      <c r="L726" s="103" t="s">
        <v>386</v>
      </c>
      <c r="M726" s="108" t="str">
        <f t="shared" si="109"/>
        <v>○</v>
      </c>
      <c r="N726" s="108" t="str">
        <f t="shared" si="109"/>
        <v/>
      </c>
      <c r="O726" s="108" t="str">
        <f t="shared" si="109"/>
        <v/>
      </c>
      <c r="P726" s="108" t="str">
        <f t="shared" si="109"/>
        <v/>
      </c>
      <c r="Q726" s="108" t="str">
        <f t="shared" si="109"/>
        <v/>
      </c>
      <c r="R726" s="103" t="str">
        <f t="shared" si="109"/>
        <v/>
      </c>
      <c r="S726" s="105"/>
      <c r="T726" s="103" t="s">
        <v>30</v>
      </c>
      <c r="U726" s="103" t="s">
        <v>56</v>
      </c>
      <c r="V726" s="105"/>
    </row>
    <row r="727" spans="1:22" ht="13.5">
      <c r="A727" s="102">
        <v>45632.294908298616</v>
      </c>
      <c r="B727" s="103" t="s">
        <v>1814</v>
      </c>
      <c r="C727" s="104" t="str">
        <f t="shared" si="108"/>
        <v>○</v>
      </c>
      <c r="D727" s="104" t="str">
        <f t="shared" si="108"/>
        <v>○</v>
      </c>
      <c r="E727" s="104" t="str">
        <f t="shared" si="108"/>
        <v>○</v>
      </c>
      <c r="F727" s="104" t="str">
        <f t="shared" si="108"/>
        <v>×</v>
      </c>
      <c r="G727" s="103" t="s">
        <v>20</v>
      </c>
      <c r="H727" s="105"/>
      <c r="I727" s="105"/>
      <c r="J727" s="103" t="s">
        <v>1815</v>
      </c>
      <c r="K727" s="103" t="s">
        <v>16</v>
      </c>
      <c r="L727" s="103" t="s">
        <v>39</v>
      </c>
      <c r="M727" s="108" t="str">
        <f t="shared" si="109"/>
        <v/>
      </c>
      <c r="N727" s="108" t="str">
        <f t="shared" si="109"/>
        <v>○</v>
      </c>
      <c r="O727" s="108" t="str">
        <f t="shared" si="109"/>
        <v/>
      </c>
      <c r="P727" s="108" t="str">
        <f t="shared" si="109"/>
        <v/>
      </c>
      <c r="Q727" s="108" t="str">
        <f t="shared" si="109"/>
        <v/>
      </c>
      <c r="R727" s="103" t="str">
        <f t="shared" si="109"/>
        <v/>
      </c>
      <c r="S727" s="105"/>
      <c r="T727" s="103" t="s">
        <v>30</v>
      </c>
      <c r="U727" s="103" t="s">
        <v>56</v>
      </c>
      <c r="V727" s="105"/>
    </row>
    <row r="728" spans="1:22" ht="13.5">
      <c r="A728" s="102">
        <v>45632.324224918979</v>
      </c>
      <c r="B728" s="103" t="s">
        <v>1816</v>
      </c>
      <c r="C728" s="104" t="str">
        <f t="shared" si="108"/>
        <v>×</v>
      </c>
      <c r="D728" s="104" t="str">
        <f t="shared" si="108"/>
        <v>○</v>
      </c>
      <c r="E728" s="104" t="str">
        <f t="shared" si="108"/>
        <v>○</v>
      </c>
      <c r="F728" s="104" t="str">
        <f t="shared" si="108"/>
        <v>×</v>
      </c>
      <c r="G728" s="103" t="s">
        <v>20</v>
      </c>
      <c r="H728" s="105"/>
      <c r="I728" s="105"/>
      <c r="J728" s="103" t="s">
        <v>58</v>
      </c>
      <c r="K728" s="103" t="s">
        <v>16</v>
      </c>
      <c r="L728" s="103" t="s">
        <v>68</v>
      </c>
      <c r="M728" s="108" t="str">
        <f t="shared" si="109"/>
        <v/>
      </c>
      <c r="N728" s="108" t="str">
        <f t="shared" si="109"/>
        <v/>
      </c>
      <c r="O728" s="108" t="str">
        <f t="shared" si="109"/>
        <v/>
      </c>
      <c r="P728" s="108" t="str">
        <f t="shared" si="109"/>
        <v/>
      </c>
      <c r="Q728" s="108" t="str">
        <f t="shared" si="109"/>
        <v>○</v>
      </c>
      <c r="R728" s="103" t="str">
        <f t="shared" si="109"/>
        <v/>
      </c>
      <c r="S728" s="103" t="s">
        <v>1817</v>
      </c>
      <c r="T728" s="103" t="s">
        <v>35</v>
      </c>
      <c r="U728" s="103" t="s">
        <v>56</v>
      </c>
      <c r="V728" s="103" t="s">
        <v>1818</v>
      </c>
    </row>
    <row r="729" spans="1:22" ht="13.5">
      <c r="A729" s="102">
        <v>45632.343635162033</v>
      </c>
      <c r="B729" s="103" t="s">
        <v>315</v>
      </c>
      <c r="C729" s="104" t="str">
        <f t="shared" si="108"/>
        <v>×</v>
      </c>
      <c r="D729" s="104" t="str">
        <f t="shared" si="108"/>
        <v>○</v>
      </c>
      <c r="E729" s="104" t="str">
        <f t="shared" si="108"/>
        <v>×</v>
      </c>
      <c r="F729" s="104" t="str">
        <f t="shared" si="108"/>
        <v>×</v>
      </c>
      <c r="G729" s="103" t="s">
        <v>13</v>
      </c>
      <c r="H729" s="103" t="s">
        <v>77</v>
      </c>
      <c r="I729" s="103" t="s">
        <v>1821</v>
      </c>
      <c r="J729" s="105"/>
      <c r="K729" s="103" t="s">
        <v>34</v>
      </c>
      <c r="L729" s="105"/>
      <c r="M729" s="110" t="str">
        <f t="shared" si="109"/>
        <v/>
      </c>
      <c r="N729" s="110" t="str">
        <f t="shared" si="109"/>
        <v/>
      </c>
      <c r="O729" s="110" t="str">
        <f t="shared" si="109"/>
        <v/>
      </c>
      <c r="P729" s="110" t="str">
        <f t="shared" si="109"/>
        <v/>
      </c>
      <c r="Q729" s="110" t="str">
        <f t="shared" si="109"/>
        <v/>
      </c>
      <c r="R729" s="105" t="str">
        <f t="shared" si="109"/>
        <v/>
      </c>
      <c r="S729" s="105"/>
      <c r="T729" s="103" t="s">
        <v>24</v>
      </c>
      <c r="U729" s="103" t="s">
        <v>56</v>
      </c>
      <c r="V729" s="103" t="s">
        <v>1822</v>
      </c>
    </row>
    <row r="730" spans="1:22" ht="13.5">
      <c r="A730" s="102">
        <v>45632.546089050928</v>
      </c>
      <c r="B730" s="103" t="s">
        <v>1824</v>
      </c>
      <c r="C730" s="104" t="str">
        <f t="shared" si="108"/>
        <v>×</v>
      </c>
      <c r="D730" s="104" t="str">
        <f t="shared" si="108"/>
        <v>○</v>
      </c>
      <c r="E730" s="104" t="str">
        <f t="shared" si="108"/>
        <v>○</v>
      </c>
      <c r="F730" s="104" t="str">
        <f t="shared" si="108"/>
        <v>○</v>
      </c>
      <c r="G730" s="103" t="s">
        <v>13</v>
      </c>
      <c r="H730" s="103" t="s">
        <v>32</v>
      </c>
      <c r="I730" s="103" t="s">
        <v>1825</v>
      </c>
      <c r="J730" s="105"/>
      <c r="K730" s="103" t="s">
        <v>16</v>
      </c>
      <c r="L730" s="103" t="s">
        <v>1826</v>
      </c>
      <c r="M730" s="108" t="str">
        <f t="shared" si="109"/>
        <v/>
      </c>
      <c r="N730" s="108" t="str">
        <f t="shared" si="109"/>
        <v/>
      </c>
      <c r="O730" s="108" t="str">
        <f t="shared" si="109"/>
        <v/>
      </c>
      <c r="P730" s="108" t="str">
        <f t="shared" si="109"/>
        <v/>
      </c>
      <c r="Q730" s="108" t="str">
        <f t="shared" si="109"/>
        <v/>
      </c>
      <c r="R730" s="103" t="str">
        <f t="shared" si="109"/>
        <v/>
      </c>
      <c r="S730" s="105"/>
      <c r="T730" s="103" t="s">
        <v>1827</v>
      </c>
      <c r="U730" s="103" t="s">
        <v>56</v>
      </c>
      <c r="V730" s="103" t="s">
        <v>1828</v>
      </c>
    </row>
    <row r="731" spans="1:22" ht="13.5">
      <c r="A731" s="102">
        <v>45632.67305331018</v>
      </c>
      <c r="B731" s="103" t="s">
        <v>1683</v>
      </c>
      <c r="C731" s="104" t="str">
        <f t="shared" si="108"/>
        <v>○</v>
      </c>
      <c r="D731" s="104" t="str">
        <f t="shared" si="108"/>
        <v>○</v>
      </c>
      <c r="E731" s="104" t="str">
        <f t="shared" si="108"/>
        <v>×</v>
      </c>
      <c r="F731" s="104" t="str">
        <f t="shared" si="108"/>
        <v>×</v>
      </c>
      <c r="G731" s="103" t="s">
        <v>13</v>
      </c>
      <c r="H731" s="103" t="s">
        <v>32</v>
      </c>
      <c r="I731" s="103" t="s">
        <v>1832</v>
      </c>
      <c r="J731" s="105"/>
      <c r="K731" s="103" t="s">
        <v>34</v>
      </c>
      <c r="L731" s="105"/>
      <c r="M731" s="110" t="str">
        <f t="shared" si="109"/>
        <v/>
      </c>
      <c r="N731" s="110" t="str">
        <f t="shared" si="109"/>
        <v/>
      </c>
      <c r="O731" s="110" t="str">
        <f t="shared" si="109"/>
        <v/>
      </c>
      <c r="P731" s="110" t="str">
        <f t="shared" si="109"/>
        <v/>
      </c>
      <c r="Q731" s="110" t="str">
        <f t="shared" si="109"/>
        <v/>
      </c>
      <c r="R731" s="105" t="str">
        <f t="shared" si="109"/>
        <v/>
      </c>
      <c r="S731" s="105"/>
      <c r="T731" s="103" t="s">
        <v>30</v>
      </c>
      <c r="U731" s="103" t="s">
        <v>56</v>
      </c>
      <c r="V731" s="103" t="s">
        <v>1833</v>
      </c>
    </row>
    <row r="732" spans="1:22" ht="13.5">
      <c r="A732" s="102">
        <v>45632.705966932874</v>
      </c>
      <c r="B732" s="103" t="s">
        <v>57</v>
      </c>
      <c r="C732" s="104" t="str">
        <f t="shared" si="108"/>
        <v>×</v>
      </c>
      <c r="D732" s="104" t="str">
        <f t="shared" si="108"/>
        <v>○</v>
      </c>
      <c r="E732" s="104" t="str">
        <f t="shared" si="108"/>
        <v>×</v>
      </c>
      <c r="F732" s="104" t="str">
        <f t="shared" si="108"/>
        <v>×</v>
      </c>
      <c r="G732" s="103" t="s">
        <v>20</v>
      </c>
      <c r="H732" s="105"/>
      <c r="I732" s="105"/>
      <c r="J732" s="103" t="s">
        <v>21</v>
      </c>
      <c r="K732" s="103" t="s">
        <v>16</v>
      </c>
      <c r="L732" s="103" t="s">
        <v>68</v>
      </c>
      <c r="M732" s="108" t="str">
        <f t="shared" ref="M732:R741" si="110">IF(ISERROR(SEARCH(M$1,$L732)),"","○")</f>
        <v/>
      </c>
      <c r="N732" s="108" t="str">
        <f t="shared" si="110"/>
        <v/>
      </c>
      <c r="O732" s="108" t="str">
        <f t="shared" si="110"/>
        <v/>
      </c>
      <c r="P732" s="108" t="str">
        <f t="shared" si="110"/>
        <v/>
      </c>
      <c r="Q732" s="108" t="str">
        <f t="shared" si="110"/>
        <v>○</v>
      </c>
      <c r="R732" s="103" t="str">
        <f t="shared" si="110"/>
        <v/>
      </c>
      <c r="S732" s="103" t="s">
        <v>1836</v>
      </c>
      <c r="T732" s="103" t="s">
        <v>1837</v>
      </c>
      <c r="U732" s="103" t="s">
        <v>56</v>
      </c>
      <c r="V732" s="105"/>
    </row>
    <row r="733" spans="1:22" ht="13.5">
      <c r="A733" s="102">
        <v>45632.842679259258</v>
      </c>
      <c r="B733" s="103" t="s">
        <v>64</v>
      </c>
      <c r="C733" s="104" t="str">
        <f t="shared" si="108"/>
        <v>○</v>
      </c>
      <c r="D733" s="104" t="str">
        <f t="shared" si="108"/>
        <v>○</v>
      </c>
      <c r="E733" s="104" t="str">
        <f t="shared" si="108"/>
        <v>×</v>
      </c>
      <c r="F733" s="104" t="str">
        <f t="shared" si="108"/>
        <v>×</v>
      </c>
      <c r="G733" s="103" t="s">
        <v>20</v>
      </c>
      <c r="H733" s="105"/>
      <c r="I733" s="105"/>
      <c r="J733" s="103" t="s">
        <v>38</v>
      </c>
      <c r="K733" s="103" t="s">
        <v>16</v>
      </c>
      <c r="L733" s="103" t="s">
        <v>189</v>
      </c>
      <c r="M733" s="108" t="str">
        <f t="shared" si="110"/>
        <v/>
      </c>
      <c r="N733" s="108" t="str">
        <f t="shared" si="110"/>
        <v/>
      </c>
      <c r="O733" s="108" t="str">
        <f t="shared" si="110"/>
        <v/>
      </c>
      <c r="P733" s="108" t="str">
        <f t="shared" si="110"/>
        <v>○</v>
      </c>
      <c r="Q733" s="108" t="str">
        <f t="shared" si="110"/>
        <v>○</v>
      </c>
      <c r="R733" s="103" t="str">
        <f t="shared" si="110"/>
        <v/>
      </c>
      <c r="S733" s="105"/>
      <c r="T733" s="103" t="s">
        <v>30</v>
      </c>
      <c r="U733" s="103" t="s">
        <v>56</v>
      </c>
      <c r="V733" s="105"/>
    </row>
    <row r="734" spans="1:22" ht="13.5">
      <c r="A734" s="102">
        <v>45633.379090740738</v>
      </c>
      <c r="B734" s="103" t="s">
        <v>429</v>
      </c>
      <c r="C734" s="104" t="str">
        <f t="shared" si="108"/>
        <v>×</v>
      </c>
      <c r="D734" s="104" t="str">
        <f t="shared" si="108"/>
        <v>×</v>
      </c>
      <c r="E734" s="104" t="str">
        <f t="shared" si="108"/>
        <v>○</v>
      </c>
      <c r="F734" s="104" t="str">
        <f t="shared" si="108"/>
        <v>○</v>
      </c>
      <c r="G734" s="103" t="s">
        <v>13</v>
      </c>
      <c r="H734" s="103" t="s">
        <v>32</v>
      </c>
      <c r="I734" s="103" t="s">
        <v>1859</v>
      </c>
      <c r="J734" s="105"/>
      <c r="K734" s="103" t="s">
        <v>34</v>
      </c>
      <c r="L734" s="105"/>
      <c r="M734" s="110" t="str">
        <f t="shared" si="110"/>
        <v/>
      </c>
      <c r="N734" s="110" t="str">
        <f t="shared" si="110"/>
        <v/>
      </c>
      <c r="O734" s="110" t="str">
        <f t="shared" si="110"/>
        <v/>
      </c>
      <c r="P734" s="110" t="str">
        <f t="shared" si="110"/>
        <v/>
      </c>
      <c r="Q734" s="110" t="str">
        <f t="shared" si="110"/>
        <v/>
      </c>
      <c r="R734" s="105" t="str">
        <f t="shared" si="110"/>
        <v/>
      </c>
      <c r="S734" s="105"/>
      <c r="T734" s="103" t="s">
        <v>24</v>
      </c>
      <c r="U734" s="103" t="s">
        <v>56</v>
      </c>
      <c r="V734" s="105"/>
    </row>
    <row r="735" spans="1:22" ht="13.5">
      <c r="A735" s="102">
        <v>45633.407919884259</v>
      </c>
      <c r="B735" s="103" t="s">
        <v>41</v>
      </c>
      <c r="C735" s="104" t="str">
        <f t="shared" si="108"/>
        <v>×</v>
      </c>
      <c r="D735" s="104" t="str">
        <f t="shared" si="108"/>
        <v>○</v>
      </c>
      <c r="E735" s="104" t="str">
        <f t="shared" si="108"/>
        <v>×</v>
      </c>
      <c r="F735" s="104" t="str">
        <f t="shared" si="108"/>
        <v>×</v>
      </c>
      <c r="G735" s="103" t="s">
        <v>20</v>
      </c>
      <c r="H735" s="105"/>
      <c r="I735" s="105"/>
      <c r="J735" s="103" t="s">
        <v>38</v>
      </c>
      <c r="K735" s="103" t="s">
        <v>16</v>
      </c>
      <c r="L735" s="103" t="s">
        <v>355</v>
      </c>
      <c r="M735" s="108" t="str">
        <f t="shared" si="110"/>
        <v/>
      </c>
      <c r="N735" s="108" t="str">
        <f t="shared" si="110"/>
        <v>○</v>
      </c>
      <c r="O735" s="108" t="str">
        <f t="shared" si="110"/>
        <v/>
      </c>
      <c r="P735" s="108" t="str">
        <f t="shared" si="110"/>
        <v>○</v>
      </c>
      <c r="Q735" s="108" t="str">
        <f t="shared" si="110"/>
        <v>○</v>
      </c>
      <c r="R735" s="103" t="str">
        <f t="shared" si="110"/>
        <v/>
      </c>
      <c r="S735" s="105"/>
      <c r="T735" s="103" t="s">
        <v>24</v>
      </c>
      <c r="U735" s="103" t="s">
        <v>56</v>
      </c>
      <c r="V735" s="103" t="s">
        <v>1864</v>
      </c>
    </row>
    <row r="736" spans="1:22" ht="13.5">
      <c r="A736" s="102">
        <v>45633.748071828704</v>
      </c>
      <c r="B736" s="103" t="s">
        <v>1893</v>
      </c>
      <c r="C736" s="104" t="str">
        <f t="shared" si="108"/>
        <v>×</v>
      </c>
      <c r="D736" s="104" t="str">
        <f t="shared" si="108"/>
        <v>○</v>
      </c>
      <c r="E736" s="104" t="str">
        <f t="shared" si="108"/>
        <v>○</v>
      </c>
      <c r="F736" s="104" t="str">
        <f t="shared" si="108"/>
        <v>×</v>
      </c>
      <c r="G736" s="103" t="s">
        <v>13</v>
      </c>
      <c r="H736" s="103" t="s">
        <v>32</v>
      </c>
      <c r="I736" s="103" t="s">
        <v>1894</v>
      </c>
      <c r="J736" s="105"/>
      <c r="K736" s="103" t="s">
        <v>34</v>
      </c>
      <c r="L736" s="105"/>
      <c r="M736" s="110" t="str">
        <f t="shared" si="110"/>
        <v/>
      </c>
      <c r="N736" s="110" t="str">
        <f t="shared" si="110"/>
        <v/>
      </c>
      <c r="O736" s="110" t="str">
        <f t="shared" si="110"/>
        <v/>
      </c>
      <c r="P736" s="110" t="str">
        <f t="shared" si="110"/>
        <v/>
      </c>
      <c r="Q736" s="110" t="str">
        <f t="shared" si="110"/>
        <v/>
      </c>
      <c r="R736" s="105" t="str">
        <f t="shared" si="110"/>
        <v/>
      </c>
      <c r="S736" s="105"/>
      <c r="T736" s="103" t="s">
        <v>24</v>
      </c>
      <c r="U736" s="103" t="s">
        <v>56</v>
      </c>
      <c r="V736" s="105"/>
    </row>
    <row r="737" spans="1:22" ht="13.5">
      <c r="A737" s="102">
        <v>45633.916358287039</v>
      </c>
      <c r="B737" s="103" t="s">
        <v>93</v>
      </c>
      <c r="C737" s="104" t="str">
        <f t="shared" si="108"/>
        <v>×</v>
      </c>
      <c r="D737" s="104" t="str">
        <f t="shared" si="108"/>
        <v>×</v>
      </c>
      <c r="E737" s="104" t="str">
        <f t="shared" si="108"/>
        <v>○</v>
      </c>
      <c r="F737" s="104" t="str">
        <f t="shared" si="108"/>
        <v>×</v>
      </c>
      <c r="G737" s="103" t="s">
        <v>13</v>
      </c>
      <c r="H737" s="103" t="s">
        <v>27</v>
      </c>
      <c r="I737" s="103" t="s">
        <v>1901</v>
      </c>
      <c r="J737" s="105"/>
      <c r="K737" s="103" t="s">
        <v>34</v>
      </c>
      <c r="L737" s="105"/>
      <c r="M737" s="110" t="str">
        <f t="shared" si="110"/>
        <v/>
      </c>
      <c r="N737" s="110" t="str">
        <f t="shared" si="110"/>
        <v/>
      </c>
      <c r="O737" s="110" t="str">
        <f t="shared" si="110"/>
        <v/>
      </c>
      <c r="P737" s="110" t="str">
        <f t="shared" si="110"/>
        <v/>
      </c>
      <c r="Q737" s="110" t="str">
        <f t="shared" si="110"/>
        <v/>
      </c>
      <c r="R737" s="105" t="str">
        <f t="shared" si="110"/>
        <v/>
      </c>
      <c r="S737" s="105"/>
      <c r="T737" s="103" t="s">
        <v>24</v>
      </c>
      <c r="U737" s="103" t="s">
        <v>56</v>
      </c>
      <c r="V737" s="105"/>
    </row>
    <row r="738" spans="1:22" ht="13.5">
      <c r="A738" s="102">
        <v>45634.36017861111</v>
      </c>
      <c r="B738" s="103" t="s">
        <v>105</v>
      </c>
      <c r="C738" s="104" t="str">
        <f t="shared" si="108"/>
        <v>×</v>
      </c>
      <c r="D738" s="104" t="str">
        <f t="shared" si="108"/>
        <v>×</v>
      </c>
      <c r="E738" s="104" t="str">
        <f t="shared" si="108"/>
        <v>○</v>
      </c>
      <c r="F738" s="104" t="str">
        <f t="shared" si="108"/>
        <v>×</v>
      </c>
      <c r="G738" s="103" t="s">
        <v>13</v>
      </c>
      <c r="H738" s="103" t="s">
        <v>77</v>
      </c>
      <c r="I738" s="103" t="s">
        <v>1902</v>
      </c>
      <c r="J738" s="105"/>
      <c r="K738" s="103" t="s">
        <v>34</v>
      </c>
      <c r="L738" s="105"/>
      <c r="M738" s="110" t="str">
        <f t="shared" si="110"/>
        <v/>
      </c>
      <c r="N738" s="110" t="str">
        <f t="shared" si="110"/>
        <v/>
      </c>
      <c r="O738" s="110" t="str">
        <f t="shared" si="110"/>
        <v/>
      </c>
      <c r="P738" s="110" t="str">
        <f t="shared" si="110"/>
        <v/>
      </c>
      <c r="Q738" s="110" t="str">
        <f t="shared" si="110"/>
        <v/>
      </c>
      <c r="R738" s="105" t="str">
        <f t="shared" si="110"/>
        <v/>
      </c>
      <c r="S738" s="105"/>
      <c r="T738" s="103" t="s">
        <v>30</v>
      </c>
      <c r="U738" s="103" t="s">
        <v>56</v>
      </c>
      <c r="V738" s="105"/>
    </row>
    <row r="739" spans="1:22" ht="13.5">
      <c r="A739" s="102">
        <v>45634.378615439811</v>
      </c>
      <c r="B739" s="103" t="s">
        <v>93</v>
      </c>
      <c r="C739" s="104" t="str">
        <f t="shared" si="108"/>
        <v>×</v>
      </c>
      <c r="D739" s="104" t="str">
        <f t="shared" si="108"/>
        <v>×</v>
      </c>
      <c r="E739" s="104" t="str">
        <f t="shared" si="108"/>
        <v>○</v>
      </c>
      <c r="F739" s="104" t="str">
        <f t="shared" si="108"/>
        <v>×</v>
      </c>
      <c r="G739" s="103" t="s">
        <v>20</v>
      </c>
      <c r="H739" s="105"/>
      <c r="I739" s="105"/>
      <c r="J739" s="103" t="s">
        <v>58</v>
      </c>
      <c r="K739" s="103" t="s">
        <v>16</v>
      </c>
      <c r="L739" s="103" t="s">
        <v>68</v>
      </c>
      <c r="M739" s="108" t="str">
        <f t="shared" si="110"/>
        <v/>
      </c>
      <c r="N739" s="108" t="str">
        <f t="shared" si="110"/>
        <v/>
      </c>
      <c r="O739" s="108" t="str">
        <f t="shared" si="110"/>
        <v/>
      </c>
      <c r="P739" s="108" t="str">
        <f t="shared" si="110"/>
        <v/>
      </c>
      <c r="Q739" s="108" t="str">
        <f t="shared" si="110"/>
        <v>○</v>
      </c>
      <c r="R739" s="103" t="str">
        <f t="shared" si="110"/>
        <v/>
      </c>
      <c r="S739" s="103" t="s">
        <v>1903</v>
      </c>
      <c r="T739" s="103" t="s">
        <v>30</v>
      </c>
      <c r="U739" s="103" t="s">
        <v>56</v>
      </c>
      <c r="V739" s="105"/>
    </row>
    <row r="740" spans="1:22" ht="13.5">
      <c r="A740" s="102">
        <v>45634.384131273153</v>
      </c>
      <c r="B740" s="103" t="s">
        <v>314</v>
      </c>
      <c r="C740" s="104" t="str">
        <f t="shared" si="108"/>
        <v>×</v>
      </c>
      <c r="D740" s="104" t="str">
        <f t="shared" si="108"/>
        <v>○</v>
      </c>
      <c r="E740" s="104" t="str">
        <f t="shared" si="108"/>
        <v>×</v>
      </c>
      <c r="F740" s="104" t="str">
        <f t="shared" si="108"/>
        <v>×</v>
      </c>
      <c r="G740" s="103" t="s">
        <v>20</v>
      </c>
      <c r="H740" s="105"/>
      <c r="I740" s="105"/>
      <c r="J740" s="103" t="s">
        <v>58</v>
      </c>
      <c r="K740" s="103" t="s">
        <v>16</v>
      </c>
      <c r="L740" s="103" t="s">
        <v>68</v>
      </c>
      <c r="M740" s="108" t="str">
        <f t="shared" si="110"/>
        <v/>
      </c>
      <c r="N740" s="108" t="str">
        <f t="shared" si="110"/>
        <v/>
      </c>
      <c r="O740" s="108" t="str">
        <f t="shared" si="110"/>
        <v/>
      </c>
      <c r="P740" s="108" t="str">
        <f t="shared" si="110"/>
        <v/>
      </c>
      <c r="Q740" s="108" t="str">
        <f t="shared" si="110"/>
        <v>○</v>
      </c>
      <c r="R740" s="103" t="str">
        <f t="shared" si="110"/>
        <v/>
      </c>
      <c r="S740" s="103" t="s">
        <v>1904</v>
      </c>
      <c r="T740" s="103" t="s">
        <v>24</v>
      </c>
      <c r="U740" s="103" t="s">
        <v>56</v>
      </c>
      <c r="V740" s="105"/>
    </row>
    <row r="741" spans="1:22" ht="13.5">
      <c r="A741" s="102">
        <v>45634.435736782412</v>
      </c>
      <c r="B741" s="103" t="s">
        <v>57</v>
      </c>
      <c r="C741" s="104" t="str">
        <f t="shared" si="108"/>
        <v>×</v>
      </c>
      <c r="D741" s="104" t="str">
        <f t="shared" si="108"/>
        <v>○</v>
      </c>
      <c r="E741" s="104" t="str">
        <f t="shared" si="108"/>
        <v>×</v>
      </c>
      <c r="F741" s="104" t="str">
        <f t="shared" si="108"/>
        <v>×</v>
      </c>
      <c r="G741" s="103" t="s">
        <v>20</v>
      </c>
      <c r="H741" s="105"/>
      <c r="I741" s="105"/>
      <c r="J741" s="103" t="s">
        <v>58</v>
      </c>
      <c r="K741" s="103" t="s">
        <v>16</v>
      </c>
      <c r="L741" s="103" t="s">
        <v>39</v>
      </c>
      <c r="M741" s="108" t="str">
        <f t="shared" si="110"/>
        <v/>
      </c>
      <c r="N741" s="108" t="str">
        <f t="shared" si="110"/>
        <v>○</v>
      </c>
      <c r="O741" s="108" t="str">
        <f t="shared" si="110"/>
        <v/>
      </c>
      <c r="P741" s="108" t="str">
        <f t="shared" si="110"/>
        <v/>
      </c>
      <c r="Q741" s="108" t="str">
        <f t="shared" si="110"/>
        <v/>
      </c>
      <c r="R741" s="103" t="str">
        <f t="shared" si="110"/>
        <v/>
      </c>
      <c r="S741" s="105"/>
      <c r="T741" s="103" t="s">
        <v>30</v>
      </c>
      <c r="U741" s="103" t="s">
        <v>56</v>
      </c>
      <c r="V741" s="103" t="s">
        <v>1907</v>
      </c>
    </row>
    <row r="742" spans="1:22" ht="13.5">
      <c r="A742" s="102">
        <v>45634.452144178242</v>
      </c>
      <c r="B742" s="103" t="s">
        <v>1908</v>
      </c>
      <c r="C742" s="104" t="str">
        <f t="shared" ref="C742:F761" si="111">IF(ISERROR(FIND(C$1,$B742)),"×","○")</f>
        <v>×</v>
      </c>
      <c r="D742" s="104" t="str">
        <f t="shared" si="111"/>
        <v>○</v>
      </c>
      <c r="E742" s="104" t="str">
        <f t="shared" si="111"/>
        <v>○</v>
      </c>
      <c r="F742" s="104" t="str">
        <f t="shared" si="111"/>
        <v>×</v>
      </c>
      <c r="G742" s="103" t="s">
        <v>20</v>
      </c>
      <c r="H742" s="105"/>
      <c r="I742" s="105"/>
      <c r="J742" s="103" t="s">
        <v>21</v>
      </c>
      <c r="K742" s="103" t="s">
        <v>16</v>
      </c>
      <c r="L742" s="103" t="s">
        <v>59</v>
      </c>
      <c r="M742" s="108" t="str">
        <f t="shared" ref="M742:R751" si="112">IF(ISERROR(SEARCH(M$1,$L742)),"","○")</f>
        <v/>
      </c>
      <c r="N742" s="108" t="str">
        <f t="shared" si="112"/>
        <v/>
      </c>
      <c r="O742" s="108" t="str">
        <f t="shared" si="112"/>
        <v/>
      </c>
      <c r="P742" s="108" t="str">
        <f t="shared" si="112"/>
        <v>○</v>
      </c>
      <c r="Q742" s="108" t="str">
        <f t="shared" si="112"/>
        <v/>
      </c>
      <c r="R742" s="103" t="str">
        <f t="shared" si="112"/>
        <v/>
      </c>
      <c r="S742" s="103" t="s">
        <v>1909</v>
      </c>
      <c r="T742" s="103" t="s">
        <v>24</v>
      </c>
      <c r="U742" s="103" t="s">
        <v>56</v>
      </c>
      <c r="V742" s="103" t="s">
        <v>1910</v>
      </c>
    </row>
    <row r="743" spans="1:22" ht="13.5">
      <c r="A743" s="102">
        <v>45634.4538918287</v>
      </c>
      <c r="B743" s="103" t="s">
        <v>181</v>
      </c>
      <c r="C743" s="104" t="str">
        <f t="shared" si="111"/>
        <v>×</v>
      </c>
      <c r="D743" s="104" t="str">
        <f t="shared" si="111"/>
        <v>○</v>
      </c>
      <c r="E743" s="104" t="str">
        <f t="shared" si="111"/>
        <v>×</v>
      </c>
      <c r="F743" s="104" t="str">
        <f t="shared" si="111"/>
        <v>×</v>
      </c>
      <c r="G743" s="103" t="s">
        <v>20</v>
      </c>
      <c r="H743" s="105"/>
      <c r="I743" s="105"/>
      <c r="J743" s="103" t="s">
        <v>21</v>
      </c>
      <c r="K743" s="103" t="s">
        <v>16</v>
      </c>
      <c r="L743" s="103" t="s">
        <v>1911</v>
      </c>
      <c r="M743" s="108" t="str">
        <f t="shared" si="112"/>
        <v/>
      </c>
      <c r="N743" s="108" t="str">
        <f t="shared" si="112"/>
        <v/>
      </c>
      <c r="O743" s="108" t="str">
        <f t="shared" si="112"/>
        <v/>
      </c>
      <c r="P743" s="108" t="str">
        <f t="shared" si="112"/>
        <v/>
      </c>
      <c r="Q743" s="108" t="str">
        <f t="shared" si="112"/>
        <v/>
      </c>
      <c r="R743" s="103" t="str">
        <f t="shared" si="112"/>
        <v/>
      </c>
      <c r="S743" s="105"/>
      <c r="T743" s="103" t="s">
        <v>30</v>
      </c>
      <c r="U743" s="103" t="s">
        <v>56</v>
      </c>
      <c r="V743" s="105"/>
    </row>
    <row r="744" spans="1:22" ht="13.5">
      <c r="A744" s="102">
        <v>45634.547844780092</v>
      </c>
      <c r="B744" s="103" t="s">
        <v>71</v>
      </c>
      <c r="C744" s="104" t="str">
        <f t="shared" si="111"/>
        <v>×</v>
      </c>
      <c r="D744" s="104" t="str">
        <f t="shared" si="111"/>
        <v>○</v>
      </c>
      <c r="E744" s="104" t="str">
        <f t="shared" si="111"/>
        <v>○</v>
      </c>
      <c r="F744" s="104" t="str">
        <f t="shared" si="111"/>
        <v>×</v>
      </c>
      <c r="G744" s="103" t="s">
        <v>20</v>
      </c>
      <c r="H744" s="105"/>
      <c r="I744" s="105"/>
      <c r="J744" s="103" t="s">
        <v>58</v>
      </c>
      <c r="K744" s="103" t="s">
        <v>16</v>
      </c>
      <c r="L744" s="103" t="s">
        <v>39</v>
      </c>
      <c r="M744" s="108" t="str">
        <f t="shared" si="112"/>
        <v/>
      </c>
      <c r="N744" s="108" t="str">
        <f t="shared" si="112"/>
        <v>○</v>
      </c>
      <c r="O744" s="108" t="str">
        <f t="shared" si="112"/>
        <v/>
      </c>
      <c r="P744" s="108" t="str">
        <f t="shared" si="112"/>
        <v/>
      </c>
      <c r="Q744" s="108" t="str">
        <f t="shared" si="112"/>
        <v/>
      </c>
      <c r="R744" s="103" t="str">
        <f t="shared" si="112"/>
        <v/>
      </c>
      <c r="S744" s="105"/>
      <c r="T744" s="103" t="s">
        <v>30</v>
      </c>
      <c r="U744" s="103" t="s">
        <v>56</v>
      </c>
      <c r="V744" s="105"/>
    </row>
    <row r="745" spans="1:22" ht="13.5">
      <c r="A745" s="102">
        <v>45634.558103611111</v>
      </c>
      <c r="B745" s="103" t="s">
        <v>41</v>
      </c>
      <c r="C745" s="104" t="str">
        <f t="shared" si="111"/>
        <v>×</v>
      </c>
      <c r="D745" s="104" t="str">
        <f t="shared" si="111"/>
        <v>○</v>
      </c>
      <c r="E745" s="104" t="str">
        <f t="shared" si="111"/>
        <v>×</v>
      </c>
      <c r="F745" s="104" t="str">
        <f t="shared" si="111"/>
        <v>×</v>
      </c>
      <c r="G745" s="103" t="s">
        <v>13</v>
      </c>
      <c r="H745" s="103" t="s">
        <v>27</v>
      </c>
      <c r="I745" s="103" t="s">
        <v>1914</v>
      </c>
      <c r="J745" s="105"/>
      <c r="K745" s="103" t="s">
        <v>34</v>
      </c>
      <c r="L745" s="105"/>
      <c r="M745" s="110" t="str">
        <f t="shared" si="112"/>
        <v/>
      </c>
      <c r="N745" s="110" t="str">
        <f t="shared" si="112"/>
        <v/>
      </c>
      <c r="O745" s="110" t="str">
        <f t="shared" si="112"/>
        <v/>
      </c>
      <c r="P745" s="110" t="str">
        <f t="shared" si="112"/>
        <v/>
      </c>
      <c r="Q745" s="110" t="str">
        <f t="shared" si="112"/>
        <v/>
      </c>
      <c r="R745" s="105" t="str">
        <f t="shared" si="112"/>
        <v/>
      </c>
      <c r="S745" s="105"/>
      <c r="T745" s="103" t="s">
        <v>30</v>
      </c>
      <c r="U745" s="103" t="s">
        <v>56</v>
      </c>
      <c r="V745" s="105"/>
    </row>
    <row r="746" spans="1:22" ht="13.5">
      <c r="A746" s="102">
        <v>45634.655681527773</v>
      </c>
      <c r="B746" s="103" t="s">
        <v>105</v>
      </c>
      <c r="C746" s="104" t="str">
        <f t="shared" si="111"/>
        <v>×</v>
      </c>
      <c r="D746" s="104" t="str">
        <f t="shared" si="111"/>
        <v>×</v>
      </c>
      <c r="E746" s="104" t="str">
        <f t="shared" si="111"/>
        <v>○</v>
      </c>
      <c r="F746" s="104" t="str">
        <f t="shared" si="111"/>
        <v>×</v>
      </c>
      <c r="G746" s="103" t="s">
        <v>20</v>
      </c>
      <c r="H746" s="105"/>
      <c r="I746" s="105"/>
      <c r="J746" s="103" t="s">
        <v>58</v>
      </c>
      <c r="K746" s="103" t="s">
        <v>16</v>
      </c>
      <c r="L746" s="103" t="s">
        <v>68</v>
      </c>
      <c r="M746" s="108" t="str">
        <f t="shared" si="112"/>
        <v/>
      </c>
      <c r="N746" s="108" t="str">
        <f t="shared" si="112"/>
        <v/>
      </c>
      <c r="O746" s="108" t="str">
        <f t="shared" si="112"/>
        <v/>
      </c>
      <c r="P746" s="108" t="str">
        <f t="shared" si="112"/>
        <v/>
      </c>
      <c r="Q746" s="108" t="str">
        <f t="shared" si="112"/>
        <v>○</v>
      </c>
      <c r="R746" s="103" t="str">
        <f t="shared" si="112"/>
        <v/>
      </c>
      <c r="S746" s="103" t="s">
        <v>1925</v>
      </c>
      <c r="T746" s="103" t="s">
        <v>30</v>
      </c>
      <c r="U746" s="103" t="s">
        <v>56</v>
      </c>
      <c r="V746" s="103" t="s">
        <v>1926</v>
      </c>
    </row>
    <row r="747" spans="1:22" ht="13.5">
      <c r="A747" s="102">
        <v>45634.686187418978</v>
      </c>
      <c r="B747" s="103" t="s">
        <v>312</v>
      </c>
      <c r="C747" s="104" t="str">
        <f t="shared" si="111"/>
        <v>×</v>
      </c>
      <c r="D747" s="104" t="str">
        <f t="shared" si="111"/>
        <v>○</v>
      </c>
      <c r="E747" s="104" t="str">
        <f t="shared" si="111"/>
        <v>×</v>
      </c>
      <c r="F747" s="104" t="str">
        <f t="shared" si="111"/>
        <v>×</v>
      </c>
      <c r="G747" s="103" t="s">
        <v>20</v>
      </c>
      <c r="H747" s="105"/>
      <c r="I747" s="105"/>
      <c r="J747" s="103" t="s">
        <v>38</v>
      </c>
      <c r="K747" s="103" t="s">
        <v>16</v>
      </c>
      <c r="L747" s="103" t="s">
        <v>88</v>
      </c>
      <c r="M747" s="108" t="str">
        <f t="shared" si="112"/>
        <v/>
      </c>
      <c r="N747" s="108" t="str">
        <f t="shared" si="112"/>
        <v>○</v>
      </c>
      <c r="O747" s="108" t="str">
        <f t="shared" si="112"/>
        <v/>
      </c>
      <c r="P747" s="108" t="str">
        <f t="shared" si="112"/>
        <v/>
      </c>
      <c r="Q747" s="108" t="str">
        <f t="shared" si="112"/>
        <v>○</v>
      </c>
      <c r="R747" s="103" t="str">
        <f t="shared" si="112"/>
        <v/>
      </c>
      <c r="S747" s="103" t="s">
        <v>1928</v>
      </c>
      <c r="T747" s="103" t="s">
        <v>30</v>
      </c>
      <c r="U747" s="103" t="s">
        <v>56</v>
      </c>
      <c r="V747" s="105"/>
    </row>
    <row r="748" spans="1:22" ht="13.5">
      <c r="A748" s="102">
        <v>45634.706786006944</v>
      </c>
      <c r="B748" s="103" t="s">
        <v>90</v>
      </c>
      <c r="C748" s="104" t="str">
        <f t="shared" si="111"/>
        <v>×</v>
      </c>
      <c r="D748" s="104" t="str">
        <f t="shared" si="111"/>
        <v>×</v>
      </c>
      <c r="E748" s="104" t="str">
        <f t="shared" si="111"/>
        <v>○</v>
      </c>
      <c r="F748" s="104" t="str">
        <f t="shared" si="111"/>
        <v>×</v>
      </c>
      <c r="G748" s="103" t="s">
        <v>13</v>
      </c>
      <c r="H748" s="103" t="s">
        <v>14</v>
      </c>
      <c r="I748" s="103" t="s">
        <v>1939</v>
      </c>
      <c r="J748" s="105"/>
      <c r="K748" s="103" t="s">
        <v>16</v>
      </c>
      <c r="L748" s="103" t="s">
        <v>1940</v>
      </c>
      <c r="M748" s="108" t="str">
        <f t="shared" si="112"/>
        <v/>
      </c>
      <c r="N748" s="108" t="str">
        <f t="shared" si="112"/>
        <v/>
      </c>
      <c r="O748" s="108" t="str">
        <f t="shared" si="112"/>
        <v/>
      </c>
      <c r="P748" s="108" t="str">
        <f t="shared" si="112"/>
        <v/>
      </c>
      <c r="Q748" s="108" t="str">
        <f t="shared" si="112"/>
        <v/>
      </c>
      <c r="R748" s="103" t="str">
        <f t="shared" si="112"/>
        <v/>
      </c>
      <c r="S748" s="105"/>
      <c r="T748" s="103" t="s">
        <v>61</v>
      </c>
      <c r="U748" s="103" t="s">
        <v>56</v>
      </c>
      <c r="V748" s="105"/>
    </row>
    <row r="749" spans="1:22" ht="13.5">
      <c r="A749" s="102">
        <v>45634.709557372684</v>
      </c>
      <c r="B749" s="103" t="s">
        <v>312</v>
      </c>
      <c r="C749" s="104" t="str">
        <f t="shared" si="111"/>
        <v>×</v>
      </c>
      <c r="D749" s="104" t="str">
        <f t="shared" si="111"/>
        <v>○</v>
      </c>
      <c r="E749" s="104" t="str">
        <f t="shared" si="111"/>
        <v>×</v>
      </c>
      <c r="F749" s="104" t="str">
        <f t="shared" si="111"/>
        <v>×</v>
      </c>
      <c r="G749" s="103" t="s">
        <v>20</v>
      </c>
      <c r="H749" s="105"/>
      <c r="I749" s="105"/>
      <c r="J749" s="103" t="s">
        <v>38</v>
      </c>
      <c r="K749" s="103" t="s">
        <v>16</v>
      </c>
      <c r="L749" s="103" t="s">
        <v>59</v>
      </c>
      <c r="M749" s="108" t="str">
        <f t="shared" si="112"/>
        <v/>
      </c>
      <c r="N749" s="108" t="str">
        <f t="shared" si="112"/>
        <v/>
      </c>
      <c r="O749" s="108" t="str">
        <f t="shared" si="112"/>
        <v/>
      </c>
      <c r="P749" s="108" t="str">
        <f t="shared" si="112"/>
        <v>○</v>
      </c>
      <c r="Q749" s="108" t="str">
        <f t="shared" si="112"/>
        <v/>
      </c>
      <c r="R749" s="103" t="str">
        <f t="shared" si="112"/>
        <v/>
      </c>
      <c r="S749" s="103" t="s">
        <v>1941</v>
      </c>
      <c r="T749" s="103" t="s">
        <v>30</v>
      </c>
      <c r="U749" s="103" t="s">
        <v>56</v>
      </c>
      <c r="V749" s="105"/>
    </row>
    <row r="750" spans="1:22" ht="13.5">
      <c r="A750" s="102">
        <v>45634.852776250002</v>
      </c>
      <c r="B750" s="103" t="s">
        <v>1944</v>
      </c>
      <c r="C750" s="104" t="str">
        <f t="shared" si="111"/>
        <v>○</v>
      </c>
      <c r="D750" s="104" t="str">
        <f t="shared" si="111"/>
        <v>○</v>
      </c>
      <c r="E750" s="104" t="str">
        <f t="shared" si="111"/>
        <v>×</v>
      </c>
      <c r="F750" s="104" t="str">
        <f t="shared" si="111"/>
        <v>×</v>
      </c>
      <c r="G750" s="103" t="s">
        <v>20</v>
      </c>
      <c r="H750" s="105"/>
      <c r="I750" s="105"/>
      <c r="J750" s="103" t="s">
        <v>58</v>
      </c>
      <c r="K750" s="103" t="s">
        <v>16</v>
      </c>
      <c r="L750" s="103" t="s">
        <v>39</v>
      </c>
      <c r="M750" s="108" t="str">
        <f t="shared" si="112"/>
        <v/>
      </c>
      <c r="N750" s="108" t="str">
        <f t="shared" si="112"/>
        <v>○</v>
      </c>
      <c r="O750" s="108" t="str">
        <f t="shared" si="112"/>
        <v/>
      </c>
      <c r="P750" s="108" t="str">
        <f t="shared" si="112"/>
        <v/>
      </c>
      <c r="Q750" s="108" t="str">
        <f t="shared" si="112"/>
        <v/>
      </c>
      <c r="R750" s="103" t="str">
        <f t="shared" si="112"/>
        <v/>
      </c>
      <c r="S750" s="105"/>
      <c r="T750" s="103" t="s">
        <v>30</v>
      </c>
      <c r="U750" s="103" t="s">
        <v>56</v>
      </c>
      <c r="V750" s="105"/>
    </row>
    <row r="751" spans="1:22" ht="13.5">
      <c r="A751" s="102">
        <v>45634.892292326389</v>
      </c>
      <c r="B751" s="103" t="s">
        <v>1947</v>
      </c>
      <c r="C751" s="104" t="str">
        <f t="shared" si="111"/>
        <v>×</v>
      </c>
      <c r="D751" s="104" t="str">
        <f t="shared" si="111"/>
        <v>○</v>
      </c>
      <c r="E751" s="104" t="str">
        <f t="shared" si="111"/>
        <v>○</v>
      </c>
      <c r="F751" s="104" t="str">
        <f t="shared" si="111"/>
        <v>○</v>
      </c>
      <c r="G751" s="103" t="s">
        <v>13</v>
      </c>
      <c r="H751" s="103" t="s">
        <v>32</v>
      </c>
      <c r="I751" s="103" t="s">
        <v>1948</v>
      </c>
      <c r="J751" s="105"/>
      <c r="K751" s="103" t="s">
        <v>34</v>
      </c>
      <c r="L751" s="105"/>
      <c r="M751" s="110" t="str">
        <f t="shared" si="112"/>
        <v/>
      </c>
      <c r="N751" s="110" t="str">
        <f t="shared" si="112"/>
        <v/>
      </c>
      <c r="O751" s="110" t="str">
        <f t="shared" si="112"/>
        <v/>
      </c>
      <c r="P751" s="110" t="str">
        <f t="shared" si="112"/>
        <v/>
      </c>
      <c r="Q751" s="110" t="str">
        <f t="shared" si="112"/>
        <v/>
      </c>
      <c r="R751" s="105" t="str">
        <f t="shared" si="112"/>
        <v/>
      </c>
      <c r="S751" s="105"/>
      <c r="T751" s="103" t="s">
        <v>35</v>
      </c>
      <c r="U751" s="103" t="s">
        <v>56</v>
      </c>
      <c r="V751" s="105"/>
    </row>
    <row r="752" spans="1:22" ht="13.5">
      <c r="A752" s="102">
        <v>45634.929156331018</v>
      </c>
      <c r="B752" s="103" t="s">
        <v>57</v>
      </c>
      <c r="C752" s="104" t="str">
        <f t="shared" si="111"/>
        <v>×</v>
      </c>
      <c r="D752" s="104" t="str">
        <f t="shared" si="111"/>
        <v>○</v>
      </c>
      <c r="E752" s="104" t="str">
        <f t="shared" si="111"/>
        <v>×</v>
      </c>
      <c r="F752" s="104" t="str">
        <f t="shared" si="111"/>
        <v>×</v>
      </c>
      <c r="G752" s="103" t="s">
        <v>13</v>
      </c>
      <c r="H752" s="103" t="s">
        <v>14</v>
      </c>
      <c r="I752" s="103" t="s">
        <v>1949</v>
      </c>
      <c r="J752" s="105"/>
      <c r="K752" s="103" t="s">
        <v>34</v>
      </c>
      <c r="L752" s="105"/>
      <c r="M752" s="110" t="str">
        <f t="shared" ref="M752:R761" si="113">IF(ISERROR(SEARCH(M$1,$L752)),"","○")</f>
        <v/>
      </c>
      <c r="N752" s="110" t="str">
        <f t="shared" si="113"/>
        <v/>
      </c>
      <c r="O752" s="110" t="str">
        <f t="shared" si="113"/>
        <v/>
      </c>
      <c r="P752" s="110" t="str">
        <f t="shared" si="113"/>
        <v/>
      </c>
      <c r="Q752" s="110" t="str">
        <f t="shared" si="113"/>
        <v/>
      </c>
      <c r="R752" s="105" t="str">
        <f t="shared" si="113"/>
        <v/>
      </c>
      <c r="S752" s="105"/>
      <c r="T752" s="103" t="s">
        <v>30</v>
      </c>
      <c r="U752" s="103" t="s">
        <v>56</v>
      </c>
      <c r="V752" s="103" t="s">
        <v>1950</v>
      </c>
    </row>
    <row r="753" spans="1:22" ht="13.5">
      <c r="A753" s="102">
        <v>45634.943676122683</v>
      </c>
      <c r="B753" s="103" t="s">
        <v>181</v>
      </c>
      <c r="C753" s="104" t="str">
        <f t="shared" si="111"/>
        <v>×</v>
      </c>
      <c r="D753" s="104" t="str">
        <f t="shared" si="111"/>
        <v>○</v>
      </c>
      <c r="E753" s="104" t="str">
        <f t="shared" si="111"/>
        <v>×</v>
      </c>
      <c r="F753" s="104" t="str">
        <f t="shared" si="111"/>
        <v>×</v>
      </c>
      <c r="G753" s="103" t="s">
        <v>20</v>
      </c>
      <c r="H753" s="105"/>
      <c r="I753" s="105"/>
      <c r="J753" s="103" t="s">
        <v>58</v>
      </c>
      <c r="K753" s="103" t="s">
        <v>16</v>
      </c>
      <c r="L753" s="103" t="s">
        <v>39</v>
      </c>
      <c r="M753" s="108" t="str">
        <f t="shared" si="113"/>
        <v/>
      </c>
      <c r="N753" s="108" t="str">
        <f t="shared" si="113"/>
        <v>○</v>
      </c>
      <c r="O753" s="108" t="str">
        <f t="shared" si="113"/>
        <v/>
      </c>
      <c r="P753" s="108" t="str">
        <f t="shared" si="113"/>
        <v/>
      </c>
      <c r="Q753" s="108" t="str">
        <f t="shared" si="113"/>
        <v/>
      </c>
      <c r="R753" s="103" t="str">
        <f t="shared" si="113"/>
        <v/>
      </c>
      <c r="S753" s="105"/>
      <c r="T753" s="103" t="s">
        <v>30</v>
      </c>
      <c r="U753" s="103" t="s">
        <v>56</v>
      </c>
      <c r="V753" s="103" t="s">
        <v>1951</v>
      </c>
    </row>
    <row r="754" spans="1:22" ht="13.5">
      <c r="A754" s="102">
        <v>45634.987435405092</v>
      </c>
      <c r="B754" s="103" t="s">
        <v>105</v>
      </c>
      <c r="C754" s="104" t="str">
        <f t="shared" si="111"/>
        <v>×</v>
      </c>
      <c r="D754" s="104" t="str">
        <f t="shared" si="111"/>
        <v>×</v>
      </c>
      <c r="E754" s="104" t="str">
        <f t="shared" si="111"/>
        <v>○</v>
      </c>
      <c r="F754" s="104" t="str">
        <f t="shared" si="111"/>
        <v>×</v>
      </c>
      <c r="G754" s="103" t="s">
        <v>20</v>
      </c>
      <c r="H754" s="105"/>
      <c r="I754" s="105"/>
      <c r="J754" s="103" t="s">
        <v>58</v>
      </c>
      <c r="K754" s="103" t="s">
        <v>16</v>
      </c>
      <c r="L754" s="103" t="s">
        <v>68</v>
      </c>
      <c r="M754" s="108" t="str">
        <f t="shared" si="113"/>
        <v/>
      </c>
      <c r="N754" s="108" t="str">
        <f t="shared" si="113"/>
        <v/>
      </c>
      <c r="O754" s="108" t="str">
        <f t="shared" si="113"/>
        <v/>
      </c>
      <c r="P754" s="108" t="str">
        <f t="shared" si="113"/>
        <v/>
      </c>
      <c r="Q754" s="108" t="str">
        <f t="shared" si="113"/>
        <v>○</v>
      </c>
      <c r="R754" s="103" t="str">
        <f t="shared" si="113"/>
        <v/>
      </c>
      <c r="S754" s="103" t="s">
        <v>1952</v>
      </c>
      <c r="T754" s="103" t="s">
        <v>30</v>
      </c>
      <c r="U754" s="103" t="s">
        <v>56</v>
      </c>
      <c r="V754" s="105"/>
    </row>
    <row r="755" spans="1:22" ht="13.5">
      <c r="A755" s="102">
        <v>45635.320462523145</v>
      </c>
      <c r="B755" s="103" t="s">
        <v>164</v>
      </c>
      <c r="C755" s="104" t="str">
        <f t="shared" si="111"/>
        <v>×</v>
      </c>
      <c r="D755" s="104" t="str">
        <f t="shared" si="111"/>
        <v>○</v>
      </c>
      <c r="E755" s="104" t="str">
        <f t="shared" si="111"/>
        <v>×</v>
      </c>
      <c r="F755" s="104" t="str">
        <f t="shared" si="111"/>
        <v>×</v>
      </c>
      <c r="G755" s="103" t="s">
        <v>13</v>
      </c>
      <c r="H755" s="103" t="s">
        <v>27</v>
      </c>
      <c r="I755" s="103" t="s">
        <v>1966</v>
      </c>
      <c r="J755" s="105"/>
      <c r="K755" s="103" t="s">
        <v>34</v>
      </c>
      <c r="L755" s="105"/>
      <c r="M755" s="110" t="str">
        <f t="shared" si="113"/>
        <v/>
      </c>
      <c r="N755" s="110" t="str">
        <f t="shared" si="113"/>
        <v/>
      </c>
      <c r="O755" s="110" t="str">
        <f t="shared" si="113"/>
        <v/>
      </c>
      <c r="P755" s="110" t="str">
        <f t="shared" si="113"/>
        <v/>
      </c>
      <c r="Q755" s="110" t="str">
        <f t="shared" si="113"/>
        <v/>
      </c>
      <c r="R755" s="105" t="str">
        <f t="shared" si="113"/>
        <v/>
      </c>
      <c r="S755" s="105"/>
      <c r="T755" s="103" t="s">
        <v>35</v>
      </c>
      <c r="U755" s="103" t="s">
        <v>56</v>
      </c>
      <c r="V755" s="105"/>
    </row>
    <row r="756" spans="1:22" ht="13.5">
      <c r="A756" s="102">
        <v>45635.670711782412</v>
      </c>
      <c r="B756" s="103" t="s">
        <v>164</v>
      </c>
      <c r="C756" s="104" t="str">
        <f t="shared" si="111"/>
        <v>×</v>
      </c>
      <c r="D756" s="104" t="str">
        <f t="shared" si="111"/>
        <v>○</v>
      </c>
      <c r="E756" s="104" t="str">
        <f t="shared" si="111"/>
        <v>×</v>
      </c>
      <c r="F756" s="104" t="str">
        <f t="shared" si="111"/>
        <v>×</v>
      </c>
      <c r="G756" s="103" t="s">
        <v>13</v>
      </c>
      <c r="H756" s="103" t="s">
        <v>32</v>
      </c>
      <c r="I756" s="103" t="s">
        <v>1979</v>
      </c>
      <c r="J756" s="105"/>
      <c r="K756" s="103" t="s">
        <v>34</v>
      </c>
      <c r="L756" s="105"/>
      <c r="M756" s="110" t="str">
        <f t="shared" si="113"/>
        <v/>
      </c>
      <c r="N756" s="110" t="str">
        <f t="shared" si="113"/>
        <v/>
      </c>
      <c r="O756" s="110" t="str">
        <f t="shared" si="113"/>
        <v/>
      </c>
      <c r="P756" s="110" t="str">
        <f t="shared" si="113"/>
        <v/>
      </c>
      <c r="Q756" s="110" t="str">
        <f t="shared" si="113"/>
        <v/>
      </c>
      <c r="R756" s="105" t="str">
        <f t="shared" si="113"/>
        <v/>
      </c>
      <c r="S756" s="105"/>
      <c r="T756" s="103" t="s">
        <v>30</v>
      </c>
      <c r="U756" s="103" t="s">
        <v>56</v>
      </c>
      <c r="V756" s="105"/>
    </row>
    <row r="757" spans="1:22" ht="13.5">
      <c r="A757" s="102">
        <v>45635.786097476856</v>
      </c>
      <c r="B757" s="103" t="s">
        <v>1989</v>
      </c>
      <c r="C757" s="104" t="str">
        <f t="shared" si="111"/>
        <v>×</v>
      </c>
      <c r="D757" s="104" t="str">
        <f t="shared" si="111"/>
        <v>○</v>
      </c>
      <c r="E757" s="104" t="str">
        <f t="shared" si="111"/>
        <v>○</v>
      </c>
      <c r="F757" s="104" t="str">
        <f t="shared" si="111"/>
        <v>×</v>
      </c>
      <c r="G757" s="103" t="s">
        <v>20</v>
      </c>
      <c r="H757" s="105"/>
      <c r="I757" s="105"/>
      <c r="J757" s="103" t="s">
        <v>21</v>
      </c>
      <c r="K757" s="103" t="s">
        <v>16</v>
      </c>
      <c r="L757" s="103" t="s">
        <v>59</v>
      </c>
      <c r="M757" s="108" t="str">
        <f t="shared" si="113"/>
        <v/>
      </c>
      <c r="N757" s="108" t="str">
        <f t="shared" si="113"/>
        <v/>
      </c>
      <c r="O757" s="108" t="str">
        <f t="shared" si="113"/>
        <v/>
      </c>
      <c r="P757" s="108" t="str">
        <f t="shared" si="113"/>
        <v>○</v>
      </c>
      <c r="Q757" s="108" t="str">
        <f t="shared" si="113"/>
        <v/>
      </c>
      <c r="R757" s="103" t="str">
        <f t="shared" si="113"/>
        <v/>
      </c>
      <c r="S757" s="103" t="s">
        <v>1990</v>
      </c>
      <c r="T757" s="103" t="s">
        <v>61</v>
      </c>
      <c r="U757" s="103" t="s">
        <v>56</v>
      </c>
      <c r="V757" s="105"/>
    </row>
    <row r="758" spans="1:22" ht="13.5">
      <c r="A758" s="102">
        <v>45635.991117569443</v>
      </c>
      <c r="B758" s="103" t="s">
        <v>71</v>
      </c>
      <c r="C758" s="104" t="str">
        <f t="shared" si="111"/>
        <v>×</v>
      </c>
      <c r="D758" s="104" t="str">
        <f t="shared" si="111"/>
        <v>○</v>
      </c>
      <c r="E758" s="104" t="str">
        <f t="shared" si="111"/>
        <v>○</v>
      </c>
      <c r="F758" s="104" t="str">
        <f t="shared" si="111"/>
        <v>×</v>
      </c>
      <c r="G758" s="103" t="s">
        <v>20</v>
      </c>
      <c r="H758" s="105"/>
      <c r="I758" s="105"/>
      <c r="J758" s="103" t="s">
        <v>58</v>
      </c>
      <c r="K758" s="103" t="s">
        <v>16</v>
      </c>
      <c r="L758" s="103" t="s">
        <v>68</v>
      </c>
      <c r="M758" s="108" t="str">
        <f t="shared" si="113"/>
        <v/>
      </c>
      <c r="N758" s="108" t="str">
        <f t="shared" si="113"/>
        <v/>
      </c>
      <c r="O758" s="108" t="str">
        <f t="shared" si="113"/>
        <v/>
      </c>
      <c r="P758" s="108" t="str">
        <f t="shared" si="113"/>
        <v/>
      </c>
      <c r="Q758" s="108" t="str">
        <f t="shared" si="113"/>
        <v>○</v>
      </c>
      <c r="R758" s="103" t="str">
        <f t="shared" si="113"/>
        <v/>
      </c>
      <c r="S758" s="103" t="s">
        <v>2002</v>
      </c>
      <c r="T758" s="103" t="s">
        <v>30</v>
      </c>
      <c r="U758" s="103" t="s">
        <v>56</v>
      </c>
      <c r="V758" s="103" t="s">
        <v>2003</v>
      </c>
    </row>
    <row r="759" spans="1:22" ht="13.5">
      <c r="A759" s="102">
        <v>45634.61514105324</v>
      </c>
      <c r="B759" s="103" t="s">
        <v>164</v>
      </c>
      <c r="C759" s="104" t="str">
        <f t="shared" si="111"/>
        <v>×</v>
      </c>
      <c r="D759" s="104" t="str">
        <f t="shared" si="111"/>
        <v>○</v>
      </c>
      <c r="E759" s="104" t="str">
        <f t="shared" si="111"/>
        <v>×</v>
      </c>
      <c r="F759" s="104" t="str">
        <f t="shared" si="111"/>
        <v>×</v>
      </c>
      <c r="G759" s="103" t="s">
        <v>13</v>
      </c>
      <c r="H759" s="103" t="s">
        <v>27</v>
      </c>
      <c r="I759" s="103" t="s">
        <v>1922</v>
      </c>
      <c r="J759" s="105"/>
      <c r="K759" s="103" t="s">
        <v>34</v>
      </c>
      <c r="L759" s="105"/>
      <c r="M759" s="110" t="str">
        <f t="shared" si="113"/>
        <v/>
      </c>
      <c r="N759" s="110" t="str">
        <f t="shared" si="113"/>
        <v/>
      </c>
      <c r="O759" s="110" t="str">
        <f t="shared" si="113"/>
        <v/>
      </c>
      <c r="P759" s="110" t="str">
        <f t="shared" si="113"/>
        <v/>
      </c>
      <c r="Q759" s="110" t="str">
        <f t="shared" si="113"/>
        <v/>
      </c>
      <c r="R759" s="105" t="str">
        <f t="shared" si="113"/>
        <v/>
      </c>
      <c r="S759" s="105"/>
      <c r="T759" s="103" t="s">
        <v>61</v>
      </c>
      <c r="U759" s="103" t="s">
        <v>1923</v>
      </c>
      <c r="V759" s="103" t="s">
        <v>1924</v>
      </c>
    </row>
    <row r="760" spans="1:22" ht="13.5">
      <c r="A760" s="102">
        <v>45627.938841469906</v>
      </c>
      <c r="B760" s="103" t="s">
        <v>49</v>
      </c>
      <c r="C760" s="104" t="str">
        <f t="shared" si="111"/>
        <v>×</v>
      </c>
      <c r="D760" s="104" t="str">
        <f t="shared" si="111"/>
        <v>○</v>
      </c>
      <c r="E760" s="104" t="str">
        <f t="shared" si="111"/>
        <v>×</v>
      </c>
      <c r="F760" s="104" t="str">
        <f t="shared" si="111"/>
        <v>×</v>
      </c>
      <c r="G760" s="103" t="s">
        <v>20</v>
      </c>
      <c r="H760" s="105"/>
      <c r="I760" s="105"/>
      <c r="J760" s="103" t="s">
        <v>38</v>
      </c>
      <c r="K760" s="103" t="s">
        <v>16</v>
      </c>
      <c r="L760" s="103" t="s">
        <v>88</v>
      </c>
      <c r="M760" s="108" t="str">
        <f t="shared" si="113"/>
        <v/>
      </c>
      <c r="N760" s="108" t="str">
        <f t="shared" si="113"/>
        <v>○</v>
      </c>
      <c r="O760" s="108" t="str">
        <f t="shared" si="113"/>
        <v/>
      </c>
      <c r="P760" s="108" t="str">
        <f t="shared" si="113"/>
        <v/>
      </c>
      <c r="Q760" s="108" t="str">
        <f t="shared" si="113"/>
        <v>○</v>
      </c>
      <c r="R760" s="103" t="str">
        <f t="shared" si="113"/>
        <v/>
      </c>
      <c r="S760" s="103" t="s">
        <v>820</v>
      </c>
      <c r="T760" s="103" t="s">
        <v>30</v>
      </c>
      <c r="U760" s="103" t="s">
        <v>821</v>
      </c>
      <c r="V760" s="105"/>
    </row>
    <row r="761" spans="1:22" ht="13.5">
      <c r="A761" s="102">
        <v>45625.9492334838</v>
      </c>
      <c r="B761" s="103" t="s">
        <v>372</v>
      </c>
      <c r="C761" s="104" t="str">
        <f t="shared" si="111"/>
        <v>×</v>
      </c>
      <c r="D761" s="104" t="str">
        <f t="shared" si="111"/>
        <v>○</v>
      </c>
      <c r="E761" s="104" t="str">
        <f t="shared" si="111"/>
        <v>○</v>
      </c>
      <c r="F761" s="104" t="str">
        <f t="shared" si="111"/>
        <v>○</v>
      </c>
      <c r="G761" s="103" t="s">
        <v>13</v>
      </c>
      <c r="H761" s="103" t="s">
        <v>77</v>
      </c>
      <c r="I761" s="103" t="s">
        <v>373</v>
      </c>
      <c r="J761" s="105"/>
      <c r="K761" s="103" t="s">
        <v>34</v>
      </c>
      <c r="L761" s="105"/>
      <c r="M761" s="110" t="str">
        <f t="shared" si="113"/>
        <v/>
      </c>
      <c r="N761" s="110" t="str">
        <f t="shared" si="113"/>
        <v/>
      </c>
      <c r="O761" s="110" t="str">
        <f t="shared" si="113"/>
        <v/>
      </c>
      <c r="P761" s="110" t="str">
        <f t="shared" si="113"/>
        <v/>
      </c>
      <c r="Q761" s="110" t="str">
        <f t="shared" si="113"/>
        <v/>
      </c>
      <c r="R761" s="105" t="str">
        <f t="shared" si="113"/>
        <v/>
      </c>
      <c r="S761" s="105"/>
      <c r="T761" s="103" t="s">
        <v>35</v>
      </c>
      <c r="U761" s="103" t="s">
        <v>374</v>
      </c>
      <c r="V761" s="103" t="s">
        <v>375</v>
      </c>
    </row>
    <row r="762" spans="1:22" ht="13.5">
      <c r="A762" s="102">
        <v>45626.833797245374</v>
      </c>
      <c r="B762" s="103" t="s">
        <v>105</v>
      </c>
      <c r="C762" s="104" t="str">
        <f t="shared" ref="C762:F781" si="114">IF(ISERROR(FIND(C$1,$B762)),"×","○")</f>
        <v>×</v>
      </c>
      <c r="D762" s="104" t="str">
        <f t="shared" si="114"/>
        <v>×</v>
      </c>
      <c r="E762" s="104" t="str">
        <f t="shared" si="114"/>
        <v>○</v>
      </c>
      <c r="F762" s="104" t="str">
        <f t="shared" si="114"/>
        <v>×</v>
      </c>
      <c r="G762" s="103" t="s">
        <v>13</v>
      </c>
      <c r="H762" s="103" t="s">
        <v>32</v>
      </c>
      <c r="I762" s="103" t="s">
        <v>614</v>
      </c>
      <c r="J762" s="105"/>
      <c r="K762" s="103" t="s">
        <v>16</v>
      </c>
      <c r="L762" s="103" t="s">
        <v>29</v>
      </c>
      <c r="M762" s="108" t="str">
        <f t="shared" ref="M762:R771" si="115">IF(ISERROR(SEARCH(M$1,$L762)),"","○")</f>
        <v/>
      </c>
      <c r="N762" s="108" t="str">
        <f t="shared" si="115"/>
        <v/>
      </c>
      <c r="O762" s="108" t="str">
        <f t="shared" si="115"/>
        <v/>
      </c>
      <c r="P762" s="108" t="str">
        <f t="shared" si="115"/>
        <v/>
      </c>
      <c r="Q762" s="108" t="str">
        <f t="shared" si="115"/>
        <v/>
      </c>
      <c r="R762" s="103" t="str">
        <f t="shared" si="115"/>
        <v>○</v>
      </c>
      <c r="S762" s="105"/>
      <c r="T762" s="103" t="s">
        <v>35</v>
      </c>
      <c r="U762" s="103" t="s">
        <v>374</v>
      </c>
      <c r="V762" s="105"/>
    </row>
    <row r="763" spans="1:22" ht="13.5">
      <c r="A763" s="102">
        <v>45627.961092002311</v>
      </c>
      <c r="B763" s="103" t="s">
        <v>93</v>
      </c>
      <c r="C763" s="104" t="str">
        <f t="shared" si="114"/>
        <v>×</v>
      </c>
      <c r="D763" s="104" t="str">
        <f t="shared" si="114"/>
        <v>×</v>
      </c>
      <c r="E763" s="104" t="str">
        <f t="shared" si="114"/>
        <v>○</v>
      </c>
      <c r="F763" s="104" t="str">
        <f t="shared" si="114"/>
        <v>×</v>
      </c>
      <c r="G763" s="103" t="s">
        <v>20</v>
      </c>
      <c r="H763" s="105"/>
      <c r="I763" s="105"/>
      <c r="J763" s="103" t="s">
        <v>58</v>
      </c>
      <c r="K763" s="103" t="s">
        <v>16</v>
      </c>
      <c r="L763" s="103" t="s">
        <v>39</v>
      </c>
      <c r="M763" s="108" t="str">
        <f t="shared" si="115"/>
        <v/>
      </c>
      <c r="N763" s="108" t="str">
        <f t="shared" si="115"/>
        <v>○</v>
      </c>
      <c r="O763" s="108" t="str">
        <f t="shared" si="115"/>
        <v/>
      </c>
      <c r="P763" s="108" t="str">
        <f t="shared" si="115"/>
        <v/>
      </c>
      <c r="Q763" s="108" t="str">
        <f t="shared" si="115"/>
        <v/>
      </c>
      <c r="R763" s="103" t="str">
        <f t="shared" si="115"/>
        <v/>
      </c>
      <c r="S763" s="105"/>
      <c r="T763" s="103" t="s">
        <v>30</v>
      </c>
      <c r="U763" s="103" t="s">
        <v>833</v>
      </c>
      <c r="V763" s="105"/>
    </row>
    <row r="764" spans="1:22" ht="13.5">
      <c r="A764" s="102">
        <v>45628.804828356486</v>
      </c>
      <c r="B764" s="103" t="s">
        <v>429</v>
      </c>
      <c r="C764" s="104" t="str">
        <f t="shared" si="114"/>
        <v>×</v>
      </c>
      <c r="D764" s="104" t="str">
        <f t="shared" si="114"/>
        <v>×</v>
      </c>
      <c r="E764" s="104" t="str">
        <f t="shared" si="114"/>
        <v>○</v>
      </c>
      <c r="F764" s="104" t="str">
        <f t="shared" si="114"/>
        <v>○</v>
      </c>
      <c r="G764" s="103" t="s">
        <v>20</v>
      </c>
      <c r="H764" s="105"/>
      <c r="I764" s="105"/>
      <c r="J764" s="103" t="s">
        <v>58</v>
      </c>
      <c r="K764" s="103" t="s">
        <v>16</v>
      </c>
      <c r="L764" s="103" t="s">
        <v>88</v>
      </c>
      <c r="M764" s="108" t="str">
        <f t="shared" si="115"/>
        <v/>
      </c>
      <c r="N764" s="108" t="str">
        <f t="shared" si="115"/>
        <v>○</v>
      </c>
      <c r="O764" s="108" t="str">
        <f t="shared" si="115"/>
        <v/>
      </c>
      <c r="P764" s="108" t="str">
        <f t="shared" si="115"/>
        <v/>
      </c>
      <c r="Q764" s="108" t="str">
        <f t="shared" si="115"/>
        <v>○</v>
      </c>
      <c r="R764" s="103" t="str">
        <f t="shared" si="115"/>
        <v/>
      </c>
      <c r="S764" s="103" t="s">
        <v>1074</v>
      </c>
      <c r="T764" s="103" t="s">
        <v>24</v>
      </c>
      <c r="U764" s="103" t="s">
        <v>833</v>
      </c>
      <c r="V764" s="105"/>
    </row>
    <row r="765" spans="1:22" ht="13.5">
      <c r="A765" s="102">
        <v>45628.822423310186</v>
      </c>
      <c r="B765" s="103" t="s">
        <v>49</v>
      </c>
      <c r="C765" s="104" t="str">
        <f t="shared" si="114"/>
        <v>×</v>
      </c>
      <c r="D765" s="104" t="str">
        <f t="shared" si="114"/>
        <v>○</v>
      </c>
      <c r="E765" s="104" t="str">
        <f t="shared" si="114"/>
        <v>×</v>
      </c>
      <c r="F765" s="104" t="str">
        <f t="shared" si="114"/>
        <v>×</v>
      </c>
      <c r="G765" s="103" t="s">
        <v>13</v>
      </c>
      <c r="H765" s="103" t="s">
        <v>27</v>
      </c>
      <c r="I765" s="103" t="s">
        <v>1095</v>
      </c>
      <c r="J765" s="105"/>
      <c r="K765" s="103" t="s">
        <v>34</v>
      </c>
      <c r="L765" s="105"/>
      <c r="M765" s="110" t="str">
        <f t="shared" si="115"/>
        <v/>
      </c>
      <c r="N765" s="110" t="str">
        <f t="shared" si="115"/>
        <v/>
      </c>
      <c r="O765" s="110" t="str">
        <f t="shared" si="115"/>
        <v/>
      </c>
      <c r="P765" s="110" t="str">
        <f t="shared" si="115"/>
        <v/>
      </c>
      <c r="Q765" s="110" t="str">
        <f t="shared" si="115"/>
        <v/>
      </c>
      <c r="R765" s="105" t="str">
        <f t="shared" si="115"/>
        <v/>
      </c>
      <c r="S765" s="105"/>
      <c r="T765" s="103" t="s">
        <v>35</v>
      </c>
      <c r="U765" s="103" t="s">
        <v>833</v>
      </c>
      <c r="V765" s="103" t="s">
        <v>1096</v>
      </c>
    </row>
    <row r="766" spans="1:22" ht="13.5">
      <c r="A766" s="102">
        <v>45629.703668969909</v>
      </c>
      <c r="B766" s="103" t="s">
        <v>264</v>
      </c>
      <c r="C766" s="104" t="str">
        <f t="shared" si="114"/>
        <v>○</v>
      </c>
      <c r="D766" s="104" t="str">
        <f t="shared" si="114"/>
        <v>○</v>
      </c>
      <c r="E766" s="104" t="str">
        <f t="shared" si="114"/>
        <v>×</v>
      </c>
      <c r="F766" s="104" t="str">
        <f t="shared" si="114"/>
        <v>×</v>
      </c>
      <c r="G766" s="103" t="s">
        <v>13</v>
      </c>
      <c r="H766" s="103" t="s">
        <v>32</v>
      </c>
      <c r="I766" s="103" t="s">
        <v>1411</v>
      </c>
      <c r="J766" s="105"/>
      <c r="K766" s="103" t="s">
        <v>34</v>
      </c>
      <c r="L766" s="105"/>
      <c r="M766" s="110" t="str">
        <f t="shared" si="115"/>
        <v/>
      </c>
      <c r="N766" s="110" t="str">
        <f t="shared" si="115"/>
        <v/>
      </c>
      <c r="O766" s="110" t="str">
        <f t="shared" si="115"/>
        <v/>
      </c>
      <c r="P766" s="110" t="str">
        <f t="shared" si="115"/>
        <v/>
      </c>
      <c r="Q766" s="110" t="str">
        <f t="shared" si="115"/>
        <v/>
      </c>
      <c r="R766" s="105" t="str">
        <f t="shared" si="115"/>
        <v/>
      </c>
      <c r="S766" s="105"/>
      <c r="T766" s="103" t="s">
        <v>24</v>
      </c>
      <c r="U766" s="103" t="s">
        <v>833</v>
      </c>
      <c r="V766" s="105"/>
    </row>
    <row r="767" spans="1:22" ht="13.5">
      <c r="A767" s="102">
        <v>45629.916655497684</v>
      </c>
      <c r="B767" s="103" t="s">
        <v>181</v>
      </c>
      <c r="C767" s="104" t="str">
        <f t="shared" si="114"/>
        <v>×</v>
      </c>
      <c r="D767" s="104" t="str">
        <f t="shared" si="114"/>
        <v>○</v>
      </c>
      <c r="E767" s="104" t="str">
        <f t="shared" si="114"/>
        <v>×</v>
      </c>
      <c r="F767" s="104" t="str">
        <f t="shared" si="114"/>
        <v>×</v>
      </c>
      <c r="G767" s="103" t="s">
        <v>20</v>
      </c>
      <c r="H767" s="105"/>
      <c r="I767" s="105"/>
      <c r="J767" s="103" t="s">
        <v>58</v>
      </c>
      <c r="K767" s="103" t="s">
        <v>16</v>
      </c>
      <c r="L767" s="103" t="s">
        <v>68</v>
      </c>
      <c r="M767" s="108" t="str">
        <f t="shared" si="115"/>
        <v/>
      </c>
      <c r="N767" s="108" t="str">
        <f t="shared" si="115"/>
        <v/>
      </c>
      <c r="O767" s="108" t="str">
        <f t="shared" si="115"/>
        <v/>
      </c>
      <c r="P767" s="108" t="str">
        <f t="shared" si="115"/>
        <v/>
      </c>
      <c r="Q767" s="108" t="str">
        <f t="shared" si="115"/>
        <v>○</v>
      </c>
      <c r="R767" s="103" t="str">
        <f t="shared" si="115"/>
        <v/>
      </c>
      <c r="S767" s="103" t="s">
        <v>1535</v>
      </c>
      <c r="T767" s="103" t="s">
        <v>35</v>
      </c>
      <c r="U767" s="103" t="s">
        <v>833</v>
      </c>
      <c r="V767" s="105"/>
    </row>
    <row r="768" spans="1:22" ht="13.5">
      <c r="A768" s="102">
        <v>45630.437341886573</v>
      </c>
      <c r="B768" s="103" t="s">
        <v>49</v>
      </c>
      <c r="C768" s="104" t="str">
        <f t="shared" si="114"/>
        <v>×</v>
      </c>
      <c r="D768" s="104" t="str">
        <f t="shared" si="114"/>
        <v>○</v>
      </c>
      <c r="E768" s="104" t="str">
        <f t="shared" si="114"/>
        <v>×</v>
      </c>
      <c r="F768" s="104" t="str">
        <f t="shared" si="114"/>
        <v>×</v>
      </c>
      <c r="G768" s="103" t="s">
        <v>13</v>
      </c>
      <c r="H768" s="103" t="s">
        <v>32</v>
      </c>
      <c r="I768" s="103" t="s">
        <v>1617</v>
      </c>
      <c r="J768" s="105"/>
      <c r="K768" s="103" t="s">
        <v>34</v>
      </c>
      <c r="L768" s="105"/>
      <c r="M768" s="110" t="str">
        <f t="shared" si="115"/>
        <v/>
      </c>
      <c r="N768" s="110" t="str">
        <f t="shared" si="115"/>
        <v/>
      </c>
      <c r="O768" s="110" t="str">
        <f t="shared" si="115"/>
        <v/>
      </c>
      <c r="P768" s="110" t="str">
        <f t="shared" si="115"/>
        <v/>
      </c>
      <c r="Q768" s="110" t="str">
        <f t="shared" si="115"/>
        <v/>
      </c>
      <c r="R768" s="105" t="str">
        <f t="shared" si="115"/>
        <v/>
      </c>
      <c r="S768" s="105"/>
      <c r="T768" s="103" t="s">
        <v>61</v>
      </c>
      <c r="U768" s="103" t="s">
        <v>833</v>
      </c>
      <c r="V768" s="103" t="s">
        <v>1618</v>
      </c>
    </row>
    <row r="769" spans="1:22" ht="13.5">
      <c r="A769" s="102">
        <v>45632.32497306713</v>
      </c>
      <c r="B769" s="103" t="s">
        <v>217</v>
      </c>
      <c r="C769" s="104" t="str">
        <f t="shared" si="114"/>
        <v>○</v>
      </c>
      <c r="D769" s="104" t="str">
        <f t="shared" si="114"/>
        <v>○</v>
      </c>
      <c r="E769" s="104" t="str">
        <f t="shared" si="114"/>
        <v>×</v>
      </c>
      <c r="F769" s="104" t="str">
        <f t="shared" si="114"/>
        <v>×</v>
      </c>
      <c r="G769" s="103" t="s">
        <v>20</v>
      </c>
      <c r="H769" s="105"/>
      <c r="I769" s="105"/>
      <c r="J769" s="103" t="s">
        <v>38</v>
      </c>
      <c r="K769" s="103" t="s">
        <v>16</v>
      </c>
      <c r="L769" s="103" t="s">
        <v>39</v>
      </c>
      <c r="M769" s="108" t="str">
        <f t="shared" si="115"/>
        <v/>
      </c>
      <c r="N769" s="108" t="str">
        <f t="shared" si="115"/>
        <v>○</v>
      </c>
      <c r="O769" s="108" t="str">
        <f t="shared" si="115"/>
        <v/>
      </c>
      <c r="P769" s="108" t="str">
        <f t="shared" si="115"/>
        <v/>
      </c>
      <c r="Q769" s="108" t="str">
        <f t="shared" si="115"/>
        <v/>
      </c>
      <c r="R769" s="103" t="str">
        <f t="shared" si="115"/>
        <v/>
      </c>
      <c r="S769" s="105"/>
      <c r="T769" s="103" t="s">
        <v>30</v>
      </c>
      <c r="U769" s="103" t="s">
        <v>374</v>
      </c>
      <c r="V769" s="105"/>
    </row>
    <row r="770" spans="1:22" ht="13.5">
      <c r="A770" s="102">
        <v>45627.490400821756</v>
      </c>
      <c r="B770" s="103" t="s">
        <v>57</v>
      </c>
      <c r="C770" s="104" t="str">
        <f t="shared" si="114"/>
        <v>×</v>
      </c>
      <c r="D770" s="104" t="str">
        <f t="shared" si="114"/>
        <v>○</v>
      </c>
      <c r="E770" s="104" t="str">
        <f t="shared" si="114"/>
        <v>×</v>
      </c>
      <c r="F770" s="104" t="str">
        <f t="shared" si="114"/>
        <v>×</v>
      </c>
      <c r="G770" s="103" t="s">
        <v>13</v>
      </c>
      <c r="H770" s="103" t="s">
        <v>27</v>
      </c>
      <c r="I770" s="103" t="s">
        <v>683</v>
      </c>
      <c r="J770" s="105"/>
      <c r="K770" s="103" t="s">
        <v>34</v>
      </c>
      <c r="L770" s="105"/>
      <c r="M770" s="110" t="str">
        <f t="shared" si="115"/>
        <v/>
      </c>
      <c r="N770" s="110" t="str">
        <f t="shared" si="115"/>
        <v/>
      </c>
      <c r="O770" s="110" t="str">
        <f t="shared" si="115"/>
        <v/>
      </c>
      <c r="P770" s="110" t="str">
        <f t="shared" si="115"/>
        <v/>
      </c>
      <c r="Q770" s="110" t="str">
        <f t="shared" si="115"/>
        <v/>
      </c>
      <c r="R770" s="105" t="str">
        <f t="shared" si="115"/>
        <v/>
      </c>
      <c r="S770" s="105"/>
      <c r="T770" s="103" t="s">
        <v>35</v>
      </c>
      <c r="U770" s="103" t="s">
        <v>684</v>
      </c>
      <c r="V770" s="103" t="s">
        <v>685</v>
      </c>
    </row>
    <row r="771" spans="1:22" ht="13.5">
      <c r="A771" s="102">
        <v>45628.818854502315</v>
      </c>
      <c r="B771" s="103" t="s">
        <v>57</v>
      </c>
      <c r="C771" s="104" t="str">
        <f t="shared" si="114"/>
        <v>×</v>
      </c>
      <c r="D771" s="104" t="str">
        <f t="shared" si="114"/>
        <v>○</v>
      </c>
      <c r="E771" s="104" t="str">
        <f t="shared" si="114"/>
        <v>×</v>
      </c>
      <c r="F771" s="104" t="str">
        <f t="shared" si="114"/>
        <v>×</v>
      </c>
      <c r="G771" s="103" t="s">
        <v>20</v>
      </c>
      <c r="H771" s="105"/>
      <c r="I771" s="105"/>
      <c r="J771" s="103" t="s">
        <v>21</v>
      </c>
      <c r="K771" s="103" t="s">
        <v>16</v>
      </c>
      <c r="L771" s="103" t="s">
        <v>39</v>
      </c>
      <c r="M771" s="108" t="str">
        <f t="shared" si="115"/>
        <v/>
      </c>
      <c r="N771" s="108" t="str">
        <f t="shared" si="115"/>
        <v>○</v>
      </c>
      <c r="O771" s="108" t="str">
        <f t="shared" si="115"/>
        <v/>
      </c>
      <c r="P771" s="108" t="str">
        <f t="shared" si="115"/>
        <v/>
      </c>
      <c r="Q771" s="108" t="str">
        <f t="shared" si="115"/>
        <v/>
      </c>
      <c r="R771" s="103" t="str">
        <f t="shared" si="115"/>
        <v/>
      </c>
      <c r="S771" s="105"/>
      <c r="T771" s="103" t="s">
        <v>30</v>
      </c>
      <c r="U771" s="103" t="s">
        <v>1092</v>
      </c>
      <c r="V771" s="105"/>
    </row>
    <row r="772" spans="1:22" ht="13.5">
      <c r="A772" s="102">
        <v>45627.388424930556</v>
      </c>
      <c r="B772" s="103" t="s">
        <v>312</v>
      </c>
      <c r="C772" s="104" t="str">
        <f t="shared" si="114"/>
        <v>×</v>
      </c>
      <c r="D772" s="104" t="str">
        <f t="shared" si="114"/>
        <v>○</v>
      </c>
      <c r="E772" s="104" t="str">
        <f t="shared" si="114"/>
        <v>×</v>
      </c>
      <c r="F772" s="104" t="str">
        <f t="shared" si="114"/>
        <v>×</v>
      </c>
      <c r="G772" s="103" t="s">
        <v>20</v>
      </c>
      <c r="H772" s="105"/>
      <c r="I772" s="105"/>
      <c r="J772" s="103" t="s">
        <v>665</v>
      </c>
      <c r="K772" s="103" t="s">
        <v>16</v>
      </c>
      <c r="L772" s="103" t="s">
        <v>39</v>
      </c>
      <c r="M772" s="108" t="str">
        <f t="shared" ref="M772:R781" si="116">IF(ISERROR(SEARCH(M$1,$L772)),"","○")</f>
        <v/>
      </c>
      <c r="N772" s="108" t="str">
        <f t="shared" si="116"/>
        <v>○</v>
      </c>
      <c r="O772" s="108" t="str">
        <f t="shared" si="116"/>
        <v/>
      </c>
      <c r="P772" s="108" t="str">
        <f t="shared" si="116"/>
        <v/>
      </c>
      <c r="Q772" s="108" t="str">
        <f t="shared" si="116"/>
        <v/>
      </c>
      <c r="R772" s="103" t="str">
        <f t="shared" si="116"/>
        <v/>
      </c>
      <c r="S772" s="105"/>
      <c r="T772" s="103" t="s">
        <v>30</v>
      </c>
      <c r="U772" s="103" t="s">
        <v>666</v>
      </c>
      <c r="V772" s="105"/>
    </row>
    <row r="773" spans="1:22" ht="13.5">
      <c r="A773" s="102">
        <v>45636.335372951391</v>
      </c>
      <c r="B773" s="103" t="s">
        <v>49</v>
      </c>
      <c r="C773" s="104" t="str">
        <f t="shared" si="114"/>
        <v>×</v>
      </c>
      <c r="D773" s="104" t="str">
        <f t="shared" si="114"/>
        <v>○</v>
      </c>
      <c r="E773" s="104" t="str">
        <f t="shared" si="114"/>
        <v>×</v>
      </c>
      <c r="F773" s="104" t="str">
        <f t="shared" si="114"/>
        <v>×</v>
      </c>
      <c r="G773" s="103" t="s">
        <v>13</v>
      </c>
      <c r="H773" s="103" t="s">
        <v>32</v>
      </c>
      <c r="I773" s="103" t="s">
        <v>2011</v>
      </c>
      <c r="J773" s="105"/>
      <c r="K773" s="103" t="s">
        <v>34</v>
      </c>
      <c r="L773" s="105"/>
      <c r="M773" s="110" t="str">
        <f t="shared" si="116"/>
        <v/>
      </c>
      <c r="N773" s="110" t="str">
        <f t="shared" si="116"/>
        <v/>
      </c>
      <c r="O773" s="110" t="str">
        <f t="shared" si="116"/>
        <v/>
      </c>
      <c r="P773" s="110" t="str">
        <f t="shared" si="116"/>
        <v/>
      </c>
      <c r="Q773" s="110" t="str">
        <f t="shared" si="116"/>
        <v/>
      </c>
      <c r="R773" s="105" t="str">
        <f t="shared" si="116"/>
        <v/>
      </c>
      <c r="S773" s="105"/>
      <c r="T773" s="103" t="s">
        <v>35</v>
      </c>
      <c r="U773" s="103" t="s">
        <v>2012</v>
      </c>
      <c r="V773" s="105"/>
    </row>
    <row r="774" spans="1:22" ht="13.5">
      <c r="A774" s="102">
        <v>45626.325128391203</v>
      </c>
      <c r="B774" s="103" t="s">
        <v>402</v>
      </c>
      <c r="C774" s="104" t="str">
        <f t="shared" si="114"/>
        <v>×</v>
      </c>
      <c r="D774" s="104" t="str">
        <f t="shared" si="114"/>
        <v>○</v>
      </c>
      <c r="E774" s="104" t="str">
        <f t="shared" si="114"/>
        <v>○</v>
      </c>
      <c r="F774" s="104" t="str">
        <f t="shared" si="114"/>
        <v>○</v>
      </c>
      <c r="G774" s="103" t="s">
        <v>20</v>
      </c>
      <c r="H774" s="105"/>
      <c r="I774" s="105"/>
      <c r="J774" s="103" t="s">
        <v>58</v>
      </c>
      <c r="K774" s="103" t="s">
        <v>16</v>
      </c>
      <c r="L774" s="103" t="s">
        <v>68</v>
      </c>
      <c r="M774" s="108" t="str">
        <f t="shared" si="116"/>
        <v/>
      </c>
      <c r="N774" s="108" t="str">
        <f t="shared" si="116"/>
        <v/>
      </c>
      <c r="O774" s="108" t="str">
        <f t="shared" si="116"/>
        <v/>
      </c>
      <c r="P774" s="108" t="str">
        <f t="shared" si="116"/>
        <v/>
      </c>
      <c r="Q774" s="108" t="str">
        <f t="shared" si="116"/>
        <v>○</v>
      </c>
      <c r="R774" s="103" t="str">
        <f t="shared" si="116"/>
        <v/>
      </c>
      <c r="S774" s="103" t="s">
        <v>403</v>
      </c>
      <c r="T774" s="103" t="s">
        <v>30</v>
      </c>
      <c r="U774" s="103" t="s">
        <v>404</v>
      </c>
      <c r="V774" s="103" t="s">
        <v>405</v>
      </c>
    </row>
    <row r="775" spans="1:22" ht="13.5">
      <c r="A775" s="102">
        <v>45634.577057847222</v>
      </c>
      <c r="B775" s="103" t="s">
        <v>528</v>
      </c>
      <c r="C775" s="104" t="str">
        <f t="shared" si="114"/>
        <v>×</v>
      </c>
      <c r="D775" s="104" t="str">
        <f t="shared" si="114"/>
        <v>○</v>
      </c>
      <c r="E775" s="104" t="str">
        <f t="shared" si="114"/>
        <v>×</v>
      </c>
      <c r="F775" s="104" t="str">
        <f t="shared" si="114"/>
        <v>×</v>
      </c>
      <c r="G775" s="103" t="s">
        <v>20</v>
      </c>
      <c r="H775" s="105"/>
      <c r="I775" s="105"/>
      <c r="J775" s="103" t="s">
        <v>21</v>
      </c>
      <c r="K775" s="103" t="s">
        <v>16</v>
      </c>
      <c r="L775" s="103" t="s">
        <v>68</v>
      </c>
      <c r="M775" s="108" t="str">
        <f t="shared" si="116"/>
        <v/>
      </c>
      <c r="N775" s="108" t="str">
        <f t="shared" si="116"/>
        <v/>
      </c>
      <c r="O775" s="108" t="str">
        <f t="shared" si="116"/>
        <v/>
      </c>
      <c r="P775" s="108" t="str">
        <f t="shared" si="116"/>
        <v/>
      </c>
      <c r="Q775" s="108" t="str">
        <f t="shared" si="116"/>
        <v>○</v>
      </c>
      <c r="R775" s="103" t="str">
        <f t="shared" si="116"/>
        <v/>
      </c>
      <c r="S775" s="103" t="s">
        <v>1917</v>
      </c>
      <c r="T775" s="103" t="s">
        <v>30</v>
      </c>
      <c r="U775" s="103" t="s">
        <v>1918</v>
      </c>
      <c r="V775" s="103" t="s">
        <v>1919</v>
      </c>
    </row>
    <row r="776" spans="1:22" ht="13.5">
      <c r="A776" s="102">
        <v>45629.875638101847</v>
      </c>
      <c r="B776" s="103" t="s">
        <v>131</v>
      </c>
      <c r="C776" s="104" t="str">
        <f t="shared" si="114"/>
        <v>×</v>
      </c>
      <c r="D776" s="104" t="str">
        <f t="shared" si="114"/>
        <v>○</v>
      </c>
      <c r="E776" s="104" t="str">
        <f t="shared" si="114"/>
        <v>○</v>
      </c>
      <c r="F776" s="104" t="str">
        <f t="shared" si="114"/>
        <v>×</v>
      </c>
      <c r="G776" s="103" t="s">
        <v>20</v>
      </c>
      <c r="H776" s="105"/>
      <c r="I776" s="105"/>
      <c r="J776" s="103" t="s">
        <v>58</v>
      </c>
      <c r="K776" s="103" t="s">
        <v>16</v>
      </c>
      <c r="L776" s="103" t="s">
        <v>107</v>
      </c>
      <c r="M776" s="108" t="str">
        <f t="shared" si="116"/>
        <v/>
      </c>
      <c r="N776" s="108" t="str">
        <f t="shared" si="116"/>
        <v/>
      </c>
      <c r="O776" s="108" t="str">
        <f t="shared" si="116"/>
        <v>○</v>
      </c>
      <c r="P776" s="108" t="str">
        <f t="shared" si="116"/>
        <v/>
      </c>
      <c r="Q776" s="108" t="str">
        <f t="shared" si="116"/>
        <v/>
      </c>
      <c r="R776" s="103" t="str">
        <f t="shared" si="116"/>
        <v/>
      </c>
      <c r="S776" s="105"/>
      <c r="T776" s="103" t="s">
        <v>35</v>
      </c>
      <c r="U776" s="103" t="s">
        <v>1511</v>
      </c>
      <c r="V776" s="103" t="s">
        <v>1512</v>
      </c>
    </row>
    <row r="777" spans="1:22" ht="13.5">
      <c r="A777" s="102">
        <v>45625.727593344913</v>
      </c>
      <c r="B777" s="103" t="s">
        <v>164</v>
      </c>
      <c r="C777" s="104" t="str">
        <f t="shared" si="114"/>
        <v>×</v>
      </c>
      <c r="D777" s="104" t="str">
        <f t="shared" si="114"/>
        <v>○</v>
      </c>
      <c r="E777" s="104" t="str">
        <f t="shared" si="114"/>
        <v>×</v>
      </c>
      <c r="F777" s="104" t="str">
        <f t="shared" si="114"/>
        <v>×</v>
      </c>
      <c r="G777" s="103" t="s">
        <v>20</v>
      </c>
      <c r="H777" s="105"/>
      <c r="I777" s="105"/>
      <c r="J777" s="103" t="s">
        <v>21</v>
      </c>
      <c r="K777" s="103" t="s">
        <v>16</v>
      </c>
      <c r="L777" s="103" t="s">
        <v>223</v>
      </c>
      <c r="M777" s="108" t="str">
        <f t="shared" si="116"/>
        <v/>
      </c>
      <c r="N777" s="108" t="str">
        <f t="shared" si="116"/>
        <v/>
      </c>
      <c r="O777" s="108" t="str">
        <f t="shared" si="116"/>
        <v/>
      </c>
      <c r="P777" s="108" t="str">
        <f t="shared" si="116"/>
        <v/>
      </c>
      <c r="Q777" s="108" t="str">
        <f t="shared" si="116"/>
        <v/>
      </c>
      <c r="R777" s="103" t="str">
        <f t="shared" si="116"/>
        <v/>
      </c>
      <c r="S777" s="105"/>
      <c r="T777" s="103" t="s">
        <v>224</v>
      </c>
      <c r="U777" s="103" t="s">
        <v>225</v>
      </c>
      <c r="V777" s="103" t="s">
        <v>226</v>
      </c>
    </row>
    <row r="778" spans="1:22" ht="13.5">
      <c r="A778" s="102">
        <v>45625.953217175927</v>
      </c>
      <c r="B778" s="103" t="s">
        <v>49</v>
      </c>
      <c r="C778" s="104" t="str">
        <f t="shared" si="114"/>
        <v>×</v>
      </c>
      <c r="D778" s="104" t="str">
        <f t="shared" si="114"/>
        <v>○</v>
      </c>
      <c r="E778" s="104" t="str">
        <f t="shared" si="114"/>
        <v>×</v>
      </c>
      <c r="F778" s="104" t="str">
        <f t="shared" si="114"/>
        <v>×</v>
      </c>
      <c r="G778" s="103" t="s">
        <v>13</v>
      </c>
      <c r="H778" s="103" t="s">
        <v>77</v>
      </c>
      <c r="I778" s="103" t="s">
        <v>379</v>
      </c>
      <c r="J778" s="105"/>
      <c r="K778" s="103" t="s">
        <v>34</v>
      </c>
      <c r="L778" s="105"/>
      <c r="M778" s="110" t="str">
        <f t="shared" si="116"/>
        <v/>
      </c>
      <c r="N778" s="110" t="str">
        <f t="shared" si="116"/>
        <v/>
      </c>
      <c r="O778" s="110" t="str">
        <f t="shared" si="116"/>
        <v/>
      </c>
      <c r="P778" s="110" t="str">
        <f t="shared" si="116"/>
        <v/>
      </c>
      <c r="Q778" s="110" t="str">
        <f t="shared" si="116"/>
        <v/>
      </c>
      <c r="R778" s="105" t="str">
        <f t="shared" si="116"/>
        <v/>
      </c>
      <c r="S778" s="105"/>
      <c r="T778" s="103" t="s">
        <v>61</v>
      </c>
      <c r="U778" s="103" t="s">
        <v>380</v>
      </c>
      <c r="V778" s="105"/>
    </row>
    <row r="779" spans="1:22" ht="13.5">
      <c r="A779" s="102">
        <v>45626.601262060183</v>
      </c>
      <c r="B779" s="103" t="s">
        <v>93</v>
      </c>
      <c r="C779" s="104" t="str">
        <f t="shared" si="114"/>
        <v>×</v>
      </c>
      <c r="D779" s="104" t="str">
        <f t="shared" si="114"/>
        <v>×</v>
      </c>
      <c r="E779" s="104" t="str">
        <f t="shared" si="114"/>
        <v>○</v>
      </c>
      <c r="F779" s="104" t="str">
        <f t="shared" si="114"/>
        <v>×</v>
      </c>
      <c r="G779" s="103" t="s">
        <v>20</v>
      </c>
      <c r="H779" s="105"/>
      <c r="I779" s="105"/>
      <c r="J779" s="103" t="s">
        <v>58</v>
      </c>
      <c r="K779" s="103" t="s">
        <v>16</v>
      </c>
      <c r="L779" s="103" t="s">
        <v>59</v>
      </c>
      <c r="M779" s="108" t="str">
        <f t="shared" si="116"/>
        <v/>
      </c>
      <c r="N779" s="108" t="str">
        <f t="shared" si="116"/>
        <v/>
      </c>
      <c r="O779" s="108" t="str">
        <f t="shared" si="116"/>
        <v/>
      </c>
      <c r="P779" s="108" t="str">
        <f t="shared" si="116"/>
        <v>○</v>
      </c>
      <c r="Q779" s="108" t="str">
        <f t="shared" si="116"/>
        <v/>
      </c>
      <c r="R779" s="103" t="str">
        <f t="shared" si="116"/>
        <v/>
      </c>
      <c r="S779" s="103" t="s">
        <v>571</v>
      </c>
      <c r="T779" s="103" t="s">
        <v>30</v>
      </c>
      <c r="U779" s="103" t="s">
        <v>573</v>
      </c>
      <c r="V779" s="105"/>
    </row>
    <row r="780" spans="1:22" ht="13.5">
      <c r="A780" s="102">
        <v>45628.831304409723</v>
      </c>
      <c r="B780" s="103" t="s">
        <v>164</v>
      </c>
      <c r="C780" s="104" t="str">
        <f t="shared" si="114"/>
        <v>×</v>
      </c>
      <c r="D780" s="104" t="str">
        <f t="shared" si="114"/>
        <v>○</v>
      </c>
      <c r="E780" s="104" t="str">
        <f t="shared" si="114"/>
        <v>×</v>
      </c>
      <c r="F780" s="104" t="str">
        <f t="shared" si="114"/>
        <v>×</v>
      </c>
      <c r="G780" s="103" t="s">
        <v>20</v>
      </c>
      <c r="H780" s="105"/>
      <c r="I780" s="105"/>
      <c r="J780" s="103" t="s">
        <v>38</v>
      </c>
      <c r="K780" s="103" t="s">
        <v>16</v>
      </c>
      <c r="L780" s="103" t="s">
        <v>189</v>
      </c>
      <c r="M780" s="108" t="str">
        <f t="shared" si="116"/>
        <v/>
      </c>
      <c r="N780" s="108" t="str">
        <f t="shared" si="116"/>
        <v/>
      </c>
      <c r="O780" s="108" t="str">
        <f t="shared" si="116"/>
        <v/>
      </c>
      <c r="P780" s="108" t="str">
        <f t="shared" si="116"/>
        <v>○</v>
      </c>
      <c r="Q780" s="108" t="str">
        <f t="shared" si="116"/>
        <v>○</v>
      </c>
      <c r="R780" s="103" t="str">
        <f t="shared" si="116"/>
        <v/>
      </c>
      <c r="S780" s="103" t="s">
        <v>1114</v>
      </c>
      <c r="T780" s="103" t="s">
        <v>30</v>
      </c>
      <c r="U780" s="103" t="s">
        <v>573</v>
      </c>
      <c r="V780" s="103" t="s">
        <v>1115</v>
      </c>
    </row>
    <row r="781" spans="1:22" ht="13.5">
      <c r="A781" s="102">
        <v>45628.813287870369</v>
      </c>
      <c r="B781" s="103" t="s">
        <v>1075</v>
      </c>
      <c r="C781" s="104" t="str">
        <f t="shared" si="114"/>
        <v>×</v>
      </c>
      <c r="D781" s="104" t="str">
        <f t="shared" si="114"/>
        <v>○</v>
      </c>
      <c r="E781" s="104" t="str">
        <f t="shared" si="114"/>
        <v>×</v>
      </c>
      <c r="F781" s="104" t="str">
        <f t="shared" si="114"/>
        <v>×</v>
      </c>
      <c r="G781" s="103" t="s">
        <v>13</v>
      </c>
      <c r="H781" s="103" t="s">
        <v>27</v>
      </c>
      <c r="I781" s="103" t="s">
        <v>1086</v>
      </c>
      <c r="J781" s="105"/>
      <c r="K781" s="103" t="s">
        <v>34</v>
      </c>
      <c r="L781" s="105"/>
      <c r="M781" s="110" t="str">
        <f t="shared" si="116"/>
        <v/>
      </c>
      <c r="N781" s="110" t="str">
        <f t="shared" si="116"/>
        <v/>
      </c>
      <c r="O781" s="110" t="str">
        <f t="shared" si="116"/>
        <v/>
      </c>
      <c r="P781" s="110" t="str">
        <f t="shared" si="116"/>
        <v/>
      </c>
      <c r="Q781" s="110" t="str">
        <f t="shared" si="116"/>
        <v/>
      </c>
      <c r="R781" s="105" t="str">
        <f t="shared" si="116"/>
        <v/>
      </c>
      <c r="S781" s="105"/>
      <c r="T781" s="103" t="s">
        <v>30</v>
      </c>
      <c r="U781" s="103" t="s">
        <v>1087</v>
      </c>
      <c r="V781" s="103" t="s">
        <v>1088</v>
      </c>
    </row>
    <row r="782" spans="1:22" ht="13.5">
      <c r="A782" s="102">
        <v>45625.31087335648</v>
      </c>
      <c r="B782" s="103" t="s">
        <v>84</v>
      </c>
      <c r="C782" s="104" t="str">
        <f t="shared" ref="C782:F801" si="117">IF(ISERROR(FIND(C$1,$B782)),"×","○")</f>
        <v>×</v>
      </c>
      <c r="D782" s="104" t="str">
        <f t="shared" si="117"/>
        <v>×</v>
      </c>
      <c r="E782" s="104" t="str">
        <f t="shared" si="117"/>
        <v>○</v>
      </c>
      <c r="F782" s="104" t="str">
        <f t="shared" si="117"/>
        <v>×</v>
      </c>
      <c r="G782" s="103" t="s">
        <v>20</v>
      </c>
      <c r="H782" s="105"/>
      <c r="I782" s="105"/>
      <c r="J782" s="103" t="s">
        <v>58</v>
      </c>
      <c r="K782" s="103" t="s">
        <v>16</v>
      </c>
      <c r="L782" s="103" t="s">
        <v>39</v>
      </c>
      <c r="M782" s="108" t="str">
        <f t="shared" ref="M782:R791" si="118">IF(ISERROR(SEARCH(M$1,$L782)),"","○")</f>
        <v/>
      </c>
      <c r="N782" s="108" t="str">
        <f t="shared" si="118"/>
        <v>○</v>
      </c>
      <c r="O782" s="108" t="str">
        <f t="shared" si="118"/>
        <v/>
      </c>
      <c r="P782" s="108" t="str">
        <f t="shared" si="118"/>
        <v/>
      </c>
      <c r="Q782" s="108" t="str">
        <f t="shared" si="118"/>
        <v/>
      </c>
      <c r="R782" s="103" t="str">
        <f t="shared" si="118"/>
        <v/>
      </c>
      <c r="S782" s="105"/>
      <c r="T782" s="103" t="s">
        <v>30</v>
      </c>
      <c r="U782" s="103" t="s">
        <v>134</v>
      </c>
      <c r="V782" s="103" t="s">
        <v>135</v>
      </c>
    </row>
    <row r="783" spans="1:22" ht="13.5">
      <c r="A783" s="102">
        <v>45628.848348576386</v>
      </c>
      <c r="B783" s="103" t="s">
        <v>600</v>
      </c>
      <c r="C783" s="104" t="str">
        <f t="shared" si="117"/>
        <v>×</v>
      </c>
      <c r="D783" s="104" t="str">
        <f t="shared" si="117"/>
        <v>○</v>
      </c>
      <c r="E783" s="104" t="str">
        <f t="shared" si="117"/>
        <v>×</v>
      </c>
      <c r="F783" s="104" t="str">
        <f t="shared" si="117"/>
        <v>×</v>
      </c>
      <c r="G783" s="103" t="s">
        <v>13</v>
      </c>
      <c r="H783" s="103" t="s">
        <v>32</v>
      </c>
      <c r="I783" s="103" t="s">
        <v>1148</v>
      </c>
      <c r="J783" s="105"/>
      <c r="K783" s="103" t="s">
        <v>34</v>
      </c>
      <c r="L783" s="105"/>
      <c r="M783" s="110" t="str">
        <f t="shared" si="118"/>
        <v/>
      </c>
      <c r="N783" s="110" t="str">
        <f t="shared" si="118"/>
        <v/>
      </c>
      <c r="O783" s="110" t="str">
        <f t="shared" si="118"/>
        <v/>
      </c>
      <c r="P783" s="110" t="str">
        <f t="shared" si="118"/>
        <v/>
      </c>
      <c r="Q783" s="110" t="str">
        <f t="shared" si="118"/>
        <v/>
      </c>
      <c r="R783" s="105" t="str">
        <f t="shared" si="118"/>
        <v/>
      </c>
      <c r="S783" s="105"/>
      <c r="T783" s="103" t="s">
        <v>30</v>
      </c>
      <c r="U783" s="103" t="s">
        <v>1149</v>
      </c>
      <c r="V783" s="103" t="s">
        <v>1150</v>
      </c>
    </row>
    <row r="784" spans="1:22" ht="13.5">
      <c r="A784" s="102">
        <v>45628.76971359954</v>
      </c>
      <c r="B784" s="103" t="s">
        <v>90</v>
      </c>
      <c r="C784" s="104" t="str">
        <f t="shared" si="117"/>
        <v>×</v>
      </c>
      <c r="D784" s="104" t="str">
        <f t="shared" si="117"/>
        <v>×</v>
      </c>
      <c r="E784" s="104" t="str">
        <f t="shared" si="117"/>
        <v>○</v>
      </c>
      <c r="F784" s="104" t="str">
        <f t="shared" si="117"/>
        <v>×</v>
      </c>
      <c r="G784" s="103" t="s">
        <v>20</v>
      </c>
      <c r="H784" s="105"/>
      <c r="I784" s="105"/>
      <c r="J784" s="103" t="s">
        <v>58</v>
      </c>
      <c r="K784" s="103" t="s">
        <v>16</v>
      </c>
      <c r="L784" s="103" t="s">
        <v>68</v>
      </c>
      <c r="M784" s="108" t="str">
        <f t="shared" si="118"/>
        <v/>
      </c>
      <c r="N784" s="108" t="str">
        <f t="shared" si="118"/>
        <v/>
      </c>
      <c r="O784" s="108" t="str">
        <f t="shared" si="118"/>
        <v/>
      </c>
      <c r="P784" s="108" t="str">
        <f t="shared" si="118"/>
        <v/>
      </c>
      <c r="Q784" s="108" t="str">
        <f t="shared" si="118"/>
        <v>○</v>
      </c>
      <c r="R784" s="103" t="str">
        <f t="shared" si="118"/>
        <v/>
      </c>
      <c r="S784" s="105"/>
      <c r="T784" s="103" t="s">
        <v>30</v>
      </c>
      <c r="U784" s="103" t="s">
        <v>1044</v>
      </c>
      <c r="V784" s="103" t="s">
        <v>1045</v>
      </c>
    </row>
    <row r="785" spans="1:22" ht="13.5">
      <c r="A785" s="102">
        <v>45626.368384050926</v>
      </c>
      <c r="B785" s="103" t="s">
        <v>67</v>
      </c>
      <c r="C785" s="104" t="str">
        <f t="shared" si="117"/>
        <v>×</v>
      </c>
      <c r="D785" s="104" t="str">
        <f t="shared" si="117"/>
        <v>○</v>
      </c>
      <c r="E785" s="104" t="str">
        <f t="shared" si="117"/>
        <v>×</v>
      </c>
      <c r="F785" s="104" t="str">
        <f t="shared" si="117"/>
        <v>×</v>
      </c>
      <c r="G785" s="103" t="s">
        <v>20</v>
      </c>
      <c r="H785" s="105"/>
      <c r="I785" s="105"/>
      <c r="J785" s="103" t="s">
        <v>58</v>
      </c>
      <c r="K785" s="103" t="s">
        <v>16</v>
      </c>
      <c r="L785" s="103" t="s">
        <v>39</v>
      </c>
      <c r="M785" s="108" t="str">
        <f t="shared" si="118"/>
        <v/>
      </c>
      <c r="N785" s="108" t="str">
        <f t="shared" si="118"/>
        <v>○</v>
      </c>
      <c r="O785" s="108" t="str">
        <f t="shared" si="118"/>
        <v/>
      </c>
      <c r="P785" s="108" t="str">
        <f t="shared" si="118"/>
        <v/>
      </c>
      <c r="Q785" s="108" t="str">
        <f t="shared" si="118"/>
        <v/>
      </c>
      <c r="R785" s="103" t="str">
        <f t="shared" si="118"/>
        <v/>
      </c>
      <c r="S785" s="105"/>
      <c r="T785" s="103" t="s">
        <v>471</v>
      </c>
      <c r="U785" s="103" t="s">
        <v>472</v>
      </c>
      <c r="V785" s="105"/>
    </row>
    <row r="786" spans="1:22" ht="13.5">
      <c r="A786" s="102">
        <v>45628.763479976857</v>
      </c>
      <c r="B786" s="103" t="s">
        <v>164</v>
      </c>
      <c r="C786" s="104" t="str">
        <f t="shared" si="117"/>
        <v>×</v>
      </c>
      <c r="D786" s="104" t="str">
        <f t="shared" si="117"/>
        <v>○</v>
      </c>
      <c r="E786" s="104" t="str">
        <f t="shared" si="117"/>
        <v>×</v>
      </c>
      <c r="F786" s="104" t="str">
        <f t="shared" si="117"/>
        <v>×</v>
      </c>
      <c r="G786" s="103" t="s">
        <v>20</v>
      </c>
      <c r="H786" s="105"/>
      <c r="I786" s="105"/>
      <c r="J786" s="103" t="s">
        <v>21</v>
      </c>
      <c r="K786" s="103" t="s">
        <v>16</v>
      </c>
      <c r="L786" s="103" t="s">
        <v>1034</v>
      </c>
      <c r="M786" s="108" t="str">
        <f t="shared" si="118"/>
        <v/>
      </c>
      <c r="N786" s="108" t="str">
        <f t="shared" si="118"/>
        <v/>
      </c>
      <c r="O786" s="108" t="str">
        <f t="shared" si="118"/>
        <v/>
      </c>
      <c r="P786" s="108" t="str">
        <f t="shared" si="118"/>
        <v/>
      </c>
      <c r="Q786" s="108" t="str">
        <f t="shared" si="118"/>
        <v/>
      </c>
      <c r="R786" s="103" t="str">
        <f t="shared" si="118"/>
        <v/>
      </c>
      <c r="S786" s="105"/>
      <c r="T786" s="103" t="s">
        <v>30</v>
      </c>
      <c r="U786" s="103" t="s">
        <v>1035</v>
      </c>
      <c r="V786" s="103" t="s">
        <v>1036</v>
      </c>
    </row>
    <row r="787" spans="1:22" ht="54">
      <c r="A787" s="106">
        <v>45621.462707488427</v>
      </c>
      <c r="B787" s="104" t="s">
        <v>49</v>
      </c>
      <c r="C787" s="104" t="str">
        <f t="shared" si="117"/>
        <v>×</v>
      </c>
      <c r="D787" s="104" t="str">
        <f t="shared" si="117"/>
        <v>○</v>
      </c>
      <c r="E787" s="104" t="str">
        <f t="shared" si="117"/>
        <v>×</v>
      </c>
      <c r="F787" s="104" t="str">
        <f t="shared" si="117"/>
        <v>×</v>
      </c>
      <c r="G787" s="104" t="s">
        <v>13</v>
      </c>
      <c r="H787" s="104" t="s">
        <v>32</v>
      </c>
      <c r="I787" s="104" t="s">
        <v>50</v>
      </c>
      <c r="J787" s="104"/>
      <c r="K787" s="104" t="s">
        <v>34</v>
      </c>
      <c r="L787" s="104"/>
      <c r="M787" s="109" t="str">
        <f t="shared" si="118"/>
        <v/>
      </c>
      <c r="N787" s="109" t="str">
        <f t="shared" si="118"/>
        <v/>
      </c>
      <c r="O787" s="109" t="str">
        <f t="shared" si="118"/>
        <v/>
      </c>
      <c r="P787" s="109" t="str">
        <f t="shared" si="118"/>
        <v/>
      </c>
      <c r="Q787" s="109" t="str">
        <f t="shared" si="118"/>
        <v/>
      </c>
      <c r="R787" s="104" t="str">
        <f t="shared" si="118"/>
        <v/>
      </c>
      <c r="S787" s="104"/>
      <c r="T787" s="104" t="s">
        <v>35</v>
      </c>
      <c r="U787" s="104" t="s">
        <v>51</v>
      </c>
      <c r="V787" s="104"/>
    </row>
    <row r="788" spans="1:22" ht="13.5">
      <c r="A788" s="102">
        <v>45627.42637799769</v>
      </c>
      <c r="B788" s="103" t="s">
        <v>71</v>
      </c>
      <c r="C788" s="104" t="str">
        <f t="shared" si="117"/>
        <v>×</v>
      </c>
      <c r="D788" s="104" t="str">
        <f t="shared" si="117"/>
        <v>○</v>
      </c>
      <c r="E788" s="104" t="str">
        <f t="shared" si="117"/>
        <v>○</v>
      </c>
      <c r="F788" s="104" t="str">
        <f t="shared" si="117"/>
        <v>×</v>
      </c>
      <c r="G788" s="103" t="s">
        <v>20</v>
      </c>
      <c r="H788" s="105"/>
      <c r="I788" s="105"/>
      <c r="J788" s="103" t="s">
        <v>21</v>
      </c>
      <c r="K788" s="103" t="s">
        <v>16</v>
      </c>
      <c r="L788" s="103" t="s">
        <v>39</v>
      </c>
      <c r="M788" s="108" t="str">
        <f t="shared" si="118"/>
        <v/>
      </c>
      <c r="N788" s="108" t="str">
        <f t="shared" si="118"/>
        <v>○</v>
      </c>
      <c r="O788" s="108" t="str">
        <f t="shared" si="118"/>
        <v/>
      </c>
      <c r="P788" s="108" t="str">
        <f t="shared" si="118"/>
        <v/>
      </c>
      <c r="Q788" s="108" t="str">
        <f t="shared" si="118"/>
        <v/>
      </c>
      <c r="R788" s="103" t="str">
        <f t="shared" si="118"/>
        <v/>
      </c>
      <c r="S788" s="105"/>
      <c r="T788" s="103" t="s">
        <v>30</v>
      </c>
      <c r="U788" s="103" t="s">
        <v>51</v>
      </c>
      <c r="V788" s="103" t="s">
        <v>671</v>
      </c>
    </row>
    <row r="789" spans="1:22" ht="13.5">
      <c r="A789" s="102">
        <v>45629.30754130787</v>
      </c>
      <c r="B789" s="103" t="s">
        <v>19</v>
      </c>
      <c r="C789" s="104" t="str">
        <f t="shared" si="117"/>
        <v>×</v>
      </c>
      <c r="D789" s="104" t="str">
        <f t="shared" si="117"/>
        <v>○</v>
      </c>
      <c r="E789" s="104" t="str">
        <f t="shared" si="117"/>
        <v>×</v>
      </c>
      <c r="F789" s="104" t="str">
        <f t="shared" si="117"/>
        <v>×</v>
      </c>
      <c r="G789" s="103" t="s">
        <v>20</v>
      </c>
      <c r="H789" s="105"/>
      <c r="I789" s="105"/>
      <c r="J789" s="103" t="s">
        <v>1339</v>
      </c>
      <c r="K789" s="103" t="s">
        <v>16</v>
      </c>
      <c r="L789" s="103" t="s">
        <v>279</v>
      </c>
      <c r="M789" s="108" t="str">
        <f t="shared" si="118"/>
        <v/>
      </c>
      <c r="N789" s="108" t="str">
        <f t="shared" si="118"/>
        <v>○</v>
      </c>
      <c r="O789" s="108" t="str">
        <f t="shared" si="118"/>
        <v>○</v>
      </c>
      <c r="P789" s="108" t="str">
        <f t="shared" si="118"/>
        <v/>
      </c>
      <c r="Q789" s="108" t="str">
        <f t="shared" si="118"/>
        <v/>
      </c>
      <c r="R789" s="103" t="str">
        <f t="shared" si="118"/>
        <v/>
      </c>
      <c r="S789" s="105"/>
      <c r="T789" s="103" t="s">
        <v>24</v>
      </c>
      <c r="U789" s="103" t="s">
        <v>51</v>
      </c>
      <c r="V789" s="103" t="s">
        <v>1340</v>
      </c>
    </row>
    <row r="790" spans="1:22" ht="13.5">
      <c r="A790" s="102">
        <v>45630.763359178236</v>
      </c>
      <c r="B790" s="103" t="s">
        <v>164</v>
      </c>
      <c r="C790" s="104" t="str">
        <f t="shared" si="117"/>
        <v>×</v>
      </c>
      <c r="D790" s="104" t="str">
        <f t="shared" si="117"/>
        <v>○</v>
      </c>
      <c r="E790" s="104" t="str">
        <f t="shared" si="117"/>
        <v>×</v>
      </c>
      <c r="F790" s="104" t="str">
        <f t="shared" si="117"/>
        <v>×</v>
      </c>
      <c r="G790" s="103" t="s">
        <v>20</v>
      </c>
      <c r="H790" s="105"/>
      <c r="I790" s="105"/>
      <c r="J790" s="103" t="s">
        <v>38</v>
      </c>
      <c r="K790" s="103" t="s">
        <v>16</v>
      </c>
      <c r="L790" s="103" t="s">
        <v>68</v>
      </c>
      <c r="M790" s="108" t="str">
        <f t="shared" si="118"/>
        <v/>
      </c>
      <c r="N790" s="108" t="str">
        <f t="shared" si="118"/>
        <v/>
      </c>
      <c r="O790" s="108" t="str">
        <f t="shared" si="118"/>
        <v/>
      </c>
      <c r="P790" s="108" t="str">
        <f t="shared" si="118"/>
        <v/>
      </c>
      <c r="Q790" s="108" t="str">
        <f t="shared" si="118"/>
        <v>○</v>
      </c>
      <c r="R790" s="103" t="str">
        <f t="shared" si="118"/>
        <v/>
      </c>
      <c r="S790" s="103" t="s">
        <v>1652</v>
      </c>
      <c r="T790" s="103" t="s">
        <v>30</v>
      </c>
      <c r="U790" s="103" t="s">
        <v>51</v>
      </c>
      <c r="V790" s="105"/>
    </row>
    <row r="791" spans="1:22" ht="13.5">
      <c r="A791" s="102">
        <v>45625.765135092588</v>
      </c>
      <c r="B791" s="103" t="s">
        <v>164</v>
      </c>
      <c r="C791" s="104" t="str">
        <f t="shared" si="117"/>
        <v>×</v>
      </c>
      <c r="D791" s="104" t="str">
        <f t="shared" si="117"/>
        <v>○</v>
      </c>
      <c r="E791" s="104" t="str">
        <f t="shared" si="117"/>
        <v>×</v>
      </c>
      <c r="F791" s="104" t="str">
        <f t="shared" si="117"/>
        <v>×</v>
      </c>
      <c r="G791" s="103" t="s">
        <v>13</v>
      </c>
      <c r="H791" s="103" t="s">
        <v>77</v>
      </c>
      <c r="I791" s="103" t="s">
        <v>247</v>
      </c>
      <c r="J791" s="105"/>
      <c r="K791" s="103" t="s">
        <v>16</v>
      </c>
      <c r="L791" s="103" t="s">
        <v>248</v>
      </c>
      <c r="M791" s="108" t="str">
        <f t="shared" si="118"/>
        <v/>
      </c>
      <c r="N791" s="108" t="str">
        <f t="shared" si="118"/>
        <v/>
      </c>
      <c r="O791" s="108" t="str">
        <f t="shared" si="118"/>
        <v/>
      </c>
      <c r="P791" s="108" t="str">
        <f t="shared" si="118"/>
        <v/>
      </c>
      <c r="Q791" s="108" t="str">
        <f t="shared" si="118"/>
        <v/>
      </c>
      <c r="R791" s="103" t="str">
        <f t="shared" si="118"/>
        <v/>
      </c>
      <c r="S791" s="105"/>
      <c r="T791" s="103" t="s">
        <v>35</v>
      </c>
      <c r="U791" s="103" t="s">
        <v>249</v>
      </c>
      <c r="V791" s="103" t="s">
        <v>250</v>
      </c>
    </row>
    <row r="792" spans="1:22" ht="54">
      <c r="A792" s="106">
        <v>45621.476681041662</v>
      </c>
      <c r="B792" s="104" t="s">
        <v>71</v>
      </c>
      <c r="C792" s="104" t="str">
        <f t="shared" si="117"/>
        <v>×</v>
      </c>
      <c r="D792" s="104" t="str">
        <f t="shared" si="117"/>
        <v>○</v>
      </c>
      <c r="E792" s="104" t="str">
        <f t="shared" si="117"/>
        <v>○</v>
      </c>
      <c r="F792" s="104" t="str">
        <f t="shared" si="117"/>
        <v>×</v>
      </c>
      <c r="G792" s="104" t="s">
        <v>13</v>
      </c>
      <c r="H792" s="104" t="s">
        <v>27</v>
      </c>
      <c r="I792" s="104" t="s">
        <v>72</v>
      </c>
      <c r="J792" s="104"/>
      <c r="K792" s="104" t="s">
        <v>16</v>
      </c>
      <c r="L792" s="104" t="s">
        <v>73</v>
      </c>
      <c r="M792" s="108" t="str">
        <f t="shared" ref="M792:R801" si="119">IF(ISERROR(SEARCH(M$1,$L792)),"","○")</f>
        <v/>
      </c>
      <c r="N792" s="109" t="str">
        <f t="shared" si="119"/>
        <v/>
      </c>
      <c r="O792" s="109" t="str">
        <f t="shared" si="119"/>
        <v/>
      </c>
      <c r="P792" s="109" t="str">
        <f t="shared" si="119"/>
        <v/>
      </c>
      <c r="Q792" s="109" t="str">
        <f t="shared" si="119"/>
        <v/>
      </c>
      <c r="R792" s="104" t="str">
        <f t="shared" si="119"/>
        <v/>
      </c>
      <c r="S792" s="104"/>
      <c r="T792" s="104" t="s">
        <v>35</v>
      </c>
      <c r="U792" s="104" t="s">
        <v>74</v>
      </c>
      <c r="V792" s="104" t="s">
        <v>75</v>
      </c>
    </row>
    <row r="793" spans="1:22" ht="13.5">
      <c r="A793" s="102">
        <v>45625.723556631943</v>
      </c>
      <c r="B793" s="103" t="s">
        <v>49</v>
      </c>
      <c r="C793" s="104" t="str">
        <f t="shared" si="117"/>
        <v>×</v>
      </c>
      <c r="D793" s="104" t="str">
        <f t="shared" si="117"/>
        <v>○</v>
      </c>
      <c r="E793" s="104" t="str">
        <f t="shared" si="117"/>
        <v>×</v>
      </c>
      <c r="F793" s="104" t="str">
        <f t="shared" si="117"/>
        <v>×</v>
      </c>
      <c r="G793" s="103" t="s">
        <v>13</v>
      </c>
      <c r="H793" s="103" t="s">
        <v>32</v>
      </c>
      <c r="I793" s="103" t="s">
        <v>219</v>
      </c>
      <c r="J793" s="105"/>
      <c r="K793" s="103" t="s">
        <v>16</v>
      </c>
      <c r="L793" s="103" t="s">
        <v>220</v>
      </c>
      <c r="M793" s="108" t="str">
        <f t="shared" si="119"/>
        <v/>
      </c>
      <c r="N793" s="108" t="str">
        <f t="shared" si="119"/>
        <v/>
      </c>
      <c r="O793" s="108" t="str">
        <f t="shared" si="119"/>
        <v/>
      </c>
      <c r="P793" s="108" t="str">
        <f t="shared" si="119"/>
        <v/>
      </c>
      <c r="Q793" s="108" t="str">
        <f t="shared" si="119"/>
        <v/>
      </c>
      <c r="R793" s="103" t="str">
        <f t="shared" si="119"/>
        <v/>
      </c>
      <c r="S793" s="105"/>
      <c r="T793" s="103" t="s">
        <v>35</v>
      </c>
      <c r="U793" s="103" t="s">
        <v>221</v>
      </c>
      <c r="V793" s="103" t="s">
        <v>222</v>
      </c>
    </row>
    <row r="794" spans="1:22" ht="13.5">
      <c r="A794" s="102">
        <v>45628.913674768519</v>
      </c>
      <c r="B794" s="103" t="s">
        <v>264</v>
      </c>
      <c r="C794" s="104" t="str">
        <f t="shared" si="117"/>
        <v>○</v>
      </c>
      <c r="D794" s="104" t="str">
        <f t="shared" si="117"/>
        <v>○</v>
      </c>
      <c r="E794" s="104" t="str">
        <f t="shared" si="117"/>
        <v>×</v>
      </c>
      <c r="F794" s="104" t="str">
        <f t="shared" si="117"/>
        <v>×</v>
      </c>
      <c r="G794" s="103" t="s">
        <v>20</v>
      </c>
      <c r="H794" s="105"/>
      <c r="I794" s="105"/>
      <c r="J794" s="103" t="s">
        <v>38</v>
      </c>
      <c r="K794" s="103" t="s">
        <v>16</v>
      </c>
      <c r="L794" s="103" t="s">
        <v>255</v>
      </c>
      <c r="M794" s="108" t="str">
        <f t="shared" si="119"/>
        <v/>
      </c>
      <c r="N794" s="108" t="str">
        <f t="shared" si="119"/>
        <v>○</v>
      </c>
      <c r="O794" s="108" t="str">
        <f t="shared" si="119"/>
        <v/>
      </c>
      <c r="P794" s="108" t="str">
        <f t="shared" si="119"/>
        <v>○</v>
      </c>
      <c r="Q794" s="108" t="str">
        <f t="shared" si="119"/>
        <v/>
      </c>
      <c r="R794" s="103" t="str">
        <f t="shared" si="119"/>
        <v/>
      </c>
      <c r="S794" s="103" t="s">
        <v>1249</v>
      </c>
      <c r="T794" s="103" t="s">
        <v>30</v>
      </c>
      <c r="U794" s="103" t="s">
        <v>1250</v>
      </c>
      <c r="V794" s="105"/>
    </row>
    <row r="795" spans="1:22" ht="54">
      <c r="A795" s="106">
        <v>45621.458173217594</v>
      </c>
      <c r="B795" s="104" t="s">
        <v>31</v>
      </c>
      <c r="C795" s="104" t="str">
        <f t="shared" si="117"/>
        <v>○</v>
      </c>
      <c r="D795" s="104" t="str">
        <f t="shared" si="117"/>
        <v>×</v>
      </c>
      <c r="E795" s="104" t="str">
        <f t="shared" si="117"/>
        <v>○</v>
      </c>
      <c r="F795" s="104" t="str">
        <f t="shared" si="117"/>
        <v>×</v>
      </c>
      <c r="G795" s="104" t="s">
        <v>13</v>
      </c>
      <c r="H795" s="104" t="s">
        <v>32</v>
      </c>
      <c r="I795" s="104" t="s">
        <v>33</v>
      </c>
      <c r="J795" s="104"/>
      <c r="K795" s="104" t="s">
        <v>34</v>
      </c>
      <c r="L795" s="104"/>
      <c r="M795" s="109" t="str">
        <f t="shared" si="119"/>
        <v/>
      </c>
      <c r="N795" s="109" t="str">
        <f t="shared" si="119"/>
        <v/>
      </c>
      <c r="O795" s="109" t="str">
        <f t="shared" si="119"/>
        <v/>
      </c>
      <c r="P795" s="109" t="str">
        <f t="shared" si="119"/>
        <v/>
      </c>
      <c r="Q795" s="109" t="str">
        <f t="shared" si="119"/>
        <v/>
      </c>
      <c r="R795" s="104" t="str">
        <f t="shared" si="119"/>
        <v/>
      </c>
      <c r="S795" s="104"/>
      <c r="T795" s="104" t="s">
        <v>35</v>
      </c>
      <c r="U795" s="104" t="s">
        <v>36</v>
      </c>
      <c r="V795" s="104"/>
    </row>
    <row r="796" spans="1:22" ht="13.5">
      <c r="A796" s="102">
        <v>45630.060722407405</v>
      </c>
      <c r="B796" s="103" t="s">
        <v>164</v>
      </c>
      <c r="C796" s="104" t="str">
        <f t="shared" si="117"/>
        <v>×</v>
      </c>
      <c r="D796" s="104" t="str">
        <f t="shared" si="117"/>
        <v>○</v>
      </c>
      <c r="E796" s="104" t="str">
        <f t="shared" si="117"/>
        <v>×</v>
      </c>
      <c r="F796" s="104" t="str">
        <f t="shared" si="117"/>
        <v>×</v>
      </c>
      <c r="G796" s="103" t="s">
        <v>20</v>
      </c>
      <c r="H796" s="105"/>
      <c r="I796" s="105"/>
      <c r="J796" s="103" t="s">
        <v>21</v>
      </c>
      <c r="K796" s="103" t="s">
        <v>16</v>
      </c>
      <c r="L796" s="103" t="s">
        <v>355</v>
      </c>
      <c r="M796" s="108" t="str">
        <f t="shared" si="119"/>
        <v/>
      </c>
      <c r="N796" s="108" t="str">
        <f t="shared" si="119"/>
        <v>○</v>
      </c>
      <c r="O796" s="108" t="str">
        <f t="shared" si="119"/>
        <v/>
      </c>
      <c r="P796" s="108" t="str">
        <f t="shared" si="119"/>
        <v>○</v>
      </c>
      <c r="Q796" s="108" t="str">
        <f t="shared" si="119"/>
        <v>○</v>
      </c>
      <c r="R796" s="103" t="str">
        <f t="shared" si="119"/>
        <v/>
      </c>
      <c r="S796" s="103" t="s">
        <v>1565</v>
      </c>
      <c r="T796" s="103" t="s">
        <v>30</v>
      </c>
      <c r="U796" s="103" t="s">
        <v>1566</v>
      </c>
      <c r="V796" s="103" t="s">
        <v>1567</v>
      </c>
    </row>
    <row r="797" spans="1:22" ht="13.5">
      <c r="A797" s="102">
        <v>45630.239978518519</v>
      </c>
      <c r="B797" s="103" t="s">
        <v>105</v>
      </c>
      <c r="C797" s="104" t="str">
        <f t="shared" si="117"/>
        <v>×</v>
      </c>
      <c r="D797" s="104" t="str">
        <f t="shared" si="117"/>
        <v>×</v>
      </c>
      <c r="E797" s="104" t="str">
        <f t="shared" si="117"/>
        <v>○</v>
      </c>
      <c r="F797" s="104" t="str">
        <f t="shared" si="117"/>
        <v>×</v>
      </c>
      <c r="G797" s="103" t="s">
        <v>20</v>
      </c>
      <c r="H797" s="105"/>
      <c r="I797" s="105"/>
      <c r="J797" s="103" t="s">
        <v>58</v>
      </c>
      <c r="K797" s="103" t="s">
        <v>16</v>
      </c>
      <c r="L797" s="103" t="s">
        <v>88</v>
      </c>
      <c r="M797" s="108" t="str">
        <f t="shared" si="119"/>
        <v/>
      </c>
      <c r="N797" s="108" t="str">
        <f t="shared" si="119"/>
        <v>○</v>
      </c>
      <c r="O797" s="108" t="str">
        <f t="shared" si="119"/>
        <v/>
      </c>
      <c r="P797" s="108" t="str">
        <f t="shared" si="119"/>
        <v/>
      </c>
      <c r="Q797" s="108" t="str">
        <f t="shared" si="119"/>
        <v>○</v>
      </c>
      <c r="R797" s="103" t="str">
        <f t="shared" si="119"/>
        <v/>
      </c>
      <c r="S797" s="103" t="s">
        <v>1569</v>
      </c>
      <c r="T797" s="103" t="s">
        <v>30</v>
      </c>
      <c r="U797" s="103" t="s">
        <v>1570</v>
      </c>
      <c r="V797" s="103" t="s">
        <v>1571</v>
      </c>
    </row>
    <row r="798" spans="1:22" ht="13.5">
      <c r="A798" s="102">
        <v>45628.295409606479</v>
      </c>
      <c r="B798" s="103" t="s">
        <v>41</v>
      </c>
      <c r="C798" s="104" t="str">
        <f t="shared" si="117"/>
        <v>×</v>
      </c>
      <c r="D798" s="104" t="str">
        <f t="shared" si="117"/>
        <v>○</v>
      </c>
      <c r="E798" s="104" t="str">
        <f t="shared" si="117"/>
        <v>×</v>
      </c>
      <c r="F798" s="104" t="str">
        <f t="shared" si="117"/>
        <v>×</v>
      </c>
      <c r="G798" s="103" t="s">
        <v>20</v>
      </c>
      <c r="H798" s="105"/>
      <c r="I798" s="105"/>
      <c r="J798" s="103" t="s">
        <v>38</v>
      </c>
      <c r="K798" s="103" t="s">
        <v>16</v>
      </c>
      <c r="L798" s="103" t="s">
        <v>39</v>
      </c>
      <c r="M798" s="108" t="str">
        <f t="shared" si="119"/>
        <v/>
      </c>
      <c r="N798" s="108" t="str">
        <f t="shared" si="119"/>
        <v>○</v>
      </c>
      <c r="O798" s="108" t="str">
        <f t="shared" si="119"/>
        <v/>
      </c>
      <c r="P798" s="108" t="str">
        <f t="shared" si="119"/>
        <v/>
      </c>
      <c r="Q798" s="108" t="str">
        <f t="shared" si="119"/>
        <v/>
      </c>
      <c r="R798" s="103" t="str">
        <f t="shared" si="119"/>
        <v/>
      </c>
      <c r="S798" s="105"/>
      <c r="T798" s="103" t="s">
        <v>30</v>
      </c>
      <c r="U798" s="103" t="s">
        <v>854</v>
      </c>
      <c r="V798" s="105"/>
    </row>
    <row r="799" spans="1:22" ht="13.5">
      <c r="A799" s="102">
        <v>45629.769095787036</v>
      </c>
      <c r="B799" s="103" t="s">
        <v>49</v>
      </c>
      <c r="C799" s="104" t="str">
        <f t="shared" si="117"/>
        <v>×</v>
      </c>
      <c r="D799" s="104" t="str">
        <f t="shared" si="117"/>
        <v>○</v>
      </c>
      <c r="E799" s="104" t="str">
        <f t="shared" si="117"/>
        <v>×</v>
      </c>
      <c r="F799" s="104" t="str">
        <f t="shared" si="117"/>
        <v>×</v>
      </c>
      <c r="G799" s="103" t="s">
        <v>20</v>
      </c>
      <c r="H799" s="105"/>
      <c r="I799" s="105"/>
      <c r="J799" s="103" t="s">
        <v>38</v>
      </c>
      <c r="K799" s="103" t="s">
        <v>16</v>
      </c>
      <c r="L799" s="103" t="s">
        <v>39</v>
      </c>
      <c r="M799" s="108" t="str">
        <f t="shared" si="119"/>
        <v/>
      </c>
      <c r="N799" s="108" t="str">
        <f t="shared" si="119"/>
        <v>○</v>
      </c>
      <c r="O799" s="108" t="str">
        <f t="shared" si="119"/>
        <v/>
      </c>
      <c r="P799" s="108" t="str">
        <f t="shared" si="119"/>
        <v/>
      </c>
      <c r="Q799" s="108" t="str">
        <f t="shared" si="119"/>
        <v/>
      </c>
      <c r="R799" s="103" t="str">
        <f t="shared" si="119"/>
        <v/>
      </c>
      <c r="S799" s="105"/>
      <c r="T799" s="103" t="s">
        <v>30</v>
      </c>
      <c r="U799" s="103" t="s">
        <v>854</v>
      </c>
      <c r="V799" s="103" t="s">
        <v>1441</v>
      </c>
    </row>
    <row r="800" spans="1:22" ht="13.5">
      <c r="A800" s="102">
        <v>45630.933886828701</v>
      </c>
      <c r="B800" s="103" t="s">
        <v>181</v>
      </c>
      <c r="C800" s="104" t="str">
        <f t="shared" si="117"/>
        <v>×</v>
      </c>
      <c r="D800" s="104" t="str">
        <f t="shared" si="117"/>
        <v>○</v>
      </c>
      <c r="E800" s="104" t="str">
        <f t="shared" si="117"/>
        <v>×</v>
      </c>
      <c r="F800" s="104" t="str">
        <f t="shared" si="117"/>
        <v>×</v>
      </c>
      <c r="G800" s="103" t="s">
        <v>13</v>
      </c>
      <c r="H800" s="103" t="s">
        <v>77</v>
      </c>
      <c r="I800" s="103" t="s">
        <v>1710</v>
      </c>
      <c r="J800" s="105"/>
      <c r="K800" s="103" t="s">
        <v>34</v>
      </c>
      <c r="L800" s="105"/>
      <c r="M800" s="110" t="str">
        <f t="shared" si="119"/>
        <v/>
      </c>
      <c r="N800" s="110" t="str">
        <f t="shared" si="119"/>
        <v/>
      </c>
      <c r="O800" s="110" t="str">
        <f t="shared" si="119"/>
        <v/>
      </c>
      <c r="P800" s="110" t="str">
        <f t="shared" si="119"/>
        <v/>
      </c>
      <c r="Q800" s="110" t="str">
        <f t="shared" si="119"/>
        <v/>
      </c>
      <c r="R800" s="105" t="str">
        <f t="shared" si="119"/>
        <v/>
      </c>
      <c r="S800" s="105"/>
      <c r="T800" s="103" t="s">
        <v>35</v>
      </c>
      <c r="U800" s="103" t="s">
        <v>854</v>
      </c>
      <c r="V800" s="103" t="s">
        <v>1711</v>
      </c>
    </row>
    <row r="801" spans="1:22" ht="13.5">
      <c r="A801" s="102">
        <v>45632.272459131942</v>
      </c>
      <c r="B801" s="103" t="s">
        <v>57</v>
      </c>
      <c r="C801" s="104" t="str">
        <f t="shared" si="117"/>
        <v>×</v>
      </c>
      <c r="D801" s="104" t="str">
        <f t="shared" si="117"/>
        <v>○</v>
      </c>
      <c r="E801" s="104" t="str">
        <f t="shared" si="117"/>
        <v>×</v>
      </c>
      <c r="F801" s="104" t="str">
        <f t="shared" si="117"/>
        <v>×</v>
      </c>
      <c r="G801" s="103" t="s">
        <v>20</v>
      </c>
      <c r="H801" s="105"/>
      <c r="I801" s="105"/>
      <c r="J801" s="103" t="s">
        <v>58</v>
      </c>
      <c r="K801" s="103" t="s">
        <v>16</v>
      </c>
      <c r="L801" s="103" t="s">
        <v>1809</v>
      </c>
      <c r="M801" s="108" t="str">
        <f t="shared" si="119"/>
        <v/>
      </c>
      <c r="N801" s="108" t="str">
        <f t="shared" si="119"/>
        <v/>
      </c>
      <c r="O801" s="108" t="str">
        <f t="shared" si="119"/>
        <v/>
      </c>
      <c r="P801" s="108" t="str">
        <f t="shared" si="119"/>
        <v/>
      </c>
      <c r="Q801" s="108" t="str">
        <f t="shared" si="119"/>
        <v/>
      </c>
      <c r="R801" s="103" t="str">
        <f t="shared" si="119"/>
        <v/>
      </c>
      <c r="S801" s="103" t="s">
        <v>1810</v>
      </c>
      <c r="T801" s="103" t="s">
        <v>1811</v>
      </c>
      <c r="U801" s="103" t="s">
        <v>854</v>
      </c>
      <c r="V801" s="105"/>
    </row>
    <row r="802" spans="1:22" ht="13.5">
      <c r="A802" s="102">
        <v>45627.922329641202</v>
      </c>
      <c r="B802" s="103" t="s">
        <v>93</v>
      </c>
      <c r="C802" s="104" t="str">
        <f t="shared" ref="C802:F821" si="120">IF(ISERROR(FIND(C$1,$B802)),"×","○")</f>
        <v>×</v>
      </c>
      <c r="D802" s="104" t="str">
        <f t="shared" si="120"/>
        <v>×</v>
      </c>
      <c r="E802" s="104" t="str">
        <f t="shared" si="120"/>
        <v>○</v>
      </c>
      <c r="F802" s="104" t="str">
        <f t="shared" si="120"/>
        <v>×</v>
      </c>
      <c r="G802" s="103" t="s">
        <v>13</v>
      </c>
      <c r="H802" s="103" t="s">
        <v>14</v>
      </c>
      <c r="I802" s="103" t="s">
        <v>810</v>
      </c>
      <c r="J802" s="105"/>
      <c r="K802" s="103" t="s">
        <v>16</v>
      </c>
      <c r="L802" s="103" t="s">
        <v>811</v>
      </c>
      <c r="M802" s="108" t="str">
        <f t="shared" ref="M802:R811" si="121">IF(ISERROR(SEARCH(M$1,$L802)),"","○")</f>
        <v/>
      </c>
      <c r="N802" s="108" t="str">
        <f t="shared" si="121"/>
        <v/>
      </c>
      <c r="O802" s="108" t="str">
        <f t="shared" si="121"/>
        <v/>
      </c>
      <c r="P802" s="108" t="str">
        <f t="shared" si="121"/>
        <v/>
      </c>
      <c r="Q802" s="108" t="str">
        <f t="shared" si="121"/>
        <v/>
      </c>
      <c r="R802" s="103" t="str">
        <f t="shared" si="121"/>
        <v/>
      </c>
      <c r="S802" s="105"/>
      <c r="T802" s="103" t="s">
        <v>61</v>
      </c>
      <c r="U802" s="103" t="s">
        <v>812</v>
      </c>
      <c r="V802" s="105"/>
    </row>
    <row r="803" spans="1:22" ht="13.5">
      <c r="A803" s="102">
        <v>45626.361905196754</v>
      </c>
      <c r="B803" s="103" t="s">
        <v>466</v>
      </c>
      <c r="C803" s="104" t="str">
        <f t="shared" si="120"/>
        <v>×</v>
      </c>
      <c r="D803" s="104" t="str">
        <f t="shared" si="120"/>
        <v>○</v>
      </c>
      <c r="E803" s="104" t="str">
        <f t="shared" si="120"/>
        <v>○</v>
      </c>
      <c r="F803" s="104" t="str">
        <f t="shared" si="120"/>
        <v>×</v>
      </c>
      <c r="G803" s="103" t="s">
        <v>20</v>
      </c>
      <c r="H803" s="105"/>
      <c r="I803" s="105"/>
      <c r="J803" s="103" t="s">
        <v>467</v>
      </c>
      <c r="K803" s="103" t="s">
        <v>16</v>
      </c>
      <c r="L803" s="103" t="s">
        <v>355</v>
      </c>
      <c r="M803" s="108" t="str">
        <f t="shared" si="121"/>
        <v/>
      </c>
      <c r="N803" s="108" t="str">
        <f t="shared" si="121"/>
        <v>○</v>
      </c>
      <c r="O803" s="108" t="str">
        <f t="shared" si="121"/>
        <v/>
      </c>
      <c r="P803" s="108" t="str">
        <f t="shared" si="121"/>
        <v>○</v>
      </c>
      <c r="Q803" s="108" t="str">
        <f t="shared" si="121"/>
        <v>○</v>
      </c>
      <c r="R803" s="103" t="str">
        <f t="shared" si="121"/>
        <v/>
      </c>
      <c r="S803" s="103" t="s">
        <v>468</v>
      </c>
      <c r="T803" s="103" t="s">
        <v>30</v>
      </c>
      <c r="U803" s="103" t="s">
        <v>469</v>
      </c>
      <c r="V803" s="103" t="s">
        <v>470</v>
      </c>
    </row>
    <row r="804" spans="1:22" ht="13.5">
      <c r="A804" s="102">
        <v>45628.736364791665</v>
      </c>
      <c r="B804" s="103" t="s">
        <v>181</v>
      </c>
      <c r="C804" s="104" t="str">
        <f t="shared" si="120"/>
        <v>×</v>
      </c>
      <c r="D804" s="104" t="str">
        <f t="shared" si="120"/>
        <v>○</v>
      </c>
      <c r="E804" s="104" t="str">
        <f t="shared" si="120"/>
        <v>×</v>
      </c>
      <c r="F804" s="104" t="str">
        <f t="shared" si="120"/>
        <v>×</v>
      </c>
      <c r="G804" s="103" t="s">
        <v>13</v>
      </c>
      <c r="H804" s="103" t="s">
        <v>14</v>
      </c>
      <c r="I804" s="103" t="s">
        <v>999</v>
      </c>
      <c r="J804" s="105"/>
      <c r="K804" s="103" t="s">
        <v>34</v>
      </c>
      <c r="L804" s="105"/>
      <c r="M804" s="110" t="str">
        <f t="shared" si="121"/>
        <v/>
      </c>
      <c r="N804" s="110" t="str">
        <f t="shared" si="121"/>
        <v/>
      </c>
      <c r="O804" s="110" t="str">
        <f t="shared" si="121"/>
        <v/>
      </c>
      <c r="P804" s="110" t="str">
        <f t="shared" si="121"/>
        <v/>
      </c>
      <c r="Q804" s="110" t="str">
        <f t="shared" si="121"/>
        <v/>
      </c>
      <c r="R804" s="105" t="str">
        <f t="shared" si="121"/>
        <v/>
      </c>
      <c r="S804" s="105"/>
      <c r="T804" s="103" t="s">
        <v>1000</v>
      </c>
      <c r="U804" s="103" t="s">
        <v>1001</v>
      </c>
      <c r="V804" s="103" t="s">
        <v>1002</v>
      </c>
    </row>
    <row r="805" spans="1:22" ht="13.5">
      <c r="A805" s="102">
        <v>45625.651346782412</v>
      </c>
      <c r="B805" s="103" t="s">
        <v>57</v>
      </c>
      <c r="C805" s="104" t="str">
        <f t="shared" si="120"/>
        <v>×</v>
      </c>
      <c r="D805" s="104" t="str">
        <f t="shared" si="120"/>
        <v>○</v>
      </c>
      <c r="E805" s="104" t="str">
        <f t="shared" si="120"/>
        <v>×</v>
      </c>
      <c r="F805" s="104" t="str">
        <f t="shared" si="120"/>
        <v>×</v>
      </c>
      <c r="G805" s="103" t="s">
        <v>13</v>
      </c>
      <c r="H805" s="103" t="s">
        <v>32</v>
      </c>
      <c r="I805" s="103" t="s">
        <v>177</v>
      </c>
      <c r="J805" s="105"/>
      <c r="K805" s="103" t="s">
        <v>34</v>
      </c>
      <c r="L805" s="105"/>
      <c r="M805" s="110" t="str">
        <f t="shared" si="121"/>
        <v/>
      </c>
      <c r="N805" s="110" t="str">
        <f t="shared" si="121"/>
        <v/>
      </c>
      <c r="O805" s="110" t="str">
        <f t="shared" si="121"/>
        <v/>
      </c>
      <c r="P805" s="110" t="str">
        <f t="shared" si="121"/>
        <v/>
      </c>
      <c r="Q805" s="110" t="str">
        <f t="shared" si="121"/>
        <v/>
      </c>
      <c r="R805" s="105" t="str">
        <f t="shared" si="121"/>
        <v/>
      </c>
      <c r="S805" s="105"/>
      <c r="T805" s="103" t="s">
        <v>178</v>
      </c>
      <c r="U805" s="103" t="s">
        <v>179</v>
      </c>
      <c r="V805" s="103" t="s">
        <v>180</v>
      </c>
    </row>
    <row r="806" spans="1:22" ht="13.5">
      <c r="A806" s="102">
        <v>45627.951723865743</v>
      </c>
      <c r="B806" s="103" t="s">
        <v>825</v>
      </c>
      <c r="C806" s="104" t="str">
        <f t="shared" si="120"/>
        <v>×</v>
      </c>
      <c r="D806" s="104" t="str">
        <f t="shared" si="120"/>
        <v>○</v>
      </c>
      <c r="E806" s="104" t="str">
        <f t="shared" si="120"/>
        <v>○</v>
      </c>
      <c r="F806" s="104" t="str">
        <f t="shared" si="120"/>
        <v>×</v>
      </c>
      <c r="G806" s="103" t="s">
        <v>13</v>
      </c>
      <c r="H806" s="103" t="s">
        <v>77</v>
      </c>
      <c r="I806" s="103" t="s">
        <v>826</v>
      </c>
      <c r="J806" s="105"/>
      <c r="K806" s="103" t="s">
        <v>34</v>
      </c>
      <c r="L806" s="105"/>
      <c r="M806" s="110" t="str">
        <f t="shared" si="121"/>
        <v/>
      </c>
      <c r="N806" s="110" t="str">
        <f t="shared" si="121"/>
        <v/>
      </c>
      <c r="O806" s="110" t="str">
        <f t="shared" si="121"/>
        <v/>
      </c>
      <c r="P806" s="110" t="str">
        <f t="shared" si="121"/>
        <v/>
      </c>
      <c r="Q806" s="110" t="str">
        <f t="shared" si="121"/>
        <v/>
      </c>
      <c r="R806" s="105" t="str">
        <f t="shared" si="121"/>
        <v/>
      </c>
      <c r="S806" s="105"/>
      <c r="T806" s="103" t="s">
        <v>35</v>
      </c>
      <c r="U806" s="103" t="s">
        <v>827</v>
      </c>
      <c r="V806" s="105"/>
    </row>
    <row r="807" spans="1:22" ht="13.5">
      <c r="A807" s="102">
        <v>45629.876180254629</v>
      </c>
      <c r="B807" s="103" t="s">
        <v>535</v>
      </c>
      <c r="C807" s="104" t="str">
        <f t="shared" si="120"/>
        <v>×</v>
      </c>
      <c r="D807" s="104" t="str">
        <f t="shared" si="120"/>
        <v>○</v>
      </c>
      <c r="E807" s="104" t="str">
        <f t="shared" si="120"/>
        <v>○</v>
      </c>
      <c r="F807" s="104" t="str">
        <f t="shared" si="120"/>
        <v>○</v>
      </c>
      <c r="G807" s="103" t="s">
        <v>20</v>
      </c>
      <c r="H807" s="105"/>
      <c r="I807" s="105"/>
      <c r="J807" s="103" t="s">
        <v>58</v>
      </c>
      <c r="K807" s="103" t="s">
        <v>16</v>
      </c>
      <c r="L807" s="103" t="s">
        <v>59</v>
      </c>
      <c r="M807" s="108" t="str">
        <f t="shared" si="121"/>
        <v/>
      </c>
      <c r="N807" s="108" t="str">
        <f t="shared" si="121"/>
        <v/>
      </c>
      <c r="O807" s="108" t="str">
        <f t="shared" si="121"/>
        <v/>
      </c>
      <c r="P807" s="108" t="str">
        <f t="shared" si="121"/>
        <v>○</v>
      </c>
      <c r="Q807" s="108" t="str">
        <f t="shared" si="121"/>
        <v/>
      </c>
      <c r="R807" s="103" t="str">
        <f t="shared" si="121"/>
        <v/>
      </c>
      <c r="S807" s="103" t="s">
        <v>1513</v>
      </c>
      <c r="T807" s="103" t="s">
        <v>24</v>
      </c>
      <c r="U807" s="103" t="s">
        <v>827</v>
      </c>
      <c r="V807" s="105"/>
    </row>
    <row r="808" spans="1:22" ht="13.5">
      <c r="A808" s="102">
        <v>45633.664180497683</v>
      </c>
      <c r="B808" s="103" t="s">
        <v>217</v>
      </c>
      <c r="C808" s="104" t="str">
        <f t="shared" si="120"/>
        <v>○</v>
      </c>
      <c r="D808" s="104" t="str">
        <f t="shared" si="120"/>
        <v>○</v>
      </c>
      <c r="E808" s="104" t="str">
        <f t="shared" si="120"/>
        <v>×</v>
      </c>
      <c r="F808" s="104" t="str">
        <f t="shared" si="120"/>
        <v>×</v>
      </c>
      <c r="G808" s="103" t="s">
        <v>13</v>
      </c>
      <c r="H808" s="103" t="s">
        <v>32</v>
      </c>
      <c r="I808" s="103" t="s">
        <v>1881</v>
      </c>
      <c r="J808" s="105"/>
      <c r="K808" s="103" t="s">
        <v>16</v>
      </c>
      <c r="L808" s="103" t="s">
        <v>1882</v>
      </c>
      <c r="M808" s="108" t="str">
        <f t="shared" si="121"/>
        <v/>
      </c>
      <c r="N808" s="108" t="str">
        <f t="shared" si="121"/>
        <v/>
      </c>
      <c r="O808" s="108" t="str">
        <f t="shared" si="121"/>
        <v/>
      </c>
      <c r="P808" s="108" t="str">
        <f t="shared" si="121"/>
        <v/>
      </c>
      <c r="Q808" s="108" t="str">
        <f t="shared" si="121"/>
        <v/>
      </c>
      <c r="R808" s="103" t="str">
        <f t="shared" si="121"/>
        <v/>
      </c>
      <c r="S808" s="105"/>
      <c r="T808" s="103" t="s">
        <v>30</v>
      </c>
      <c r="U808" s="103" t="s">
        <v>827</v>
      </c>
      <c r="V808" s="103" t="s">
        <v>1883</v>
      </c>
    </row>
    <row r="809" spans="1:22" ht="13.5">
      <c r="A809" s="102">
        <v>45626.342105648146</v>
      </c>
      <c r="B809" s="103" t="s">
        <v>437</v>
      </c>
      <c r="C809" s="104" t="str">
        <f t="shared" si="120"/>
        <v>×</v>
      </c>
      <c r="D809" s="104" t="str">
        <f t="shared" si="120"/>
        <v>○</v>
      </c>
      <c r="E809" s="104" t="str">
        <f t="shared" si="120"/>
        <v>○</v>
      </c>
      <c r="F809" s="104" t="str">
        <f t="shared" si="120"/>
        <v>×</v>
      </c>
      <c r="G809" s="103" t="s">
        <v>20</v>
      </c>
      <c r="H809" s="105"/>
      <c r="I809" s="105"/>
      <c r="J809" s="103" t="s">
        <v>438</v>
      </c>
      <c r="K809" s="103" t="s">
        <v>16</v>
      </c>
      <c r="L809" s="103" t="s">
        <v>439</v>
      </c>
      <c r="M809" s="108" t="str">
        <f t="shared" si="121"/>
        <v/>
      </c>
      <c r="N809" s="108" t="str">
        <f t="shared" si="121"/>
        <v>○</v>
      </c>
      <c r="O809" s="108" t="str">
        <f t="shared" si="121"/>
        <v/>
      </c>
      <c r="P809" s="108" t="str">
        <f t="shared" si="121"/>
        <v/>
      </c>
      <c r="Q809" s="108" t="str">
        <f t="shared" si="121"/>
        <v/>
      </c>
      <c r="R809" s="103" t="str">
        <f t="shared" si="121"/>
        <v/>
      </c>
      <c r="S809" s="105"/>
      <c r="T809" s="103" t="s">
        <v>30</v>
      </c>
      <c r="U809" s="103" t="s">
        <v>440</v>
      </c>
      <c r="V809" s="105"/>
    </row>
    <row r="810" spans="1:22" ht="13.5">
      <c r="A810" s="102">
        <v>45629.275777812501</v>
      </c>
      <c r="B810" s="103" t="s">
        <v>57</v>
      </c>
      <c r="C810" s="104" t="str">
        <f t="shared" si="120"/>
        <v>×</v>
      </c>
      <c r="D810" s="104" t="str">
        <f t="shared" si="120"/>
        <v>○</v>
      </c>
      <c r="E810" s="104" t="str">
        <f t="shared" si="120"/>
        <v>×</v>
      </c>
      <c r="F810" s="104" t="str">
        <f t="shared" si="120"/>
        <v>×</v>
      </c>
      <c r="G810" s="103" t="s">
        <v>20</v>
      </c>
      <c r="H810" s="105"/>
      <c r="I810" s="105"/>
      <c r="J810" s="103" t="s">
        <v>58</v>
      </c>
      <c r="K810" s="103" t="s">
        <v>16</v>
      </c>
      <c r="L810" s="103" t="s">
        <v>68</v>
      </c>
      <c r="M810" s="108" t="str">
        <f t="shared" si="121"/>
        <v/>
      </c>
      <c r="N810" s="108" t="str">
        <f t="shared" si="121"/>
        <v/>
      </c>
      <c r="O810" s="108" t="str">
        <f t="shared" si="121"/>
        <v/>
      </c>
      <c r="P810" s="108" t="str">
        <f t="shared" si="121"/>
        <v/>
      </c>
      <c r="Q810" s="108" t="str">
        <f t="shared" si="121"/>
        <v>○</v>
      </c>
      <c r="R810" s="103" t="str">
        <f t="shared" si="121"/>
        <v/>
      </c>
      <c r="S810" s="103" t="s">
        <v>1316</v>
      </c>
      <c r="T810" s="103" t="s">
        <v>30</v>
      </c>
      <c r="U810" s="103" t="s">
        <v>1317</v>
      </c>
      <c r="V810" s="103" t="s">
        <v>1318</v>
      </c>
    </row>
    <row r="811" spans="1:22" ht="13.5">
      <c r="A811" s="102">
        <v>45635.613585231476</v>
      </c>
      <c r="B811" s="103" t="s">
        <v>312</v>
      </c>
      <c r="C811" s="104" t="str">
        <f t="shared" si="120"/>
        <v>×</v>
      </c>
      <c r="D811" s="104" t="str">
        <f t="shared" si="120"/>
        <v>○</v>
      </c>
      <c r="E811" s="104" t="str">
        <f t="shared" si="120"/>
        <v>×</v>
      </c>
      <c r="F811" s="104" t="str">
        <f t="shared" si="120"/>
        <v>×</v>
      </c>
      <c r="G811" s="103" t="s">
        <v>20</v>
      </c>
      <c r="H811" s="105"/>
      <c r="I811" s="105"/>
      <c r="J811" s="103" t="s">
        <v>38</v>
      </c>
      <c r="K811" s="103" t="s">
        <v>16</v>
      </c>
      <c r="L811" s="103" t="s">
        <v>68</v>
      </c>
      <c r="M811" s="108" t="str">
        <f t="shared" si="121"/>
        <v/>
      </c>
      <c r="N811" s="108" t="str">
        <f t="shared" si="121"/>
        <v/>
      </c>
      <c r="O811" s="108" t="str">
        <f t="shared" si="121"/>
        <v/>
      </c>
      <c r="P811" s="108" t="str">
        <f t="shared" si="121"/>
        <v/>
      </c>
      <c r="Q811" s="108" t="str">
        <f t="shared" si="121"/>
        <v>○</v>
      </c>
      <c r="R811" s="103" t="str">
        <f t="shared" si="121"/>
        <v/>
      </c>
      <c r="S811" s="103" t="s">
        <v>1973</v>
      </c>
      <c r="T811" s="103" t="s">
        <v>30</v>
      </c>
      <c r="U811" s="103" t="s">
        <v>1974</v>
      </c>
      <c r="V811" s="103" t="s">
        <v>1975</v>
      </c>
    </row>
    <row r="812" spans="1:22" ht="13.5">
      <c r="A812" s="102">
        <v>45628.908442789354</v>
      </c>
      <c r="B812" s="103" t="s">
        <v>181</v>
      </c>
      <c r="C812" s="104" t="str">
        <f t="shared" si="120"/>
        <v>×</v>
      </c>
      <c r="D812" s="104" t="str">
        <f t="shared" si="120"/>
        <v>○</v>
      </c>
      <c r="E812" s="104" t="str">
        <f t="shared" si="120"/>
        <v>×</v>
      </c>
      <c r="F812" s="104" t="str">
        <f t="shared" si="120"/>
        <v>×</v>
      </c>
      <c r="G812" s="103" t="s">
        <v>20</v>
      </c>
      <c r="H812" s="105"/>
      <c r="I812" s="105"/>
      <c r="J812" s="103" t="s">
        <v>1239</v>
      </c>
      <c r="K812" s="103" t="s">
        <v>34</v>
      </c>
      <c r="L812" s="105"/>
      <c r="M812" s="110" t="str">
        <f t="shared" ref="M812:R821" si="122">IF(ISERROR(SEARCH(M$1,$L812)),"","○")</f>
        <v/>
      </c>
      <c r="N812" s="110" t="str">
        <f t="shared" si="122"/>
        <v/>
      </c>
      <c r="O812" s="110" t="str">
        <f t="shared" si="122"/>
        <v/>
      </c>
      <c r="P812" s="110" t="str">
        <f t="shared" si="122"/>
        <v/>
      </c>
      <c r="Q812" s="110" t="str">
        <f t="shared" si="122"/>
        <v/>
      </c>
      <c r="R812" s="105" t="str">
        <f t="shared" si="122"/>
        <v/>
      </c>
      <c r="S812" s="105"/>
      <c r="T812" s="103" t="s">
        <v>30</v>
      </c>
      <c r="U812" s="103" t="s">
        <v>1240</v>
      </c>
      <c r="V812" s="103" t="s">
        <v>1241</v>
      </c>
    </row>
    <row r="813" spans="1:22" ht="13.5">
      <c r="A813" s="102">
        <v>45629.01431846065</v>
      </c>
      <c r="B813" s="103" t="s">
        <v>164</v>
      </c>
      <c r="C813" s="104" t="str">
        <f t="shared" si="120"/>
        <v>×</v>
      </c>
      <c r="D813" s="104" t="str">
        <f t="shared" si="120"/>
        <v>○</v>
      </c>
      <c r="E813" s="104" t="str">
        <f t="shared" si="120"/>
        <v>×</v>
      </c>
      <c r="F813" s="104" t="str">
        <f t="shared" si="120"/>
        <v>×</v>
      </c>
      <c r="G813" s="103" t="s">
        <v>20</v>
      </c>
      <c r="H813" s="105"/>
      <c r="I813" s="105"/>
      <c r="J813" s="103" t="s">
        <v>58</v>
      </c>
      <c r="K813" s="103" t="s">
        <v>16</v>
      </c>
      <c r="L813" s="103" t="s">
        <v>88</v>
      </c>
      <c r="M813" s="108" t="str">
        <f t="shared" si="122"/>
        <v/>
      </c>
      <c r="N813" s="108" t="str">
        <f t="shared" si="122"/>
        <v>○</v>
      </c>
      <c r="O813" s="108" t="str">
        <f t="shared" si="122"/>
        <v/>
      </c>
      <c r="P813" s="108" t="str">
        <f t="shared" si="122"/>
        <v/>
      </c>
      <c r="Q813" s="108" t="str">
        <f t="shared" si="122"/>
        <v>○</v>
      </c>
      <c r="R813" s="103" t="str">
        <f t="shared" si="122"/>
        <v/>
      </c>
      <c r="S813" s="103" t="s">
        <v>1298</v>
      </c>
      <c r="T813" s="103" t="s">
        <v>30</v>
      </c>
      <c r="U813" s="103" t="s">
        <v>1299</v>
      </c>
      <c r="V813" s="103" t="s">
        <v>1300</v>
      </c>
    </row>
    <row r="814" spans="1:22" ht="13.5">
      <c r="A814" s="102">
        <v>45630.921866712961</v>
      </c>
      <c r="B814" s="103" t="s">
        <v>46</v>
      </c>
      <c r="C814" s="104" t="str">
        <f t="shared" si="120"/>
        <v>×</v>
      </c>
      <c r="D814" s="104" t="str">
        <f t="shared" si="120"/>
        <v>×</v>
      </c>
      <c r="E814" s="104" t="str">
        <f t="shared" si="120"/>
        <v>○</v>
      </c>
      <c r="F814" s="104" t="str">
        <f t="shared" si="120"/>
        <v>○</v>
      </c>
      <c r="G814" s="103" t="s">
        <v>20</v>
      </c>
      <c r="H814" s="105"/>
      <c r="I814" s="105"/>
      <c r="J814" s="103" t="s">
        <v>58</v>
      </c>
      <c r="K814" s="103" t="s">
        <v>16</v>
      </c>
      <c r="L814" s="103" t="s">
        <v>107</v>
      </c>
      <c r="M814" s="108" t="str">
        <f t="shared" si="122"/>
        <v/>
      </c>
      <c r="N814" s="108" t="str">
        <f t="shared" si="122"/>
        <v/>
      </c>
      <c r="O814" s="108" t="str">
        <f t="shared" si="122"/>
        <v>○</v>
      </c>
      <c r="P814" s="108" t="str">
        <f t="shared" si="122"/>
        <v/>
      </c>
      <c r="Q814" s="108" t="str">
        <f t="shared" si="122"/>
        <v/>
      </c>
      <c r="R814" s="103" t="str">
        <f t="shared" si="122"/>
        <v/>
      </c>
      <c r="S814" s="105"/>
      <c r="T814" s="103" t="s">
        <v>30</v>
      </c>
      <c r="U814" s="103" t="s">
        <v>1706</v>
      </c>
      <c r="V814" s="103" t="s">
        <v>1707</v>
      </c>
    </row>
    <row r="815" spans="1:22" ht="13.5">
      <c r="A815" s="102">
        <v>45629.28141585648</v>
      </c>
      <c r="B815" s="103" t="s">
        <v>962</v>
      </c>
      <c r="C815" s="104" t="str">
        <f t="shared" si="120"/>
        <v>○</v>
      </c>
      <c r="D815" s="104" t="str">
        <f t="shared" si="120"/>
        <v>○</v>
      </c>
      <c r="E815" s="104" t="str">
        <f t="shared" si="120"/>
        <v>×</v>
      </c>
      <c r="F815" s="104" t="str">
        <f t="shared" si="120"/>
        <v>×</v>
      </c>
      <c r="G815" s="103" t="s">
        <v>20</v>
      </c>
      <c r="H815" s="105"/>
      <c r="I815" s="105"/>
      <c r="J815" s="103" t="s">
        <v>21</v>
      </c>
      <c r="K815" s="103" t="s">
        <v>16</v>
      </c>
      <c r="L815" s="103" t="s">
        <v>1321</v>
      </c>
      <c r="M815" s="108" t="str">
        <f t="shared" si="122"/>
        <v/>
      </c>
      <c r="N815" s="108" t="str">
        <f t="shared" si="122"/>
        <v/>
      </c>
      <c r="O815" s="108" t="str">
        <f t="shared" si="122"/>
        <v/>
      </c>
      <c r="P815" s="108" t="str">
        <f t="shared" si="122"/>
        <v/>
      </c>
      <c r="Q815" s="108" t="str">
        <f t="shared" si="122"/>
        <v/>
      </c>
      <c r="R815" s="103" t="str">
        <f t="shared" si="122"/>
        <v/>
      </c>
      <c r="S815" s="105"/>
      <c r="T815" s="103" t="s">
        <v>35</v>
      </c>
      <c r="U815" s="103" t="s">
        <v>1322</v>
      </c>
      <c r="V815" s="105"/>
    </row>
    <row r="816" spans="1:22" ht="13.5">
      <c r="A816" s="102">
        <v>45629.714116377319</v>
      </c>
      <c r="B816" s="103" t="s">
        <v>528</v>
      </c>
      <c r="C816" s="104" t="str">
        <f t="shared" si="120"/>
        <v>×</v>
      </c>
      <c r="D816" s="104" t="str">
        <f t="shared" si="120"/>
        <v>○</v>
      </c>
      <c r="E816" s="104" t="str">
        <f t="shared" si="120"/>
        <v>×</v>
      </c>
      <c r="F816" s="104" t="str">
        <f t="shared" si="120"/>
        <v>×</v>
      </c>
      <c r="G816" s="103" t="s">
        <v>13</v>
      </c>
      <c r="H816" s="103" t="s">
        <v>27</v>
      </c>
      <c r="I816" s="103" t="s">
        <v>1416</v>
      </c>
      <c r="J816" s="105"/>
      <c r="K816" s="103" t="s">
        <v>16</v>
      </c>
      <c r="L816" s="103" t="s">
        <v>1389</v>
      </c>
      <c r="M816" s="108" t="str">
        <f t="shared" si="122"/>
        <v/>
      </c>
      <c r="N816" s="108" t="str">
        <f t="shared" si="122"/>
        <v/>
      </c>
      <c r="O816" s="108" t="str">
        <f t="shared" si="122"/>
        <v/>
      </c>
      <c r="P816" s="108" t="str">
        <f t="shared" si="122"/>
        <v/>
      </c>
      <c r="Q816" s="108" t="str">
        <f t="shared" si="122"/>
        <v/>
      </c>
      <c r="R816" s="103" t="str">
        <f t="shared" si="122"/>
        <v/>
      </c>
      <c r="S816" s="105"/>
      <c r="T816" s="103" t="s">
        <v>61</v>
      </c>
      <c r="U816" s="103" t="s">
        <v>1417</v>
      </c>
      <c r="V816" s="103" t="s">
        <v>1418</v>
      </c>
    </row>
    <row r="817" spans="1:22" ht="13.5">
      <c r="A817" s="102">
        <v>45627.396292997684</v>
      </c>
      <c r="B817" s="103" t="s">
        <v>105</v>
      </c>
      <c r="C817" s="104" t="str">
        <f t="shared" si="120"/>
        <v>×</v>
      </c>
      <c r="D817" s="104" t="str">
        <f t="shared" si="120"/>
        <v>×</v>
      </c>
      <c r="E817" s="104" t="str">
        <f t="shared" si="120"/>
        <v>○</v>
      </c>
      <c r="F817" s="104" t="str">
        <f t="shared" si="120"/>
        <v>×</v>
      </c>
      <c r="G817" s="103" t="s">
        <v>13</v>
      </c>
      <c r="H817" s="103" t="s">
        <v>32</v>
      </c>
      <c r="I817" s="103" t="s">
        <v>667</v>
      </c>
      <c r="J817" s="105"/>
      <c r="K817" s="103" t="s">
        <v>16</v>
      </c>
      <c r="L817" s="103" t="s">
        <v>29</v>
      </c>
      <c r="M817" s="108" t="str">
        <f t="shared" si="122"/>
        <v/>
      </c>
      <c r="N817" s="108" t="str">
        <f t="shared" si="122"/>
        <v/>
      </c>
      <c r="O817" s="108" t="str">
        <f t="shared" si="122"/>
        <v/>
      </c>
      <c r="P817" s="108" t="str">
        <f t="shared" si="122"/>
        <v/>
      </c>
      <c r="Q817" s="108" t="str">
        <f t="shared" si="122"/>
        <v/>
      </c>
      <c r="R817" s="103" t="str">
        <f t="shared" si="122"/>
        <v>○</v>
      </c>
      <c r="S817" s="105"/>
      <c r="T817" s="103" t="s">
        <v>30</v>
      </c>
      <c r="U817" s="103" t="s">
        <v>668</v>
      </c>
      <c r="V817" s="103" t="s">
        <v>669</v>
      </c>
    </row>
    <row r="818" spans="1:22" ht="13.5">
      <c r="A818" s="102">
        <v>45625.793517395832</v>
      </c>
      <c r="B818" s="103" t="s">
        <v>71</v>
      </c>
      <c r="C818" s="104" t="str">
        <f t="shared" si="120"/>
        <v>×</v>
      </c>
      <c r="D818" s="104" t="str">
        <f t="shared" si="120"/>
        <v>○</v>
      </c>
      <c r="E818" s="104" t="str">
        <f t="shared" si="120"/>
        <v>○</v>
      </c>
      <c r="F818" s="104" t="str">
        <f t="shared" si="120"/>
        <v>×</v>
      </c>
      <c r="G818" s="103" t="s">
        <v>20</v>
      </c>
      <c r="H818" s="105"/>
      <c r="I818" s="105"/>
      <c r="J818" s="103" t="s">
        <v>58</v>
      </c>
      <c r="K818" s="103" t="s">
        <v>16</v>
      </c>
      <c r="L818" s="103" t="s">
        <v>68</v>
      </c>
      <c r="M818" s="108" t="str">
        <f t="shared" si="122"/>
        <v/>
      </c>
      <c r="N818" s="108" t="str">
        <f t="shared" si="122"/>
        <v/>
      </c>
      <c r="O818" s="108" t="str">
        <f t="shared" si="122"/>
        <v/>
      </c>
      <c r="P818" s="108" t="str">
        <f t="shared" si="122"/>
        <v/>
      </c>
      <c r="Q818" s="108" t="str">
        <f t="shared" si="122"/>
        <v>○</v>
      </c>
      <c r="R818" s="103" t="str">
        <f t="shared" si="122"/>
        <v/>
      </c>
      <c r="S818" s="103" t="s">
        <v>282</v>
      </c>
      <c r="T818" s="103" t="s">
        <v>24</v>
      </c>
      <c r="U818" s="103" t="s">
        <v>283</v>
      </c>
      <c r="V818" s="103" t="s">
        <v>284</v>
      </c>
    </row>
    <row r="819" spans="1:22" ht="13.5">
      <c r="A819" s="102">
        <v>45627.828271493054</v>
      </c>
      <c r="B819" s="103" t="s">
        <v>49</v>
      </c>
      <c r="C819" s="104" t="str">
        <f t="shared" si="120"/>
        <v>×</v>
      </c>
      <c r="D819" s="104" t="str">
        <f t="shared" si="120"/>
        <v>○</v>
      </c>
      <c r="E819" s="104" t="str">
        <f t="shared" si="120"/>
        <v>×</v>
      </c>
      <c r="F819" s="104" t="str">
        <f t="shared" si="120"/>
        <v>×</v>
      </c>
      <c r="G819" s="103" t="s">
        <v>13</v>
      </c>
      <c r="H819" s="103" t="s">
        <v>77</v>
      </c>
      <c r="I819" s="103" t="s">
        <v>85</v>
      </c>
      <c r="J819" s="105"/>
      <c r="K819" s="103" t="s">
        <v>34</v>
      </c>
      <c r="L819" s="105"/>
      <c r="M819" s="110" t="str">
        <f t="shared" si="122"/>
        <v/>
      </c>
      <c r="N819" s="110" t="str">
        <f t="shared" si="122"/>
        <v/>
      </c>
      <c r="O819" s="110" t="str">
        <f t="shared" si="122"/>
        <v/>
      </c>
      <c r="P819" s="110" t="str">
        <f t="shared" si="122"/>
        <v/>
      </c>
      <c r="Q819" s="110" t="str">
        <f t="shared" si="122"/>
        <v/>
      </c>
      <c r="R819" s="105" t="str">
        <f t="shared" si="122"/>
        <v/>
      </c>
      <c r="S819" s="105"/>
      <c r="T819" s="103" t="s">
        <v>24</v>
      </c>
      <c r="U819" s="103" t="s">
        <v>283</v>
      </c>
      <c r="V819" s="103" t="s">
        <v>769</v>
      </c>
    </row>
    <row r="820" spans="1:22" ht="13.5">
      <c r="A820" s="102">
        <v>45628.68211952546</v>
      </c>
      <c r="B820" s="103" t="s">
        <v>227</v>
      </c>
      <c r="C820" s="104" t="str">
        <f t="shared" si="120"/>
        <v>×</v>
      </c>
      <c r="D820" s="104" t="str">
        <f t="shared" si="120"/>
        <v>○</v>
      </c>
      <c r="E820" s="104" t="str">
        <f t="shared" si="120"/>
        <v>×</v>
      </c>
      <c r="F820" s="104" t="str">
        <f t="shared" si="120"/>
        <v>×</v>
      </c>
      <c r="G820" s="103" t="s">
        <v>13</v>
      </c>
      <c r="H820" s="103" t="s">
        <v>47</v>
      </c>
      <c r="I820" s="103" t="s">
        <v>959</v>
      </c>
      <c r="J820" s="105"/>
      <c r="K820" s="103" t="s">
        <v>16</v>
      </c>
      <c r="L820" s="103" t="s">
        <v>59</v>
      </c>
      <c r="M820" s="108" t="str">
        <f t="shared" si="122"/>
        <v/>
      </c>
      <c r="N820" s="108" t="str">
        <f t="shared" si="122"/>
        <v/>
      </c>
      <c r="O820" s="108" t="str">
        <f t="shared" si="122"/>
        <v/>
      </c>
      <c r="P820" s="108" t="str">
        <f t="shared" si="122"/>
        <v>○</v>
      </c>
      <c r="Q820" s="108" t="str">
        <f t="shared" si="122"/>
        <v/>
      </c>
      <c r="R820" s="103" t="str">
        <f t="shared" si="122"/>
        <v/>
      </c>
      <c r="S820" s="103" t="s">
        <v>960</v>
      </c>
      <c r="T820" s="103" t="s">
        <v>24</v>
      </c>
      <c r="U820" s="103" t="s">
        <v>283</v>
      </c>
      <c r="V820" s="103" t="s">
        <v>961</v>
      </c>
    </row>
    <row r="821" spans="1:22" ht="13.5">
      <c r="A821" s="102">
        <v>45634.869334861112</v>
      </c>
      <c r="B821" s="103" t="s">
        <v>93</v>
      </c>
      <c r="C821" s="104" t="str">
        <f t="shared" si="120"/>
        <v>×</v>
      </c>
      <c r="D821" s="104" t="str">
        <f t="shared" si="120"/>
        <v>×</v>
      </c>
      <c r="E821" s="104" t="str">
        <f t="shared" si="120"/>
        <v>○</v>
      </c>
      <c r="F821" s="104" t="str">
        <f t="shared" si="120"/>
        <v>×</v>
      </c>
      <c r="G821" s="103" t="s">
        <v>20</v>
      </c>
      <c r="H821" s="105"/>
      <c r="I821" s="105"/>
      <c r="J821" s="103" t="s">
        <v>58</v>
      </c>
      <c r="K821" s="103" t="s">
        <v>16</v>
      </c>
      <c r="L821" s="103" t="s">
        <v>1945</v>
      </c>
      <c r="M821" s="108" t="str">
        <f t="shared" si="122"/>
        <v/>
      </c>
      <c r="N821" s="108" t="str">
        <f t="shared" si="122"/>
        <v/>
      </c>
      <c r="O821" s="108" t="str">
        <f t="shared" si="122"/>
        <v/>
      </c>
      <c r="P821" s="108" t="str">
        <f t="shared" si="122"/>
        <v/>
      </c>
      <c r="Q821" s="108" t="str">
        <f t="shared" si="122"/>
        <v/>
      </c>
      <c r="R821" s="103" t="str">
        <f t="shared" si="122"/>
        <v/>
      </c>
      <c r="S821" s="105"/>
      <c r="T821" s="103" t="s">
        <v>24</v>
      </c>
      <c r="U821" s="103" t="s">
        <v>283</v>
      </c>
      <c r="V821" s="103" t="s">
        <v>1946</v>
      </c>
    </row>
    <row r="822" spans="1:22" ht="13.5">
      <c r="A822" s="102">
        <v>45629.737480405092</v>
      </c>
      <c r="B822" s="103" t="s">
        <v>19</v>
      </c>
      <c r="C822" s="104" t="str">
        <f t="shared" ref="C822:F841" si="123">IF(ISERROR(FIND(C$1,$B822)),"×","○")</f>
        <v>×</v>
      </c>
      <c r="D822" s="104" t="str">
        <f t="shared" si="123"/>
        <v>○</v>
      </c>
      <c r="E822" s="104" t="str">
        <f t="shared" si="123"/>
        <v>×</v>
      </c>
      <c r="F822" s="104" t="str">
        <f t="shared" si="123"/>
        <v>×</v>
      </c>
      <c r="G822" s="103" t="s">
        <v>13</v>
      </c>
      <c r="H822" s="103" t="s">
        <v>27</v>
      </c>
      <c r="I822" s="103" t="s">
        <v>1425</v>
      </c>
      <c r="J822" s="105"/>
      <c r="K822" s="103" t="s">
        <v>34</v>
      </c>
      <c r="L822" s="105"/>
      <c r="M822" s="110" t="str">
        <f t="shared" ref="M822:R831" si="124">IF(ISERROR(SEARCH(M$1,$L822)),"","○")</f>
        <v/>
      </c>
      <c r="N822" s="110" t="str">
        <f t="shared" si="124"/>
        <v/>
      </c>
      <c r="O822" s="110" t="str">
        <f t="shared" si="124"/>
        <v/>
      </c>
      <c r="P822" s="110" t="str">
        <f t="shared" si="124"/>
        <v/>
      </c>
      <c r="Q822" s="110" t="str">
        <f t="shared" si="124"/>
        <v/>
      </c>
      <c r="R822" s="105" t="str">
        <f t="shared" si="124"/>
        <v/>
      </c>
      <c r="S822" s="105"/>
      <c r="T822" s="103" t="s">
        <v>229</v>
      </c>
      <c r="U822" s="103" t="s">
        <v>1426</v>
      </c>
      <c r="V822" s="103" t="s">
        <v>1427</v>
      </c>
    </row>
    <row r="823" spans="1:22" ht="13.5">
      <c r="A823" s="102">
        <v>45626.935197604165</v>
      </c>
      <c r="B823" s="103" t="s">
        <v>181</v>
      </c>
      <c r="C823" s="104" t="str">
        <f t="shared" si="123"/>
        <v>×</v>
      </c>
      <c r="D823" s="104" t="str">
        <f t="shared" si="123"/>
        <v>○</v>
      </c>
      <c r="E823" s="104" t="str">
        <f t="shared" si="123"/>
        <v>×</v>
      </c>
      <c r="F823" s="104" t="str">
        <f t="shared" si="123"/>
        <v>×</v>
      </c>
      <c r="G823" s="103" t="s">
        <v>20</v>
      </c>
      <c r="H823" s="105"/>
      <c r="I823" s="105"/>
      <c r="J823" s="103" t="s">
        <v>58</v>
      </c>
      <c r="K823" s="103" t="s">
        <v>16</v>
      </c>
      <c r="L823" s="103" t="s">
        <v>39</v>
      </c>
      <c r="M823" s="108" t="str">
        <f t="shared" si="124"/>
        <v/>
      </c>
      <c r="N823" s="108" t="str">
        <f t="shared" si="124"/>
        <v>○</v>
      </c>
      <c r="O823" s="108" t="str">
        <f t="shared" si="124"/>
        <v/>
      </c>
      <c r="P823" s="108" t="str">
        <f t="shared" si="124"/>
        <v/>
      </c>
      <c r="Q823" s="108" t="str">
        <f t="shared" si="124"/>
        <v/>
      </c>
      <c r="R823" s="103" t="str">
        <f t="shared" si="124"/>
        <v/>
      </c>
      <c r="S823" s="105"/>
      <c r="T823" s="103" t="s">
        <v>30</v>
      </c>
      <c r="U823" s="103" t="s">
        <v>645</v>
      </c>
      <c r="V823" s="105"/>
    </row>
    <row r="824" spans="1:22" ht="40.5">
      <c r="A824" s="106">
        <v>45621.455336944447</v>
      </c>
      <c r="B824" s="104" t="s">
        <v>19</v>
      </c>
      <c r="C824" s="104" t="str">
        <f t="shared" si="123"/>
        <v>×</v>
      </c>
      <c r="D824" s="104" t="str">
        <f t="shared" si="123"/>
        <v>○</v>
      </c>
      <c r="E824" s="104" t="str">
        <f t="shared" si="123"/>
        <v>×</v>
      </c>
      <c r="F824" s="104" t="str">
        <f t="shared" si="123"/>
        <v>×</v>
      </c>
      <c r="G824" s="104" t="s">
        <v>20</v>
      </c>
      <c r="H824" s="104"/>
      <c r="I824" s="104"/>
      <c r="J824" s="104" t="s">
        <v>21</v>
      </c>
      <c r="K824" s="104" t="s">
        <v>16</v>
      </c>
      <c r="L824" s="104" t="s">
        <v>22</v>
      </c>
      <c r="M824" s="109" t="str">
        <f t="shared" si="124"/>
        <v/>
      </c>
      <c r="N824" s="109" t="str">
        <f t="shared" si="124"/>
        <v/>
      </c>
      <c r="O824" s="109" t="str">
        <f t="shared" si="124"/>
        <v>○</v>
      </c>
      <c r="P824" s="109" t="str">
        <f t="shared" si="124"/>
        <v>○</v>
      </c>
      <c r="Q824" s="109" t="str">
        <f t="shared" si="124"/>
        <v/>
      </c>
      <c r="R824" s="104" t="str">
        <f t="shared" si="124"/>
        <v/>
      </c>
      <c r="S824" s="104" t="s">
        <v>23</v>
      </c>
      <c r="T824" s="104" t="s">
        <v>24</v>
      </c>
      <c r="U824" s="104" t="s">
        <v>25</v>
      </c>
      <c r="V824" s="104"/>
    </row>
    <row r="825" spans="1:22" ht="13.5">
      <c r="A825" s="102">
        <v>45631.861623738427</v>
      </c>
      <c r="B825" s="103" t="s">
        <v>528</v>
      </c>
      <c r="C825" s="104" t="str">
        <f t="shared" si="123"/>
        <v>×</v>
      </c>
      <c r="D825" s="104" t="str">
        <f t="shared" si="123"/>
        <v>○</v>
      </c>
      <c r="E825" s="104" t="str">
        <f t="shared" si="123"/>
        <v>×</v>
      </c>
      <c r="F825" s="104" t="str">
        <f t="shared" si="123"/>
        <v>×</v>
      </c>
      <c r="G825" s="103" t="s">
        <v>20</v>
      </c>
      <c r="H825" s="105"/>
      <c r="I825" s="105"/>
      <c r="J825" s="103" t="s">
        <v>58</v>
      </c>
      <c r="K825" s="103" t="s">
        <v>16</v>
      </c>
      <c r="L825" s="103" t="s">
        <v>1597</v>
      </c>
      <c r="M825" s="108" t="str">
        <f t="shared" si="124"/>
        <v/>
      </c>
      <c r="N825" s="108" t="str">
        <f t="shared" si="124"/>
        <v>○</v>
      </c>
      <c r="O825" s="108" t="str">
        <f t="shared" si="124"/>
        <v>○</v>
      </c>
      <c r="P825" s="108" t="str">
        <f t="shared" si="124"/>
        <v/>
      </c>
      <c r="Q825" s="108" t="str">
        <f t="shared" si="124"/>
        <v>○</v>
      </c>
      <c r="R825" s="103" t="str">
        <f t="shared" si="124"/>
        <v/>
      </c>
      <c r="S825" s="103" t="s">
        <v>1792</v>
      </c>
      <c r="T825" s="103" t="s">
        <v>24</v>
      </c>
      <c r="U825" s="103" t="s">
        <v>25</v>
      </c>
      <c r="V825" s="103" t="s">
        <v>1793</v>
      </c>
    </row>
    <row r="826" spans="1:22" ht="13.5">
      <c r="A826" s="102">
        <v>45635.374556423616</v>
      </c>
      <c r="B826" s="103" t="s">
        <v>564</v>
      </c>
      <c r="C826" s="104" t="str">
        <f t="shared" si="123"/>
        <v>×</v>
      </c>
      <c r="D826" s="104" t="str">
        <f t="shared" si="123"/>
        <v>○</v>
      </c>
      <c r="E826" s="104" t="str">
        <f t="shared" si="123"/>
        <v>○</v>
      </c>
      <c r="F826" s="104" t="str">
        <f t="shared" si="123"/>
        <v>×</v>
      </c>
      <c r="G826" s="103" t="s">
        <v>13</v>
      </c>
      <c r="H826" s="103" t="s">
        <v>27</v>
      </c>
      <c r="I826" s="103" t="s">
        <v>1967</v>
      </c>
      <c r="J826" s="105"/>
      <c r="K826" s="103" t="s">
        <v>34</v>
      </c>
      <c r="L826" s="105"/>
      <c r="M826" s="110" t="str">
        <f t="shared" si="124"/>
        <v/>
      </c>
      <c r="N826" s="110" t="str">
        <f t="shared" si="124"/>
        <v/>
      </c>
      <c r="O826" s="110" t="str">
        <f t="shared" si="124"/>
        <v/>
      </c>
      <c r="P826" s="110" t="str">
        <f t="shared" si="124"/>
        <v/>
      </c>
      <c r="Q826" s="110" t="str">
        <f t="shared" si="124"/>
        <v/>
      </c>
      <c r="R826" s="105" t="str">
        <f t="shared" si="124"/>
        <v/>
      </c>
      <c r="S826" s="105"/>
      <c r="T826" s="103" t="s">
        <v>30</v>
      </c>
      <c r="U826" s="103" t="s">
        <v>25</v>
      </c>
      <c r="V826" s="103" t="s">
        <v>1968</v>
      </c>
    </row>
    <row r="827" spans="1:22" ht="13.5">
      <c r="A827" s="102">
        <v>45626.499703124995</v>
      </c>
      <c r="B827" s="103" t="s">
        <v>71</v>
      </c>
      <c r="C827" s="104" t="str">
        <f t="shared" si="123"/>
        <v>×</v>
      </c>
      <c r="D827" s="104" t="str">
        <f t="shared" si="123"/>
        <v>○</v>
      </c>
      <c r="E827" s="104" t="str">
        <f t="shared" si="123"/>
        <v>○</v>
      </c>
      <c r="F827" s="104" t="str">
        <f t="shared" si="123"/>
        <v>×</v>
      </c>
      <c r="G827" s="103" t="s">
        <v>20</v>
      </c>
      <c r="H827" s="105"/>
      <c r="I827" s="105"/>
      <c r="J827" s="103" t="s">
        <v>58</v>
      </c>
      <c r="K827" s="103" t="s">
        <v>16</v>
      </c>
      <c r="L827" s="103" t="s">
        <v>355</v>
      </c>
      <c r="M827" s="108" t="str">
        <f t="shared" si="124"/>
        <v/>
      </c>
      <c r="N827" s="108" t="str">
        <f t="shared" si="124"/>
        <v>○</v>
      </c>
      <c r="O827" s="108" t="str">
        <f t="shared" si="124"/>
        <v/>
      </c>
      <c r="P827" s="108" t="str">
        <f t="shared" si="124"/>
        <v>○</v>
      </c>
      <c r="Q827" s="108" t="str">
        <f t="shared" si="124"/>
        <v>○</v>
      </c>
      <c r="R827" s="103" t="str">
        <f t="shared" si="124"/>
        <v/>
      </c>
      <c r="S827" s="105"/>
      <c r="T827" s="103" t="s">
        <v>30</v>
      </c>
      <c r="U827" s="103" t="s">
        <v>546</v>
      </c>
      <c r="V827" s="103" t="s">
        <v>546</v>
      </c>
    </row>
    <row r="828" spans="1:22" ht="13.5">
      <c r="A828" s="102">
        <v>45633.66265056713</v>
      </c>
      <c r="B828" s="103" t="s">
        <v>649</v>
      </c>
      <c r="C828" s="104" t="str">
        <f t="shared" si="123"/>
        <v>×</v>
      </c>
      <c r="D828" s="104" t="str">
        <f t="shared" si="123"/>
        <v>○</v>
      </c>
      <c r="E828" s="104" t="str">
        <f t="shared" si="123"/>
        <v>○</v>
      </c>
      <c r="F828" s="104" t="str">
        <f t="shared" si="123"/>
        <v>×</v>
      </c>
      <c r="G828" s="103" t="s">
        <v>13</v>
      </c>
      <c r="H828" s="103" t="s">
        <v>27</v>
      </c>
      <c r="I828" s="103" t="s">
        <v>1876</v>
      </c>
      <c r="J828" s="105"/>
      <c r="K828" s="103" t="s">
        <v>16</v>
      </c>
      <c r="L828" s="103" t="s">
        <v>1877</v>
      </c>
      <c r="M828" s="108" t="str">
        <f t="shared" si="124"/>
        <v/>
      </c>
      <c r="N828" s="108" t="str">
        <f t="shared" si="124"/>
        <v/>
      </c>
      <c r="O828" s="108" t="str">
        <f t="shared" si="124"/>
        <v/>
      </c>
      <c r="P828" s="108" t="str">
        <f t="shared" si="124"/>
        <v/>
      </c>
      <c r="Q828" s="108" t="str">
        <f t="shared" si="124"/>
        <v/>
      </c>
      <c r="R828" s="103" t="str">
        <f t="shared" si="124"/>
        <v/>
      </c>
      <c r="S828" s="105"/>
      <c r="T828" s="103" t="s">
        <v>1878</v>
      </c>
      <c r="U828" s="103" t="s">
        <v>1879</v>
      </c>
      <c r="V828" s="103" t="s">
        <v>1880</v>
      </c>
    </row>
    <row r="829" spans="1:22" ht="13.5">
      <c r="A829" s="102">
        <v>45630.881494236106</v>
      </c>
      <c r="B829" s="103" t="s">
        <v>90</v>
      </c>
      <c r="C829" s="104" t="str">
        <f t="shared" si="123"/>
        <v>×</v>
      </c>
      <c r="D829" s="104" t="str">
        <f t="shared" si="123"/>
        <v>×</v>
      </c>
      <c r="E829" s="104" t="str">
        <f t="shared" si="123"/>
        <v>○</v>
      </c>
      <c r="F829" s="104" t="str">
        <f t="shared" si="123"/>
        <v>×</v>
      </c>
      <c r="G829" s="103" t="s">
        <v>20</v>
      </c>
      <c r="H829" s="105"/>
      <c r="I829" s="105"/>
      <c r="J829" s="103" t="s">
        <v>58</v>
      </c>
      <c r="K829" s="103" t="s">
        <v>16</v>
      </c>
      <c r="L829" s="103" t="s">
        <v>59</v>
      </c>
      <c r="M829" s="108" t="str">
        <f t="shared" si="124"/>
        <v/>
      </c>
      <c r="N829" s="108" t="str">
        <f t="shared" si="124"/>
        <v/>
      </c>
      <c r="O829" s="108" t="str">
        <f t="shared" si="124"/>
        <v/>
      </c>
      <c r="P829" s="108" t="str">
        <f t="shared" si="124"/>
        <v>○</v>
      </c>
      <c r="Q829" s="108" t="str">
        <f t="shared" si="124"/>
        <v/>
      </c>
      <c r="R829" s="103" t="str">
        <f t="shared" si="124"/>
        <v/>
      </c>
      <c r="S829" s="103" t="s">
        <v>1691</v>
      </c>
      <c r="T829" s="103" t="s">
        <v>1692</v>
      </c>
      <c r="U829" s="103" t="s">
        <v>1693</v>
      </c>
      <c r="V829" s="103" t="s">
        <v>1694</v>
      </c>
    </row>
    <row r="830" spans="1:22" ht="13.5">
      <c r="A830" s="102">
        <v>45627.696227280088</v>
      </c>
      <c r="B830" s="103" t="s">
        <v>57</v>
      </c>
      <c r="C830" s="104" t="str">
        <f t="shared" si="123"/>
        <v>×</v>
      </c>
      <c r="D830" s="104" t="str">
        <f t="shared" si="123"/>
        <v>○</v>
      </c>
      <c r="E830" s="104" t="str">
        <f t="shared" si="123"/>
        <v>×</v>
      </c>
      <c r="F830" s="104" t="str">
        <f t="shared" si="123"/>
        <v>×</v>
      </c>
      <c r="G830" s="103" t="s">
        <v>20</v>
      </c>
      <c r="H830" s="105"/>
      <c r="I830" s="105"/>
      <c r="J830" s="103" t="s">
        <v>58</v>
      </c>
      <c r="K830" s="103" t="s">
        <v>16</v>
      </c>
      <c r="L830" s="103" t="s">
        <v>39</v>
      </c>
      <c r="M830" s="108" t="str">
        <f t="shared" si="124"/>
        <v/>
      </c>
      <c r="N830" s="108" t="str">
        <f t="shared" si="124"/>
        <v>○</v>
      </c>
      <c r="O830" s="108" t="str">
        <f t="shared" si="124"/>
        <v/>
      </c>
      <c r="P830" s="108" t="str">
        <f t="shared" si="124"/>
        <v/>
      </c>
      <c r="Q830" s="108" t="str">
        <f t="shared" si="124"/>
        <v/>
      </c>
      <c r="R830" s="103" t="str">
        <f t="shared" si="124"/>
        <v/>
      </c>
      <c r="S830" s="105"/>
      <c r="T830" s="103" t="s">
        <v>30</v>
      </c>
      <c r="U830" s="103" t="s">
        <v>713</v>
      </c>
      <c r="V830" s="103" t="s">
        <v>714</v>
      </c>
    </row>
    <row r="831" spans="1:22" ht="13.5">
      <c r="A831" s="102">
        <v>45630.85533038195</v>
      </c>
      <c r="B831" s="103" t="s">
        <v>90</v>
      </c>
      <c r="C831" s="104" t="str">
        <f t="shared" si="123"/>
        <v>×</v>
      </c>
      <c r="D831" s="104" t="str">
        <f t="shared" si="123"/>
        <v>×</v>
      </c>
      <c r="E831" s="104" t="str">
        <f t="shared" si="123"/>
        <v>○</v>
      </c>
      <c r="F831" s="104" t="str">
        <f t="shared" si="123"/>
        <v>×</v>
      </c>
      <c r="G831" s="103" t="s">
        <v>20</v>
      </c>
      <c r="H831" s="105"/>
      <c r="I831" s="105"/>
      <c r="J831" s="103" t="s">
        <v>21</v>
      </c>
      <c r="K831" s="103" t="s">
        <v>16</v>
      </c>
      <c r="L831" s="103" t="s">
        <v>39</v>
      </c>
      <c r="M831" s="108" t="str">
        <f t="shared" si="124"/>
        <v/>
      </c>
      <c r="N831" s="108" t="str">
        <f t="shared" si="124"/>
        <v>○</v>
      </c>
      <c r="O831" s="108" t="str">
        <f t="shared" si="124"/>
        <v/>
      </c>
      <c r="P831" s="108" t="str">
        <f t="shared" si="124"/>
        <v/>
      </c>
      <c r="Q831" s="108" t="str">
        <f t="shared" si="124"/>
        <v/>
      </c>
      <c r="R831" s="103" t="str">
        <f t="shared" si="124"/>
        <v/>
      </c>
      <c r="S831" s="105"/>
      <c r="T831" s="103" t="s">
        <v>30</v>
      </c>
      <c r="U831" s="103" t="s">
        <v>1678</v>
      </c>
      <c r="V831" s="105"/>
    </row>
    <row r="832" spans="1:22" ht="13.5">
      <c r="A832" s="102">
        <v>45630.323517812503</v>
      </c>
      <c r="B832" s="103" t="s">
        <v>57</v>
      </c>
      <c r="C832" s="104" t="str">
        <f t="shared" si="123"/>
        <v>×</v>
      </c>
      <c r="D832" s="104" t="str">
        <f t="shared" si="123"/>
        <v>○</v>
      </c>
      <c r="E832" s="104" t="str">
        <f t="shared" si="123"/>
        <v>×</v>
      </c>
      <c r="F832" s="104" t="str">
        <f t="shared" si="123"/>
        <v>×</v>
      </c>
      <c r="G832" s="103" t="s">
        <v>20</v>
      </c>
      <c r="H832" s="105"/>
      <c r="I832" s="105"/>
      <c r="J832" s="103" t="s">
        <v>21</v>
      </c>
      <c r="K832" s="103" t="s">
        <v>16</v>
      </c>
      <c r="L832" s="103" t="s">
        <v>39</v>
      </c>
      <c r="M832" s="108" t="str">
        <f t="shared" ref="M832:R841" si="125">IF(ISERROR(SEARCH(M$1,$L832)),"","○")</f>
        <v/>
      </c>
      <c r="N832" s="108" t="str">
        <f t="shared" si="125"/>
        <v>○</v>
      </c>
      <c r="O832" s="108" t="str">
        <f t="shared" si="125"/>
        <v/>
      </c>
      <c r="P832" s="108" t="str">
        <f t="shared" si="125"/>
        <v/>
      </c>
      <c r="Q832" s="108" t="str">
        <f t="shared" si="125"/>
        <v/>
      </c>
      <c r="R832" s="103" t="str">
        <f t="shared" si="125"/>
        <v/>
      </c>
      <c r="S832" s="105"/>
      <c r="T832" s="103" t="s">
        <v>24</v>
      </c>
      <c r="U832" s="103" t="s">
        <v>1594</v>
      </c>
      <c r="V832" s="103" t="s">
        <v>1595</v>
      </c>
    </row>
    <row r="833" spans="1:22" ht="13.5">
      <c r="A833" s="102">
        <v>45628.774677974536</v>
      </c>
      <c r="B833" s="103" t="s">
        <v>49</v>
      </c>
      <c r="C833" s="104" t="str">
        <f t="shared" si="123"/>
        <v>×</v>
      </c>
      <c r="D833" s="104" t="str">
        <f t="shared" si="123"/>
        <v>○</v>
      </c>
      <c r="E833" s="104" t="str">
        <f t="shared" si="123"/>
        <v>×</v>
      </c>
      <c r="F833" s="104" t="str">
        <f t="shared" si="123"/>
        <v>×</v>
      </c>
      <c r="G833" s="103" t="s">
        <v>20</v>
      </c>
      <c r="H833" s="105"/>
      <c r="I833" s="105"/>
      <c r="J833" s="103" t="s">
        <v>38</v>
      </c>
      <c r="K833" s="103" t="s">
        <v>16</v>
      </c>
      <c r="L833" s="103" t="s">
        <v>68</v>
      </c>
      <c r="M833" s="108" t="str">
        <f t="shared" si="125"/>
        <v/>
      </c>
      <c r="N833" s="108" t="str">
        <f t="shared" si="125"/>
        <v/>
      </c>
      <c r="O833" s="108" t="str">
        <f t="shared" si="125"/>
        <v/>
      </c>
      <c r="P833" s="108" t="str">
        <f t="shared" si="125"/>
        <v/>
      </c>
      <c r="Q833" s="108" t="str">
        <f t="shared" si="125"/>
        <v>○</v>
      </c>
      <c r="R833" s="103" t="str">
        <f t="shared" si="125"/>
        <v/>
      </c>
      <c r="S833" s="103" t="s">
        <v>1051</v>
      </c>
      <c r="T833" s="103" t="s">
        <v>24</v>
      </c>
      <c r="U833" s="103" t="s">
        <v>1052</v>
      </c>
      <c r="V833" s="103" t="s">
        <v>1053</v>
      </c>
    </row>
    <row r="834" spans="1:22" ht="13.5">
      <c r="A834" s="102">
        <v>45626.861856018513</v>
      </c>
      <c r="B834" s="103" t="s">
        <v>466</v>
      </c>
      <c r="C834" s="104" t="str">
        <f t="shared" si="123"/>
        <v>×</v>
      </c>
      <c r="D834" s="104" t="str">
        <f t="shared" si="123"/>
        <v>○</v>
      </c>
      <c r="E834" s="104" t="str">
        <f t="shared" si="123"/>
        <v>○</v>
      </c>
      <c r="F834" s="104" t="str">
        <f t="shared" si="123"/>
        <v>×</v>
      </c>
      <c r="G834" s="103" t="s">
        <v>13</v>
      </c>
      <c r="H834" s="103" t="s">
        <v>27</v>
      </c>
      <c r="I834" s="103" t="s">
        <v>617</v>
      </c>
      <c r="J834" s="105"/>
      <c r="K834" s="103" t="s">
        <v>34</v>
      </c>
      <c r="L834" s="105"/>
      <c r="M834" s="110" t="str">
        <f t="shared" si="125"/>
        <v/>
      </c>
      <c r="N834" s="110" t="str">
        <f t="shared" si="125"/>
        <v/>
      </c>
      <c r="O834" s="110" t="str">
        <f t="shared" si="125"/>
        <v/>
      </c>
      <c r="P834" s="110" t="str">
        <f t="shared" si="125"/>
        <v/>
      </c>
      <c r="Q834" s="110" t="str">
        <f t="shared" si="125"/>
        <v/>
      </c>
      <c r="R834" s="105" t="str">
        <f t="shared" si="125"/>
        <v/>
      </c>
      <c r="S834" s="105"/>
      <c r="T834" s="103" t="s">
        <v>30</v>
      </c>
      <c r="U834" s="103" t="s">
        <v>618</v>
      </c>
      <c r="V834" s="103" t="s">
        <v>619</v>
      </c>
    </row>
    <row r="835" spans="1:22" ht="13.5">
      <c r="A835" s="102">
        <v>45624.854099861113</v>
      </c>
      <c r="B835" s="103" t="s">
        <v>90</v>
      </c>
      <c r="C835" s="104" t="str">
        <f t="shared" si="123"/>
        <v>×</v>
      </c>
      <c r="D835" s="104" t="str">
        <f t="shared" si="123"/>
        <v>×</v>
      </c>
      <c r="E835" s="104" t="str">
        <f t="shared" si="123"/>
        <v>○</v>
      </c>
      <c r="F835" s="104" t="str">
        <f t="shared" si="123"/>
        <v>×</v>
      </c>
      <c r="G835" s="103" t="s">
        <v>20</v>
      </c>
      <c r="H835" s="105"/>
      <c r="I835" s="105"/>
      <c r="J835" s="103" t="s">
        <v>58</v>
      </c>
      <c r="K835" s="103" t="s">
        <v>16</v>
      </c>
      <c r="L835" s="103" t="s">
        <v>112</v>
      </c>
      <c r="M835" s="108" t="str">
        <f t="shared" si="125"/>
        <v/>
      </c>
      <c r="N835" s="108" t="str">
        <f t="shared" si="125"/>
        <v/>
      </c>
      <c r="O835" s="108" t="str">
        <f t="shared" si="125"/>
        <v>○</v>
      </c>
      <c r="P835" s="108" t="str">
        <f t="shared" si="125"/>
        <v>○</v>
      </c>
      <c r="Q835" s="108" t="str">
        <f t="shared" si="125"/>
        <v>○</v>
      </c>
      <c r="R835" s="103" t="str">
        <f t="shared" si="125"/>
        <v/>
      </c>
      <c r="S835" s="103" t="s">
        <v>113</v>
      </c>
      <c r="T835" s="103" t="s">
        <v>114</v>
      </c>
      <c r="U835" s="103" t="s">
        <v>115</v>
      </c>
      <c r="V835" s="103" t="s">
        <v>116</v>
      </c>
    </row>
    <row r="836" spans="1:22" ht="13.5">
      <c r="A836" s="102">
        <v>45627.773039861117</v>
      </c>
      <c r="B836" s="103" t="s">
        <v>93</v>
      </c>
      <c r="C836" s="104" t="str">
        <f t="shared" si="123"/>
        <v>×</v>
      </c>
      <c r="D836" s="104" t="str">
        <f t="shared" si="123"/>
        <v>×</v>
      </c>
      <c r="E836" s="104" t="str">
        <f t="shared" si="123"/>
        <v>○</v>
      </c>
      <c r="F836" s="104" t="str">
        <f t="shared" si="123"/>
        <v>×</v>
      </c>
      <c r="G836" s="103" t="s">
        <v>13</v>
      </c>
      <c r="H836" s="103" t="s">
        <v>47</v>
      </c>
      <c r="I836" s="103" t="s">
        <v>730</v>
      </c>
      <c r="J836" s="105"/>
      <c r="K836" s="103" t="s">
        <v>34</v>
      </c>
      <c r="L836" s="105"/>
      <c r="M836" s="110" t="str">
        <f t="shared" si="125"/>
        <v/>
      </c>
      <c r="N836" s="110" t="str">
        <f t="shared" si="125"/>
        <v/>
      </c>
      <c r="O836" s="110" t="str">
        <f t="shared" si="125"/>
        <v/>
      </c>
      <c r="P836" s="110" t="str">
        <f t="shared" si="125"/>
        <v/>
      </c>
      <c r="Q836" s="110" t="str">
        <f t="shared" si="125"/>
        <v/>
      </c>
      <c r="R836" s="105" t="str">
        <f t="shared" si="125"/>
        <v/>
      </c>
      <c r="S836" s="105"/>
      <c r="T836" s="103" t="s">
        <v>24</v>
      </c>
      <c r="U836" s="103" t="s">
        <v>731</v>
      </c>
      <c r="V836" s="103" t="s">
        <v>732</v>
      </c>
    </row>
    <row r="837" spans="1:22" ht="13.5">
      <c r="A837" s="102">
        <v>45625.785969745368</v>
      </c>
      <c r="B837" s="103" t="s">
        <v>46</v>
      </c>
      <c r="C837" s="104" t="str">
        <f t="shared" si="123"/>
        <v>×</v>
      </c>
      <c r="D837" s="104" t="str">
        <f t="shared" si="123"/>
        <v>×</v>
      </c>
      <c r="E837" s="104" t="str">
        <f t="shared" si="123"/>
        <v>○</v>
      </c>
      <c r="F837" s="104" t="str">
        <f t="shared" si="123"/>
        <v>○</v>
      </c>
      <c r="G837" s="103" t="s">
        <v>13</v>
      </c>
      <c r="H837" s="103" t="s">
        <v>27</v>
      </c>
      <c r="I837" s="103" t="s">
        <v>270</v>
      </c>
      <c r="J837" s="105"/>
      <c r="K837" s="103" t="s">
        <v>16</v>
      </c>
      <c r="L837" s="103" t="s">
        <v>107</v>
      </c>
      <c r="M837" s="108" t="str">
        <f t="shared" si="125"/>
        <v/>
      </c>
      <c r="N837" s="108" t="str">
        <f t="shared" si="125"/>
        <v/>
      </c>
      <c r="O837" s="108" t="str">
        <f t="shared" si="125"/>
        <v>○</v>
      </c>
      <c r="P837" s="108" t="str">
        <f t="shared" si="125"/>
        <v/>
      </c>
      <c r="Q837" s="108" t="str">
        <f t="shared" si="125"/>
        <v/>
      </c>
      <c r="R837" s="103" t="str">
        <f t="shared" si="125"/>
        <v/>
      </c>
      <c r="S837" s="105"/>
      <c r="T837" s="103" t="s">
        <v>35</v>
      </c>
      <c r="U837" s="103" t="s">
        <v>271</v>
      </c>
      <c r="V837" s="105"/>
    </row>
    <row r="838" spans="1:22" ht="13.5">
      <c r="A838" s="102">
        <v>45626.520952245366</v>
      </c>
      <c r="B838" s="103" t="s">
        <v>90</v>
      </c>
      <c r="C838" s="104" t="str">
        <f t="shared" si="123"/>
        <v>×</v>
      </c>
      <c r="D838" s="104" t="str">
        <f t="shared" si="123"/>
        <v>×</v>
      </c>
      <c r="E838" s="104" t="str">
        <f t="shared" si="123"/>
        <v>○</v>
      </c>
      <c r="F838" s="104" t="str">
        <f t="shared" si="123"/>
        <v>×</v>
      </c>
      <c r="G838" s="103" t="s">
        <v>13</v>
      </c>
      <c r="H838" s="103" t="s">
        <v>32</v>
      </c>
      <c r="I838" s="103" t="s">
        <v>556</v>
      </c>
      <c r="J838" s="105"/>
      <c r="K838" s="103" t="s">
        <v>34</v>
      </c>
      <c r="L838" s="105"/>
      <c r="M838" s="110" t="str">
        <f t="shared" si="125"/>
        <v/>
      </c>
      <c r="N838" s="110" t="str">
        <f t="shared" si="125"/>
        <v/>
      </c>
      <c r="O838" s="110" t="str">
        <f t="shared" si="125"/>
        <v/>
      </c>
      <c r="P838" s="110" t="str">
        <f t="shared" si="125"/>
        <v/>
      </c>
      <c r="Q838" s="110" t="str">
        <f t="shared" si="125"/>
        <v/>
      </c>
      <c r="R838" s="105" t="str">
        <f t="shared" si="125"/>
        <v/>
      </c>
      <c r="S838" s="105"/>
      <c r="T838" s="103" t="s">
        <v>557</v>
      </c>
      <c r="U838" s="103" t="s">
        <v>558</v>
      </c>
      <c r="V838" s="105"/>
    </row>
    <row r="839" spans="1:22" ht="13.5">
      <c r="A839" s="102">
        <v>45628.906395868056</v>
      </c>
      <c r="B839" s="103" t="s">
        <v>57</v>
      </c>
      <c r="C839" s="104" t="str">
        <f t="shared" si="123"/>
        <v>×</v>
      </c>
      <c r="D839" s="104" t="str">
        <f t="shared" si="123"/>
        <v>○</v>
      </c>
      <c r="E839" s="104" t="str">
        <f t="shared" si="123"/>
        <v>×</v>
      </c>
      <c r="F839" s="104" t="str">
        <f t="shared" si="123"/>
        <v>×</v>
      </c>
      <c r="G839" s="103" t="s">
        <v>20</v>
      </c>
      <c r="H839" s="105"/>
      <c r="I839" s="105"/>
      <c r="J839" s="103" t="s">
        <v>21</v>
      </c>
      <c r="K839" s="103" t="s">
        <v>16</v>
      </c>
      <c r="L839" s="103" t="s">
        <v>59</v>
      </c>
      <c r="M839" s="108" t="str">
        <f t="shared" si="125"/>
        <v/>
      </c>
      <c r="N839" s="108" t="str">
        <f t="shared" si="125"/>
        <v/>
      </c>
      <c r="O839" s="108" t="str">
        <f t="shared" si="125"/>
        <v/>
      </c>
      <c r="P839" s="108" t="str">
        <f t="shared" si="125"/>
        <v>○</v>
      </c>
      <c r="Q839" s="108" t="str">
        <f t="shared" si="125"/>
        <v/>
      </c>
      <c r="R839" s="103" t="str">
        <f t="shared" si="125"/>
        <v/>
      </c>
      <c r="S839" s="103" t="s">
        <v>1236</v>
      </c>
      <c r="T839" s="103" t="s">
        <v>1237</v>
      </c>
      <c r="U839" s="103" t="s">
        <v>1238</v>
      </c>
      <c r="V839" s="105"/>
    </row>
    <row r="840" spans="1:22" ht="13.5">
      <c r="A840" s="102">
        <v>45626.339389328699</v>
      </c>
      <c r="B840" s="103" t="s">
        <v>105</v>
      </c>
      <c r="C840" s="104" t="str">
        <f t="shared" si="123"/>
        <v>×</v>
      </c>
      <c r="D840" s="104" t="str">
        <f t="shared" si="123"/>
        <v>×</v>
      </c>
      <c r="E840" s="104" t="str">
        <f t="shared" si="123"/>
        <v>○</v>
      </c>
      <c r="F840" s="104" t="str">
        <f t="shared" si="123"/>
        <v>×</v>
      </c>
      <c r="G840" s="103" t="s">
        <v>20</v>
      </c>
      <c r="H840" s="105"/>
      <c r="I840" s="105"/>
      <c r="J840" s="103" t="s">
        <v>58</v>
      </c>
      <c r="K840" s="103" t="s">
        <v>16</v>
      </c>
      <c r="L840" s="103" t="s">
        <v>59</v>
      </c>
      <c r="M840" s="108" t="str">
        <f t="shared" si="125"/>
        <v/>
      </c>
      <c r="N840" s="108" t="str">
        <f t="shared" si="125"/>
        <v/>
      </c>
      <c r="O840" s="108" t="str">
        <f t="shared" si="125"/>
        <v/>
      </c>
      <c r="P840" s="108" t="str">
        <f t="shared" si="125"/>
        <v>○</v>
      </c>
      <c r="Q840" s="108" t="str">
        <f t="shared" si="125"/>
        <v/>
      </c>
      <c r="R840" s="103" t="str">
        <f t="shared" si="125"/>
        <v/>
      </c>
      <c r="S840" s="103" t="s">
        <v>420</v>
      </c>
      <c r="T840" s="103" t="s">
        <v>24</v>
      </c>
      <c r="U840" s="103" t="s">
        <v>421</v>
      </c>
      <c r="V840" s="103" t="s">
        <v>422</v>
      </c>
    </row>
    <row r="841" spans="1:22" ht="13.5">
      <c r="A841" s="102">
        <v>45629.734224004627</v>
      </c>
      <c r="B841" s="103" t="s">
        <v>315</v>
      </c>
      <c r="C841" s="104" t="str">
        <f t="shared" si="123"/>
        <v>×</v>
      </c>
      <c r="D841" s="104" t="str">
        <f t="shared" si="123"/>
        <v>○</v>
      </c>
      <c r="E841" s="104" t="str">
        <f t="shared" si="123"/>
        <v>×</v>
      </c>
      <c r="F841" s="104" t="str">
        <f t="shared" si="123"/>
        <v>×</v>
      </c>
      <c r="G841" s="103" t="s">
        <v>13</v>
      </c>
      <c r="H841" s="103" t="s">
        <v>14</v>
      </c>
      <c r="I841" s="103" t="s">
        <v>1422</v>
      </c>
      <c r="J841" s="105"/>
      <c r="K841" s="103" t="s">
        <v>34</v>
      </c>
      <c r="L841" s="105"/>
      <c r="M841" s="110" t="str">
        <f t="shared" si="125"/>
        <v/>
      </c>
      <c r="N841" s="110" t="str">
        <f t="shared" si="125"/>
        <v/>
      </c>
      <c r="O841" s="110" t="str">
        <f t="shared" si="125"/>
        <v/>
      </c>
      <c r="P841" s="110" t="str">
        <f t="shared" si="125"/>
        <v/>
      </c>
      <c r="Q841" s="110" t="str">
        <f t="shared" si="125"/>
        <v/>
      </c>
      <c r="R841" s="105" t="str">
        <f t="shared" si="125"/>
        <v/>
      </c>
      <c r="S841" s="105"/>
      <c r="T841" s="103" t="s">
        <v>30</v>
      </c>
      <c r="U841" s="103" t="s">
        <v>1423</v>
      </c>
      <c r="V841" s="103" t="s">
        <v>1424</v>
      </c>
    </row>
    <row r="842" spans="1:22" ht="13.5">
      <c r="A842" s="102">
        <v>45628.75717449074</v>
      </c>
      <c r="B842" s="103" t="s">
        <v>41</v>
      </c>
      <c r="C842" s="104" t="str">
        <f t="shared" ref="C842:F861" si="126">IF(ISERROR(FIND(C$1,$B842)),"×","○")</f>
        <v>×</v>
      </c>
      <c r="D842" s="104" t="str">
        <f t="shared" si="126"/>
        <v>○</v>
      </c>
      <c r="E842" s="104" t="str">
        <f t="shared" si="126"/>
        <v>×</v>
      </c>
      <c r="F842" s="104" t="str">
        <f t="shared" si="126"/>
        <v>×</v>
      </c>
      <c r="G842" s="103" t="s">
        <v>20</v>
      </c>
      <c r="H842" s="105"/>
      <c r="I842" s="105"/>
      <c r="J842" s="103" t="s">
        <v>1026</v>
      </c>
      <c r="K842" s="103" t="s">
        <v>16</v>
      </c>
      <c r="L842" s="103" t="s">
        <v>59</v>
      </c>
      <c r="M842" s="108" t="str">
        <f t="shared" ref="M842:R851" si="127">IF(ISERROR(SEARCH(M$1,$L842)),"","○")</f>
        <v/>
      </c>
      <c r="N842" s="108" t="str">
        <f t="shared" si="127"/>
        <v/>
      </c>
      <c r="O842" s="108" t="str">
        <f t="shared" si="127"/>
        <v/>
      </c>
      <c r="P842" s="108" t="str">
        <f t="shared" si="127"/>
        <v>○</v>
      </c>
      <c r="Q842" s="108" t="str">
        <f t="shared" si="127"/>
        <v/>
      </c>
      <c r="R842" s="103" t="str">
        <f t="shared" si="127"/>
        <v/>
      </c>
      <c r="S842" s="103" t="s">
        <v>1027</v>
      </c>
      <c r="T842" s="103" t="s">
        <v>61</v>
      </c>
      <c r="U842" s="103" t="s">
        <v>1028</v>
      </c>
      <c r="V842" s="105"/>
    </row>
    <row r="843" spans="1:22" ht="13.5">
      <c r="A843" s="102">
        <v>45625.872183993051</v>
      </c>
      <c r="B843" s="103" t="s">
        <v>330</v>
      </c>
      <c r="C843" s="104" t="str">
        <f t="shared" si="126"/>
        <v>×</v>
      </c>
      <c r="D843" s="104" t="str">
        <f t="shared" si="126"/>
        <v>○</v>
      </c>
      <c r="E843" s="104" t="str">
        <f t="shared" si="126"/>
        <v>○</v>
      </c>
      <c r="F843" s="104" t="str">
        <f t="shared" si="126"/>
        <v>×</v>
      </c>
      <c r="G843" s="103" t="s">
        <v>13</v>
      </c>
      <c r="H843" s="103" t="s">
        <v>32</v>
      </c>
      <c r="I843" s="103" t="s">
        <v>331</v>
      </c>
      <c r="J843" s="105"/>
      <c r="K843" s="103" t="s">
        <v>34</v>
      </c>
      <c r="L843" s="105"/>
      <c r="M843" s="110" t="str">
        <f t="shared" si="127"/>
        <v/>
      </c>
      <c r="N843" s="110" t="str">
        <f t="shared" si="127"/>
        <v/>
      </c>
      <c r="O843" s="110" t="str">
        <f t="shared" si="127"/>
        <v/>
      </c>
      <c r="P843" s="110" t="str">
        <f t="shared" si="127"/>
        <v/>
      </c>
      <c r="Q843" s="110" t="str">
        <f t="shared" si="127"/>
        <v/>
      </c>
      <c r="R843" s="105" t="str">
        <f t="shared" si="127"/>
        <v/>
      </c>
      <c r="S843" s="105"/>
      <c r="T843" s="103" t="s">
        <v>35</v>
      </c>
      <c r="U843" s="103" t="s">
        <v>332</v>
      </c>
      <c r="V843" s="103" t="s">
        <v>333</v>
      </c>
    </row>
    <row r="844" spans="1:22" ht="13.5">
      <c r="A844" s="102">
        <v>45632.817177743054</v>
      </c>
      <c r="B844" s="103" t="s">
        <v>181</v>
      </c>
      <c r="C844" s="104" t="str">
        <f t="shared" si="126"/>
        <v>×</v>
      </c>
      <c r="D844" s="104" t="str">
        <f t="shared" si="126"/>
        <v>○</v>
      </c>
      <c r="E844" s="104" t="str">
        <f t="shared" si="126"/>
        <v>×</v>
      </c>
      <c r="F844" s="104" t="str">
        <f t="shared" si="126"/>
        <v>×</v>
      </c>
      <c r="G844" s="103" t="s">
        <v>20</v>
      </c>
      <c r="H844" s="105"/>
      <c r="I844" s="105"/>
      <c r="J844" s="103" t="s">
        <v>58</v>
      </c>
      <c r="K844" s="103" t="s">
        <v>16</v>
      </c>
      <c r="L844" s="103" t="s">
        <v>107</v>
      </c>
      <c r="M844" s="108" t="str">
        <f t="shared" si="127"/>
        <v/>
      </c>
      <c r="N844" s="108" t="str">
        <f t="shared" si="127"/>
        <v/>
      </c>
      <c r="O844" s="108" t="str">
        <f t="shared" si="127"/>
        <v>○</v>
      </c>
      <c r="P844" s="108" t="str">
        <f t="shared" si="127"/>
        <v/>
      </c>
      <c r="Q844" s="108" t="str">
        <f t="shared" si="127"/>
        <v/>
      </c>
      <c r="R844" s="103" t="str">
        <f t="shared" si="127"/>
        <v/>
      </c>
      <c r="S844" s="103" t="s">
        <v>1842</v>
      </c>
      <c r="T844" s="103" t="s">
        <v>30</v>
      </c>
      <c r="U844" s="103" t="s">
        <v>1843</v>
      </c>
      <c r="V844" s="105"/>
    </row>
    <row r="845" spans="1:22" ht="13.5">
      <c r="A845" s="102">
        <v>45628.76124501157</v>
      </c>
      <c r="B845" s="103" t="s">
        <v>64</v>
      </c>
      <c r="C845" s="104" t="str">
        <f t="shared" si="126"/>
        <v>○</v>
      </c>
      <c r="D845" s="104" t="str">
        <f t="shared" si="126"/>
        <v>○</v>
      </c>
      <c r="E845" s="104" t="str">
        <f t="shared" si="126"/>
        <v>×</v>
      </c>
      <c r="F845" s="104" t="str">
        <f t="shared" si="126"/>
        <v>×</v>
      </c>
      <c r="G845" s="103" t="s">
        <v>20</v>
      </c>
      <c r="H845" s="105"/>
      <c r="I845" s="105"/>
      <c r="J845" s="103" t="s">
        <v>38</v>
      </c>
      <c r="K845" s="103" t="s">
        <v>16</v>
      </c>
      <c r="L845" s="103" t="s">
        <v>88</v>
      </c>
      <c r="M845" s="108" t="str">
        <f t="shared" si="127"/>
        <v/>
      </c>
      <c r="N845" s="108" t="str">
        <f t="shared" si="127"/>
        <v>○</v>
      </c>
      <c r="O845" s="108" t="str">
        <f t="shared" si="127"/>
        <v/>
      </c>
      <c r="P845" s="108" t="str">
        <f t="shared" si="127"/>
        <v/>
      </c>
      <c r="Q845" s="108" t="str">
        <f t="shared" si="127"/>
        <v>○</v>
      </c>
      <c r="R845" s="103" t="str">
        <f t="shared" si="127"/>
        <v/>
      </c>
      <c r="S845" s="103" t="s">
        <v>1032</v>
      </c>
      <c r="T845" s="103" t="s">
        <v>30</v>
      </c>
      <c r="U845" s="103" t="s">
        <v>1033</v>
      </c>
      <c r="V845" s="105"/>
    </row>
    <row r="846" spans="1:22" ht="13.5">
      <c r="A846" s="102">
        <v>45627.487046863425</v>
      </c>
      <c r="B846" s="103" t="s">
        <v>19</v>
      </c>
      <c r="C846" s="104" t="str">
        <f t="shared" si="126"/>
        <v>×</v>
      </c>
      <c r="D846" s="104" t="str">
        <f t="shared" si="126"/>
        <v>○</v>
      </c>
      <c r="E846" s="104" t="str">
        <f t="shared" si="126"/>
        <v>×</v>
      </c>
      <c r="F846" s="104" t="str">
        <f t="shared" si="126"/>
        <v>×</v>
      </c>
      <c r="G846" s="103" t="s">
        <v>13</v>
      </c>
      <c r="H846" s="103" t="s">
        <v>27</v>
      </c>
      <c r="I846" s="103" t="s">
        <v>679</v>
      </c>
      <c r="J846" s="105"/>
      <c r="K846" s="103" t="s">
        <v>34</v>
      </c>
      <c r="L846" s="105"/>
      <c r="M846" s="110" t="str">
        <f t="shared" si="127"/>
        <v/>
      </c>
      <c r="N846" s="110" t="str">
        <f t="shared" si="127"/>
        <v/>
      </c>
      <c r="O846" s="110" t="str">
        <f t="shared" si="127"/>
        <v/>
      </c>
      <c r="P846" s="110" t="str">
        <f t="shared" si="127"/>
        <v/>
      </c>
      <c r="Q846" s="110" t="str">
        <f t="shared" si="127"/>
        <v/>
      </c>
      <c r="R846" s="105" t="str">
        <f t="shared" si="127"/>
        <v/>
      </c>
      <c r="S846" s="105"/>
      <c r="T846" s="103" t="s">
        <v>680</v>
      </c>
      <c r="U846" s="103" t="s">
        <v>681</v>
      </c>
      <c r="V846" s="103" t="s">
        <v>682</v>
      </c>
    </row>
    <row r="847" spans="1:22" ht="13.5">
      <c r="A847" s="102">
        <v>45630.758644444446</v>
      </c>
      <c r="B847" s="103" t="s">
        <v>93</v>
      </c>
      <c r="C847" s="104" t="str">
        <f t="shared" si="126"/>
        <v>×</v>
      </c>
      <c r="D847" s="104" t="str">
        <f t="shared" si="126"/>
        <v>×</v>
      </c>
      <c r="E847" s="104" t="str">
        <f t="shared" si="126"/>
        <v>○</v>
      </c>
      <c r="F847" s="104" t="str">
        <f t="shared" si="126"/>
        <v>×</v>
      </c>
      <c r="G847" s="103" t="s">
        <v>20</v>
      </c>
      <c r="H847" s="105"/>
      <c r="I847" s="105"/>
      <c r="J847" s="103" t="s">
        <v>58</v>
      </c>
      <c r="K847" s="103" t="s">
        <v>16</v>
      </c>
      <c r="L847" s="103" t="s">
        <v>68</v>
      </c>
      <c r="M847" s="108" t="str">
        <f t="shared" si="127"/>
        <v/>
      </c>
      <c r="N847" s="108" t="str">
        <f t="shared" si="127"/>
        <v/>
      </c>
      <c r="O847" s="108" t="str">
        <f t="shared" si="127"/>
        <v/>
      </c>
      <c r="P847" s="108" t="str">
        <f t="shared" si="127"/>
        <v/>
      </c>
      <c r="Q847" s="108" t="str">
        <f t="shared" si="127"/>
        <v>○</v>
      </c>
      <c r="R847" s="103" t="str">
        <f t="shared" si="127"/>
        <v/>
      </c>
      <c r="S847" s="103" t="s">
        <v>1645</v>
      </c>
      <c r="T847" s="103" t="s">
        <v>24</v>
      </c>
      <c r="U847" s="103" t="s">
        <v>1646</v>
      </c>
      <c r="V847" s="103" t="s">
        <v>1647</v>
      </c>
    </row>
    <row r="848" spans="1:22" ht="13.5">
      <c r="A848" s="102">
        <v>45628.912920277777</v>
      </c>
      <c r="B848" s="103" t="s">
        <v>71</v>
      </c>
      <c r="C848" s="104" t="str">
        <f t="shared" si="126"/>
        <v>×</v>
      </c>
      <c r="D848" s="104" t="str">
        <f t="shared" si="126"/>
        <v>○</v>
      </c>
      <c r="E848" s="104" t="str">
        <f t="shared" si="126"/>
        <v>○</v>
      </c>
      <c r="F848" s="104" t="str">
        <f t="shared" si="126"/>
        <v>×</v>
      </c>
      <c r="G848" s="103" t="s">
        <v>20</v>
      </c>
      <c r="H848" s="105"/>
      <c r="I848" s="105"/>
      <c r="J848" s="103" t="s">
        <v>58</v>
      </c>
      <c r="K848" s="103" t="s">
        <v>16</v>
      </c>
      <c r="L848" s="103" t="s">
        <v>39</v>
      </c>
      <c r="M848" s="108" t="str">
        <f t="shared" si="127"/>
        <v/>
      </c>
      <c r="N848" s="108" t="str">
        <f t="shared" si="127"/>
        <v>○</v>
      </c>
      <c r="O848" s="108" t="str">
        <f t="shared" si="127"/>
        <v/>
      </c>
      <c r="P848" s="108" t="str">
        <f t="shared" si="127"/>
        <v/>
      </c>
      <c r="Q848" s="108" t="str">
        <f t="shared" si="127"/>
        <v/>
      </c>
      <c r="R848" s="103" t="str">
        <f t="shared" si="127"/>
        <v/>
      </c>
      <c r="S848" s="105"/>
      <c r="T848" s="103" t="s">
        <v>30</v>
      </c>
      <c r="U848" s="103" t="s">
        <v>1245</v>
      </c>
      <c r="V848" s="103" t="s">
        <v>1246</v>
      </c>
    </row>
    <row r="849" spans="1:22" ht="13.5">
      <c r="A849" s="102">
        <v>45627.956211203702</v>
      </c>
      <c r="B849" s="103" t="s">
        <v>828</v>
      </c>
      <c r="C849" s="104" t="str">
        <f t="shared" si="126"/>
        <v>×</v>
      </c>
      <c r="D849" s="104" t="str">
        <f t="shared" si="126"/>
        <v>○</v>
      </c>
      <c r="E849" s="104" t="str">
        <f t="shared" si="126"/>
        <v>×</v>
      </c>
      <c r="F849" s="104" t="str">
        <f t="shared" si="126"/>
        <v>×</v>
      </c>
      <c r="G849" s="103" t="s">
        <v>20</v>
      </c>
      <c r="H849" s="105"/>
      <c r="I849" s="105"/>
      <c r="J849" s="103" t="s">
        <v>21</v>
      </c>
      <c r="K849" s="103" t="s">
        <v>16</v>
      </c>
      <c r="L849" s="103" t="s">
        <v>59</v>
      </c>
      <c r="M849" s="108" t="str">
        <f t="shared" si="127"/>
        <v/>
      </c>
      <c r="N849" s="108" t="str">
        <f t="shared" si="127"/>
        <v/>
      </c>
      <c r="O849" s="108" t="str">
        <f t="shared" si="127"/>
        <v/>
      </c>
      <c r="P849" s="108" t="str">
        <f t="shared" si="127"/>
        <v>○</v>
      </c>
      <c r="Q849" s="108" t="str">
        <f t="shared" si="127"/>
        <v/>
      </c>
      <c r="R849" s="103" t="str">
        <f t="shared" si="127"/>
        <v/>
      </c>
      <c r="S849" s="103" t="s">
        <v>829</v>
      </c>
      <c r="T849" s="103" t="s">
        <v>830</v>
      </c>
      <c r="U849" s="103" t="s">
        <v>831</v>
      </c>
      <c r="V849" s="103" t="s">
        <v>832</v>
      </c>
    </row>
    <row r="850" spans="1:22" ht="13.5">
      <c r="A850" s="102">
        <v>45630.850659629628</v>
      </c>
      <c r="B850" s="103" t="s">
        <v>188</v>
      </c>
      <c r="C850" s="104" t="str">
        <f t="shared" si="126"/>
        <v>×</v>
      </c>
      <c r="D850" s="104" t="str">
        <f t="shared" si="126"/>
        <v>○</v>
      </c>
      <c r="E850" s="104" t="str">
        <f t="shared" si="126"/>
        <v>×</v>
      </c>
      <c r="F850" s="104" t="str">
        <f t="shared" si="126"/>
        <v>×</v>
      </c>
      <c r="G850" s="103" t="s">
        <v>20</v>
      </c>
      <c r="H850" s="105"/>
      <c r="I850" s="105"/>
      <c r="J850" s="103" t="s">
        <v>1675</v>
      </c>
      <c r="K850" s="103" t="s">
        <v>16</v>
      </c>
      <c r="L850" s="103" t="s">
        <v>39</v>
      </c>
      <c r="M850" s="108" t="str">
        <f t="shared" si="127"/>
        <v/>
      </c>
      <c r="N850" s="108" t="str">
        <f t="shared" si="127"/>
        <v>○</v>
      </c>
      <c r="O850" s="108" t="str">
        <f t="shared" si="127"/>
        <v/>
      </c>
      <c r="P850" s="108" t="str">
        <f t="shared" si="127"/>
        <v/>
      </c>
      <c r="Q850" s="108" t="str">
        <f t="shared" si="127"/>
        <v/>
      </c>
      <c r="R850" s="103" t="str">
        <f t="shared" si="127"/>
        <v/>
      </c>
      <c r="S850" s="105"/>
      <c r="T850" s="103" t="s">
        <v>1676</v>
      </c>
      <c r="U850" s="103" t="s">
        <v>1677</v>
      </c>
      <c r="V850" s="105"/>
    </row>
    <row r="851" spans="1:22" ht="13.5">
      <c r="A851" s="102">
        <v>45626.34173511574</v>
      </c>
      <c r="B851" s="103" t="s">
        <v>434</v>
      </c>
      <c r="C851" s="104" t="str">
        <f t="shared" si="126"/>
        <v>×</v>
      </c>
      <c r="D851" s="104" t="str">
        <f t="shared" si="126"/>
        <v>○</v>
      </c>
      <c r="E851" s="104" t="str">
        <f t="shared" si="126"/>
        <v>○</v>
      </c>
      <c r="F851" s="104" t="str">
        <f t="shared" si="126"/>
        <v>×</v>
      </c>
      <c r="G851" s="103" t="s">
        <v>20</v>
      </c>
      <c r="H851" s="105"/>
      <c r="I851" s="105"/>
      <c r="J851" s="103" t="s">
        <v>21</v>
      </c>
      <c r="K851" s="103" t="s">
        <v>16</v>
      </c>
      <c r="L851" s="103" t="s">
        <v>39</v>
      </c>
      <c r="M851" s="108" t="str">
        <f t="shared" si="127"/>
        <v/>
      </c>
      <c r="N851" s="108" t="str">
        <f t="shared" si="127"/>
        <v>○</v>
      </c>
      <c r="O851" s="108" t="str">
        <f t="shared" si="127"/>
        <v/>
      </c>
      <c r="P851" s="108" t="str">
        <f t="shared" si="127"/>
        <v/>
      </c>
      <c r="Q851" s="108" t="str">
        <f t="shared" si="127"/>
        <v/>
      </c>
      <c r="R851" s="103" t="str">
        <f t="shared" si="127"/>
        <v/>
      </c>
      <c r="S851" s="105"/>
      <c r="T851" s="103" t="s">
        <v>24</v>
      </c>
      <c r="U851" s="103" t="s">
        <v>435</v>
      </c>
      <c r="V851" s="103" t="s">
        <v>436</v>
      </c>
    </row>
    <row r="852" spans="1:22" ht="13.5">
      <c r="A852" s="102">
        <v>45628.868767754626</v>
      </c>
      <c r="B852" s="103" t="s">
        <v>57</v>
      </c>
      <c r="C852" s="104" t="str">
        <f t="shared" si="126"/>
        <v>×</v>
      </c>
      <c r="D852" s="104" t="str">
        <f t="shared" si="126"/>
        <v>○</v>
      </c>
      <c r="E852" s="104" t="str">
        <f t="shared" si="126"/>
        <v>×</v>
      </c>
      <c r="F852" s="104" t="str">
        <f t="shared" si="126"/>
        <v>×</v>
      </c>
      <c r="G852" s="103" t="s">
        <v>20</v>
      </c>
      <c r="H852" s="105"/>
      <c r="I852" s="105"/>
      <c r="J852" s="103" t="s">
        <v>186</v>
      </c>
      <c r="K852" s="103" t="s">
        <v>16</v>
      </c>
      <c r="L852" s="103" t="s">
        <v>39</v>
      </c>
      <c r="M852" s="108" t="str">
        <f t="shared" ref="M852:R861" si="128">IF(ISERROR(SEARCH(M$1,$L852)),"","○")</f>
        <v/>
      </c>
      <c r="N852" s="108" t="str">
        <f t="shared" si="128"/>
        <v>○</v>
      </c>
      <c r="O852" s="108" t="str">
        <f t="shared" si="128"/>
        <v/>
      </c>
      <c r="P852" s="108" t="str">
        <f t="shared" si="128"/>
        <v/>
      </c>
      <c r="Q852" s="108" t="str">
        <f t="shared" si="128"/>
        <v/>
      </c>
      <c r="R852" s="103" t="str">
        <f t="shared" si="128"/>
        <v/>
      </c>
      <c r="S852" s="103" t="s">
        <v>1169</v>
      </c>
      <c r="T852" s="103" t="s">
        <v>24</v>
      </c>
      <c r="U852" s="103" t="s">
        <v>1170</v>
      </c>
      <c r="V852" s="103" t="s">
        <v>1171</v>
      </c>
    </row>
    <row r="853" spans="1:22" ht="13.5">
      <c r="A853" s="102">
        <v>45626.337113449074</v>
      </c>
      <c r="B853" s="103" t="s">
        <v>105</v>
      </c>
      <c r="C853" s="104" t="str">
        <f t="shared" si="126"/>
        <v>×</v>
      </c>
      <c r="D853" s="104" t="str">
        <f t="shared" si="126"/>
        <v>×</v>
      </c>
      <c r="E853" s="104" t="str">
        <f t="shared" si="126"/>
        <v>○</v>
      </c>
      <c r="F853" s="104" t="str">
        <f t="shared" si="126"/>
        <v>×</v>
      </c>
      <c r="G853" s="103" t="s">
        <v>20</v>
      </c>
      <c r="H853" s="105"/>
      <c r="I853" s="105"/>
      <c r="J853" s="103" t="s">
        <v>58</v>
      </c>
      <c r="K853" s="103" t="s">
        <v>16</v>
      </c>
      <c r="L853" s="103" t="s">
        <v>59</v>
      </c>
      <c r="M853" s="108" t="str">
        <f t="shared" si="128"/>
        <v/>
      </c>
      <c r="N853" s="108" t="str">
        <f t="shared" si="128"/>
        <v/>
      </c>
      <c r="O853" s="108" t="str">
        <f t="shared" si="128"/>
        <v/>
      </c>
      <c r="P853" s="108" t="str">
        <f t="shared" si="128"/>
        <v>○</v>
      </c>
      <c r="Q853" s="108" t="str">
        <f t="shared" si="128"/>
        <v/>
      </c>
      <c r="R853" s="103" t="str">
        <f t="shared" si="128"/>
        <v/>
      </c>
      <c r="S853" s="103" t="s">
        <v>416</v>
      </c>
      <c r="T853" s="103" t="s">
        <v>24</v>
      </c>
      <c r="U853" s="103" t="s">
        <v>417</v>
      </c>
      <c r="V853" s="105"/>
    </row>
    <row r="854" spans="1:22" ht="13.5">
      <c r="A854" s="102">
        <v>45633.507466249997</v>
      </c>
      <c r="B854" s="103" t="s">
        <v>41</v>
      </c>
      <c r="C854" s="104" t="str">
        <f t="shared" si="126"/>
        <v>×</v>
      </c>
      <c r="D854" s="104" t="str">
        <f t="shared" si="126"/>
        <v>○</v>
      </c>
      <c r="E854" s="104" t="str">
        <f t="shared" si="126"/>
        <v>×</v>
      </c>
      <c r="F854" s="104" t="str">
        <f t="shared" si="126"/>
        <v>×</v>
      </c>
      <c r="G854" s="103" t="s">
        <v>20</v>
      </c>
      <c r="H854" s="105"/>
      <c r="I854" s="105"/>
      <c r="J854" s="103" t="s">
        <v>38</v>
      </c>
      <c r="K854" s="103" t="s">
        <v>16</v>
      </c>
      <c r="L854" s="103" t="s">
        <v>59</v>
      </c>
      <c r="M854" s="108" t="str">
        <f t="shared" si="128"/>
        <v/>
      </c>
      <c r="N854" s="108" t="str">
        <f t="shared" si="128"/>
        <v/>
      </c>
      <c r="O854" s="108" t="str">
        <f t="shared" si="128"/>
        <v/>
      </c>
      <c r="P854" s="108" t="str">
        <f t="shared" si="128"/>
        <v>○</v>
      </c>
      <c r="Q854" s="108" t="str">
        <f t="shared" si="128"/>
        <v/>
      </c>
      <c r="R854" s="103" t="str">
        <f t="shared" si="128"/>
        <v/>
      </c>
      <c r="S854" s="103" t="s">
        <v>1872</v>
      </c>
      <c r="T854" s="103" t="s">
        <v>24</v>
      </c>
      <c r="U854" s="103" t="s">
        <v>417</v>
      </c>
      <c r="V854" s="103" t="s">
        <v>417</v>
      </c>
    </row>
    <row r="855" spans="1:22" ht="13.5">
      <c r="A855" s="102">
        <v>45628.834949976852</v>
      </c>
      <c r="B855" s="103" t="s">
        <v>71</v>
      </c>
      <c r="C855" s="104" t="str">
        <f t="shared" si="126"/>
        <v>×</v>
      </c>
      <c r="D855" s="104" t="str">
        <f t="shared" si="126"/>
        <v>○</v>
      </c>
      <c r="E855" s="104" t="str">
        <f t="shared" si="126"/>
        <v>○</v>
      </c>
      <c r="F855" s="104" t="str">
        <f t="shared" si="126"/>
        <v>×</v>
      </c>
      <c r="G855" s="103" t="s">
        <v>20</v>
      </c>
      <c r="H855" s="105"/>
      <c r="I855" s="105"/>
      <c r="J855" s="103" t="s">
        <v>21</v>
      </c>
      <c r="K855" s="103" t="s">
        <v>16</v>
      </c>
      <c r="L855" s="103" t="s">
        <v>272</v>
      </c>
      <c r="M855" s="108" t="str">
        <f t="shared" si="128"/>
        <v/>
      </c>
      <c r="N855" s="108" t="str">
        <f t="shared" si="128"/>
        <v/>
      </c>
      <c r="O855" s="108" t="str">
        <f t="shared" si="128"/>
        <v/>
      </c>
      <c r="P855" s="108" t="str">
        <f t="shared" si="128"/>
        <v/>
      </c>
      <c r="Q855" s="108" t="str">
        <f t="shared" si="128"/>
        <v>○</v>
      </c>
      <c r="R855" s="103" t="str">
        <f t="shared" si="128"/>
        <v/>
      </c>
      <c r="S855" s="103" t="s">
        <v>1125</v>
      </c>
      <c r="T855" s="103" t="s">
        <v>30</v>
      </c>
      <c r="U855" s="103" t="s">
        <v>1126</v>
      </c>
      <c r="V855" s="105"/>
    </row>
    <row r="856" spans="1:22" ht="81">
      <c r="A856" s="106">
        <v>45621.480749062495</v>
      </c>
      <c r="B856" s="104" t="s">
        <v>76</v>
      </c>
      <c r="C856" s="104" t="str">
        <f t="shared" si="126"/>
        <v>×</v>
      </c>
      <c r="D856" s="104" t="str">
        <f t="shared" si="126"/>
        <v>○</v>
      </c>
      <c r="E856" s="104" t="str">
        <f t="shared" si="126"/>
        <v>○</v>
      </c>
      <c r="F856" s="104" t="str">
        <f t="shared" si="126"/>
        <v>×</v>
      </c>
      <c r="G856" s="104" t="s">
        <v>13</v>
      </c>
      <c r="H856" s="104" t="s">
        <v>77</v>
      </c>
      <c r="I856" s="104" t="s">
        <v>78</v>
      </c>
      <c r="J856" s="104"/>
      <c r="K856" s="104" t="s">
        <v>34</v>
      </c>
      <c r="L856" s="104"/>
      <c r="M856" s="109" t="str">
        <f t="shared" si="128"/>
        <v/>
      </c>
      <c r="N856" s="109" t="str">
        <f t="shared" si="128"/>
        <v/>
      </c>
      <c r="O856" s="109" t="str">
        <f t="shared" si="128"/>
        <v/>
      </c>
      <c r="P856" s="109" t="str">
        <f t="shared" si="128"/>
        <v/>
      </c>
      <c r="Q856" s="109" t="str">
        <f t="shared" si="128"/>
        <v/>
      </c>
      <c r="R856" s="104" t="str">
        <f t="shared" si="128"/>
        <v/>
      </c>
      <c r="S856" s="104"/>
      <c r="T856" s="104" t="s">
        <v>24</v>
      </c>
      <c r="U856" s="104" t="s">
        <v>79</v>
      </c>
      <c r="V856" s="104" t="s">
        <v>80</v>
      </c>
    </row>
    <row r="857" spans="1:22" ht="13.5">
      <c r="A857" s="102">
        <v>45626.75347030093</v>
      </c>
      <c r="B857" s="103" t="s">
        <v>461</v>
      </c>
      <c r="C857" s="104" t="str">
        <f t="shared" si="126"/>
        <v>×</v>
      </c>
      <c r="D857" s="104" t="str">
        <f t="shared" si="126"/>
        <v>○</v>
      </c>
      <c r="E857" s="104" t="str">
        <f t="shared" si="126"/>
        <v>○</v>
      </c>
      <c r="F857" s="104" t="str">
        <f t="shared" si="126"/>
        <v>×</v>
      </c>
      <c r="G857" s="103" t="s">
        <v>20</v>
      </c>
      <c r="H857" s="105"/>
      <c r="I857" s="105"/>
      <c r="J857" s="103" t="s">
        <v>21</v>
      </c>
      <c r="K857" s="103" t="s">
        <v>16</v>
      </c>
      <c r="L857" s="103" t="s">
        <v>59</v>
      </c>
      <c r="M857" s="108" t="str">
        <f t="shared" si="128"/>
        <v/>
      </c>
      <c r="N857" s="108" t="str">
        <f t="shared" si="128"/>
        <v/>
      </c>
      <c r="O857" s="108" t="str">
        <f t="shared" si="128"/>
        <v/>
      </c>
      <c r="P857" s="108" t="str">
        <f t="shared" si="128"/>
        <v>○</v>
      </c>
      <c r="Q857" s="108" t="str">
        <f t="shared" si="128"/>
        <v/>
      </c>
      <c r="R857" s="103" t="str">
        <f t="shared" si="128"/>
        <v/>
      </c>
      <c r="S857" s="105"/>
      <c r="T857" s="103" t="s">
        <v>30</v>
      </c>
      <c r="U857" s="103" t="s">
        <v>79</v>
      </c>
      <c r="V857" s="103" t="s">
        <v>596</v>
      </c>
    </row>
    <row r="858" spans="1:22" ht="13.5">
      <c r="A858" s="102">
        <v>45628.311915300925</v>
      </c>
      <c r="B858" s="103" t="s">
        <v>49</v>
      </c>
      <c r="C858" s="104" t="str">
        <f t="shared" si="126"/>
        <v>×</v>
      </c>
      <c r="D858" s="104" t="str">
        <f t="shared" si="126"/>
        <v>○</v>
      </c>
      <c r="E858" s="104" t="str">
        <f t="shared" si="126"/>
        <v>×</v>
      </c>
      <c r="F858" s="104" t="str">
        <f t="shared" si="126"/>
        <v>×</v>
      </c>
      <c r="G858" s="103" t="s">
        <v>13</v>
      </c>
      <c r="H858" s="103" t="s">
        <v>77</v>
      </c>
      <c r="I858" s="103" t="s">
        <v>871</v>
      </c>
      <c r="J858" s="105"/>
      <c r="K858" s="103" t="s">
        <v>34</v>
      </c>
      <c r="L858" s="105"/>
      <c r="M858" s="110" t="str">
        <f t="shared" si="128"/>
        <v/>
      </c>
      <c r="N858" s="110" t="str">
        <f t="shared" si="128"/>
        <v/>
      </c>
      <c r="O858" s="110" t="str">
        <f t="shared" si="128"/>
        <v/>
      </c>
      <c r="P858" s="110" t="str">
        <f t="shared" si="128"/>
        <v/>
      </c>
      <c r="Q858" s="110" t="str">
        <f t="shared" si="128"/>
        <v/>
      </c>
      <c r="R858" s="105" t="str">
        <f t="shared" si="128"/>
        <v/>
      </c>
      <c r="S858" s="105"/>
      <c r="T858" s="103" t="s">
        <v>872</v>
      </c>
      <c r="U858" s="103" t="s">
        <v>79</v>
      </c>
      <c r="V858" s="103" t="s">
        <v>873</v>
      </c>
    </row>
    <row r="859" spans="1:22" ht="13.5">
      <c r="A859" s="102">
        <v>45625.66748556713</v>
      </c>
      <c r="B859" s="103" t="s">
        <v>188</v>
      </c>
      <c r="C859" s="104" t="str">
        <f t="shared" si="126"/>
        <v>×</v>
      </c>
      <c r="D859" s="104" t="str">
        <f t="shared" si="126"/>
        <v>○</v>
      </c>
      <c r="E859" s="104" t="str">
        <f t="shared" si="126"/>
        <v>×</v>
      </c>
      <c r="F859" s="104" t="str">
        <f t="shared" si="126"/>
        <v>×</v>
      </c>
      <c r="G859" s="103" t="s">
        <v>20</v>
      </c>
      <c r="H859" s="105"/>
      <c r="I859" s="105"/>
      <c r="J859" s="103" t="s">
        <v>58</v>
      </c>
      <c r="K859" s="103" t="s">
        <v>16</v>
      </c>
      <c r="L859" s="103" t="s">
        <v>189</v>
      </c>
      <c r="M859" s="108" t="str">
        <f t="shared" si="128"/>
        <v/>
      </c>
      <c r="N859" s="108" t="str">
        <f t="shared" si="128"/>
        <v/>
      </c>
      <c r="O859" s="108" t="str">
        <f t="shared" si="128"/>
        <v/>
      </c>
      <c r="P859" s="108" t="str">
        <f t="shared" si="128"/>
        <v>○</v>
      </c>
      <c r="Q859" s="108" t="str">
        <f t="shared" si="128"/>
        <v>○</v>
      </c>
      <c r="R859" s="103" t="str">
        <f t="shared" si="128"/>
        <v/>
      </c>
      <c r="S859" s="103" t="s">
        <v>190</v>
      </c>
      <c r="T859" s="103" t="s">
        <v>191</v>
      </c>
      <c r="U859" s="103" t="s">
        <v>192</v>
      </c>
      <c r="V859" s="103" t="s">
        <v>193</v>
      </c>
    </row>
    <row r="860" spans="1:22" ht="13.5">
      <c r="A860" s="102">
        <v>45629.301979525466</v>
      </c>
      <c r="B860" s="103" t="s">
        <v>67</v>
      </c>
      <c r="C860" s="104" t="str">
        <f t="shared" si="126"/>
        <v>×</v>
      </c>
      <c r="D860" s="104" t="str">
        <f t="shared" si="126"/>
        <v>○</v>
      </c>
      <c r="E860" s="104" t="str">
        <f t="shared" si="126"/>
        <v>×</v>
      </c>
      <c r="F860" s="104" t="str">
        <f t="shared" si="126"/>
        <v>×</v>
      </c>
      <c r="G860" s="103" t="s">
        <v>20</v>
      </c>
      <c r="H860" s="105"/>
      <c r="I860" s="105"/>
      <c r="J860" s="103" t="s">
        <v>58</v>
      </c>
      <c r="K860" s="103" t="s">
        <v>16</v>
      </c>
      <c r="L860" s="103" t="s">
        <v>68</v>
      </c>
      <c r="M860" s="108" t="str">
        <f t="shared" si="128"/>
        <v/>
      </c>
      <c r="N860" s="108" t="str">
        <f t="shared" si="128"/>
        <v/>
      </c>
      <c r="O860" s="108" t="str">
        <f t="shared" si="128"/>
        <v/>
      </c>
      <c r="P860" s="108" t="str">
        <f t="shared" si="128"/>
        <v/>
      </c>
      <c r="Q860" s="108" t="str">
        <f t="shared" si="128"/>
        <v>○</v>
      </c>
      <c r="R860" s="103" t="str">
        <f t="shared" si="128"/>
        <v/>
      </c>
      <c r="S860" s="103" t="s">
        <v>1336</v>
      </c>
      <c r="T860" s="103" t="s">
        <v>1337</v>
      </c>
      <c r="U860" s="103" t="s">
        <v>1338</v>
      </c>
      <c r="V860" s="105"/>
    </row>
    <row r="861" spans="1:22" ht="13.5">
      <c r="A861" s="102">
        <v>45626.019919803242</v>
      </c>
      <c r="B861" s="103" t="s">
        <v>90</v>
      </c>
      <c r="C861" s="104" t="str">
        <f t="shared" si="126"/>
        <v>×</v>
      </c>
      <c r="D861" s="104" t="str">
        <f t="shared" si="126"/>
        <v>×</v>
      </c>
      <c r="E861" s="104" t="str">
        <f t="shared" si="126"/>
        <v>○</v>
      </c>
      <c r="F861" s="104" t="str">
        <f t="shared" si="126"/>
        <v>×</v>
      </c>
      <c r="G861" s="103" t="s">
        <v>13</v>
      </c>
      <c r="H861" s="103" t="s">
        <v>47</v>
      </c>
      <c r="I861" s="103" t="s">
        <v>396</v>
      </c>
      <c r="J861" s="105"/>
      <c r="K861" s="103" t="s">
        <v>34</v>
      </c>
      <c r="L861" s="105"/>
      <c r="M861" s="110" t="str">
        <f t="shared" si="128"/>
        <v/>
      </c>
      <c r="N861" s="110" t="str">
        <f t="shared" si="128"/>
        <v/>
      </c>
      <c r="O861" s="110" t="str">
        <f t="shared" si="128"/>
        <v/>
      </c>
      <c r="P861" s="110" t="str">
        <f t="shared" si="128"/>
        <v/>
      </c>
      <c r="Q861" s="110" t="str">
        <f t="shared" si="128"/>
        <v/>
      </c>
      <c r="R861" s="105" t="str">
        <f t="shared" si="128"/>
        <v/>
      </c>
      <c r="S861" s="105"/>
      <c r="T861" s="103" t="s">
        <v>30</v>
      </c>
      <c r="U861" s="103" t="s">
        <v>397</v>
      </c>
      <c r="V861" s="103" t="s">
        <v>398</v>
      </c>
    </row>
    <row r="862" spans="1:22" ht="13.5">
      <c r="A862" s="102">
        <v>45628.804938611109</v>
      </c>
      <c r="B862" s="103" t="s">
        <v>1075</v>
      </c>
      <c r="C862" s="104" t="str">
        <f t="shared" ref="C862:F881" si="129">IF(ISERROR(FIND(C$1,$B862)),"×","○")</f>
        <v>×</v>
      </c>
      <c r="D862" s="104" t="str">
        <f t="shared" si="129"/>
        <v>○</v>
      </c>
      <c r="E862" s="104" t="str">
        <f t="shared" si="129"/>
        <v>×</v>
      </c>
      <c r="F862" s="104" t="str">
        <f t="shared" si="129"/>
        <v>×</v>
      </c>
      <c r="G862" s="103" t="s">
        <v>13</v>
      </c>
      <c r="H862" s="103" t="s">
        <v>27</v>
      </c>
      <c r="I862" s="103" t="s">
        <v>1076</v>
      </c>
      <c r="J862" s="105"/>
      <c r="K862" s="103" t="s">
        <v>34</v>
      </c>
      <c r="L862" s="105"/>
      <c r="M862" s="110" t="str">
        <f t="shared" ref="M862:R871" si="130">IF(ISERROR(SEARCH(M$1,$L862)),"","○")</f>
        <v/>
      </c>
      <c r="N862" s="110" t="str">
        <f t="shared" si="130"/>
        <v/>
      </c>
      <c r="O862" s="110" t="str">
        <f t="shared" si="130"/>
        <v/>
      </c>
      <c r="P862" s="110" t="str">
        <f t="shared" si="130"/>
        <v/>
      </c>
      <c r="Q862" s="110" t="str">
        <f t="shared" si="130"/>
        <v/>
      </c>
      <c r="R862" s="105" t="str">
        <f t="shared" si="130"/>
        <v/>
      </c>
      <c r="S862" s="105"/>
      <c r="T862" s="103" t="s">
        <v>30</v>
      </c>
      <c r="U862" s="103" t="s">
        <v>1077</v>
      </c>
      <c r="V862" s="103" t="s">
        <v>1078</v>
      </c>
    </row>
    <row r="863" spans="1:22" ht="13.5">
      <c r="A863" s="102">
        <v>45628.409768530095</v>
      </c>
      <c r="B863" s="103" t="s">
        <v>41</v>
      </c>
      <c r="C863" s="104" t="str">
        <f t="shared" si="129"/>
        <v>×</v>
      </c>
      <c r="D863" s="104" t="str">
        <f t="shared" si="129"/>
        <v>○</v>
      </c>
      <c r="E863" s="104" t="str">
        <f t="shared" si="129"/>
        <v>×</v>
      </c>
      <c r="F863" s="104" t="str">
        <f t="shared" si="129"/>
        <v>×</v>
      </c>
      <c r="G863" s="103" t="s">
        <v>13</v>
      </c>
      <c r="H863" s="103" t="s">
        <v>77</v>
      </c>
      <c r="I863" s="103" t="s">
        <v>896</v>
      </c>
      <c r="J863" s="105"/>
      <c r="K863" s="103" t="s">
        <v>16</v>
      </c>
      <c r="L863" s="103" t="s">
        <v>897</v>
      </c>
      <c r="M863" s="108" t="str">
        <f t="shared" si="130"/>
        <v/>
      </c>
      <c r="N863" s="108" t="str">
        <f t="shared" si="130"/>
        <v/>
      </c>
      <c r="O863" s="108" t="str">
        <f t="shared" si="130"/>
        <v/>
      </c>
      <c r="P863" s="108" t="str">
        <f t="shared" si="130"/>
        <v/>
      </c>
      <c r="Q863" s="108" t="str">
        <f t="shared" si="130"/>
        <v/>
      </c>
      <c r="R863" s="103" t="str">
        <f t="shared" si="130"/>
        <v/>
      </c>
      <c r="S863" s="105"/>
      <c r="T863" s="103" t="s">
        <v>30</v>
      </c>
      <c r="U863" s="103" t="s">
        <v>898</v>
      </c>
      <c r="V863" s="103" t="s">
        <v>899</v>
      </c>
    </row>
    <row r="864" spans="1:22" ht="13.5">
      <c r="A864" s="102">
        <v>45635.868924988426</v>
      </c>
      <c r="B864" s="103" t="s">
        <v>315</v>
      </c>
      <c r="C864" s="104" t="str">
        <f t="shared" si="129"/>
        <v>×</v>
      </c>
      <c r="D864" s="104" t="str">
        <f t="shared" si="129"/>
        <v>○</v>
      </c>
      <c r="E864" s="104" t="str">
        <f t="shared" si="129"/>
        <v>×</v>
      </c>
      <c r="F864" s="104" t="str">
        <f t="shared" si="129"/>
        <v>×</v>
      </c>
      <c r="G864" s="103" t="s">
        <v>20</v>
      </c>
      <c r="H864" s="105"/>
      <c r="I864" s="105"/>
      <c r="J864" s="103" t="s">
        <v>58</v>
      </c>
      <c r="K864" s="103" t="s">
        <v>16</v>
      </c>
      <c r="L864" s="103" t="s">
        <v>355</v>
      </c>
      <c r="M864" s="108" t="str">
        <f t="shared" si="130"/>
        <v/>
      </c>
      <c r="N864" s="108" t="str">
        <f t="shared" si="130"/>
        <v>○</v>
      </c>
      <c r="O864" s="108" t="str">
        <f t="shared" si="130"/>
        <v/>
      </c>
      <c r="P864" s="108" t="str">
        <f t="shared" si="130"/>
        <v>○</v>
      </c>
      <c r="Q864" s="108" t="str">
        <f t="shared" si="130"/>
        <v>○</v>
      </c>
      <c r="R864" s="103" t="str">
        <f t="shared" si="130"/>
        <v/>
      </c>
      <c r="S864" s="103" t="s">
        <v>1993</v>
      </c>
      <c r="T864" s="103" t="s">
        <v>24</v>
      </c>
      <c r="U864" s="103" t="s">
        <v>1994</v>
      </c>
      <c r="V864" s="103" t="s">
        <v>1995</v>
      </c>
    </row>
    <row r="865" spans="1:22" ht="13.5">
      <c r="A865" s="102">
        <v>45629.702874131945</v>
      </c>
      <c r="B865" s="103" t="s">
        <v>199</v>
      </c>
      <c r="C865" s="104" t="str">
        <f t="shared" si="129"/>
        <v>×</v>
      </c>
      <c r="D865" s="104" t="str">
        <f t="shared" si="129"/>
        <v>○</v>
      </c>
      <c r="E865" s="104" t="str">
        <f t="shared" si="129"/>
        <v>×</v>
      </c>
      <c r="F865" s="104" t="str">
        <f t="shared" si="129"/>
        <v>×</v>
      </c>
      <c r="G865" s="103" t="s">
        <v>20</v>
      </c>
      <c r="H865" s="105"/>
      <c r="I865" s="105"/>
      <c r="J865" s="103" t="s">
        <v>58</v>
      </c>
      <c r="K865" s="103" t="s">
        <v>16</v>
      </c>
      <c r="L865" s="103" t="s">
        <v>355</v>
      </c>
      <c r="M865" s="108" t="str">
        <f t="shared" si="130"/>
        <v/>
      </c>
      <c r="N865" s="108" t="str">
        <f t="shared" si="130"/>
        <v>○</v>
      </c>
      <c r="O865" s="108" t="str">
        <f t="shared" si="130"/>
        <v/>
      </c>
      <c r="P865" s="108" t="str">
        <f t="shared" si="130"/>
        <v>○</v>
      </c>
      <c r="Q865" s="108" t="str">
        <f t="shared" si="130"/>
        <v>○</v>
      </c>
      <c r="R865" s="103" t="str">
        <f t="shared" si="130"/>
        <v/>
      </c>
      <c r="S865" s="103" t="s">
        <v>1407</v>
      </c>
      <c r="T865" s="103" t="s">
        <v>1408</v>
      </c>
      <c r="U865" s="103" t="s">
        <v>1409</v>
      </c>
      <c r="V865" s="103" t="s">
        <v>1410</v>
      </c>
    </row>
    <row r="866" spans="1:22" ht="13.5">
      <c r="A866" s="102">
        <v>45630.943864375004</v>
      </c>
      <c r="B866" s="103" t="s">
        <v>41</v>
      </c>
      <c r="C866" s="104" t="str">
        <f t="shared" si="129"/>
        <v>×</v>
      </c>
      <c r="D866" s="104" t="str">
        <f t="shared" si="129"/>
        <v>○</v>
      </c>
      <c r="E866" s="104" t="str">
        <f t="shared" si="129"/>
        <v>×</v>
      </c>
      <c r="F866" s="104" t="str">
        <f t="shared" si="129"/>
        <v>×</v>
      </c>
      <c r="G866" s="103" t="s">
        <v>20</v>
      </c>
      <c r="H866" s="105"/>
      <c r="I866" s="105"/>
      <c r="J866" s="103" t="s">
        <v>38</v>
      </c>
      <c r="K866" s="103" t="s">
        <v>16</v>
      </c>
      <c r="L866" s="103" t="s">
        <v>1713</v>
      </c>
      <c r="M866" s="108" t="str">
        <f t="shared" si="130"/>
        <v/>
      </c>
      <c r="N866" s="108" t="str">
        <f t="shared" si="130"/>
        <v/>
      </c>
      <c r="O866" s="108" t="str">
        <f t="shared" si="130"/>
        <v/>
      </c>
      <c r="P866" s="108" t="str">
        <f t="shared" si="130"/>
        <v/>
      </c>
      <c r="Q866" s="108" t="str">
        <f t="shared" si="130"/>
        <v>○</v>
      </c>
      <c r="R866" s="103" t="str">
        <f t="shared" si="130"/>
        <v/>
      </c>
      <c r="S866" s="103" t="s">
        <v>1714</v>
      </c>
      <c r="T866" s="103" t="s">
        <v>30</v>
      </c>
      <c r="U866" s="103" t="s">
        <v>1715</v>
      </c>
      <c r="V866" s="103" t="s">
        <v>1716</v>
      </c>
    </row>
    <row r="867" spans="1:22" ht="40.5">
      <c r="A867" s="106">
        <v>45621.461810868059</v>
      </c>
      <c r="B867" s="104" t="s">
        <v>41</v>
      </c>
      <c r="C867" s="104" t="str">
        <f t="shared" si="129"/>
        <v>×</v>
      </c>
      <c r="D867" s="104" t="str">
        <f t="shared" si="129"/>
        <v>○</v>
      </c>
      <c r="E867" s="104" t="str">
        <f t="shared" si="129"/>
        <v>×</v>
      </c>
      <c r="F867" s="104" t="str">
        <f t="shared" si="129"/>
        <v>×</v>
      </c>
      <c r="G867" s="104" t="s">
        <v>20</v>
      </c>
      <c r="H867" s="104"/>
      <c r="I867" s="104"/>
      <c r="J867" s="104" t="s">
        <v>21</v>
      </c>
      <c r="K867" s="104" t="s">
        <v>16</v>
      </c>
      <c r="L867" s="104" t="s">
        <v>42</v>
      </c>
      <c r="M867" s="109" t="str">
        <f t="shared" si="130"/>
        <v>○</v>
      </c>
      <c r="N867" s="109" t="str">
        <f t="shared" si="130"/>
        <v/>
      </c>
      <c r="O867" s="109" t="str">
        <f t="shared" si="130"/>
        <v/>
      </c>
      <c r="P867" s="109" t="str">
        <f t="shared" si="130"/>
        <v/>
      </c>
      <c r="Q867" s="109" t="str">
        <f t="shared" si="130"/>
        <v>○</v>
      </c>
      <c r="R867" s="104" t="str">
        <f t="shared" si="130"/>
        <v/>
      </c>
      <c r="S867" s="104" t="s">
        <v>43</v>
      </c>
      <c r="T867" s="104" t="s">
        <v>44</v>
      </c>
      <c r="U867" s="104" t="s">
        <v>45</v>
      </c>
      <c r="V867" s="104"/>
    </row>
    <row r="868" spans="1:22" ht="13.5">
      <c r="A868" s="102">
        <v>45624.893866180559</v>
      </c>
      <c r="B868" s="103" t="s">
        <v>90</v>
      </c>
      <c r="C868" s="104" t="str">
        <f t="shared" si="129"/>
        <v>×</v>
      </c>
      <c r="D868" s="104" t="str">
        <f t="shared" si="129"/>
        <v>×</v>
      </c>
      <c r="E868" s="104" t="str">
        <f t="shared" si="129"/>
        <v>○</v>
      </c>
      <c r="F868" s="104" t="str">
        <f t="shared" si="129"/>
        <v>×</v>
      </c>
      <c r="G868" s="103" t="s">
        <v>20</v>
      </c>
      <c r="H868" s="105"/>
      <c r="I868" s="105"/>
      <c r="J868" s="103" t="s">
        <v>58</v>
      </c>
      <c r="K868" s="103" t="s">
        <v>16</v>
      </c>
      <c r="L868" s="103" t="s">
        <v>59</v>
      </c>
      <c r="M868" s="108" t="str">
        <f t="shared" si="130"/>
        <v/>
      </c>
      <c r="N868" s="108" t="str">
        <f t="shared" si="130"/>
        <v/>
      </c>
      <c r="O868" s="108" t="str">
        <f t="shared" si="130"/>
        <v/>
      </c>
      <c r="P868" s="108" t="str">
        <f t="shared" si="130"/>
        <v>○</v>
      </c>
      <c r="Q868" s="108" t="str">
        <f t="shared" si="130"/>
        <v/>
      </c>
      <c r="R868" s="103" t="str">
        <f t="shared" si="130"/>
        <v/>
      </c>
      <c r="S868" s="103" t="s">
        <v>123</v>
      </c>
      <c r="T868" s="103" t="s">
        <v>24</v>
      </c>
      <c r="U868" s="103" t="s">
        <v>45</v>
      </c>
      <c r="V868" s="103" t="s">
        <v>124</v>
      </c>
    </row>
    <row r="869" spans="1:22" ht="13.5">
      <c r="A869" s="102">
        <v>45625.346581550926</v>
      </c>
      <c r="B869" s="103" t="s">
        <v>105</v>
      </c>
      <c r="C869" s="104" t="str">
        <f t="shared" si="129"/>
        <v>×</v>
      </c>
      <c r="D869" s="104" t="str">
        <f t="shared" si="129"/>
        <v>×</v>
      </c>
      <c r="E869" s="104" t="str">
        <f t="shared" si="129"/>
        <v>○</v>
      </c>
      <c r="F869" s="104" t="str">
        <f t="shared" si="129"/>
        <v>×</v>
      </c>
      <c r="G869" s="103" t="s">
        <v>20</v>
      </c>
      <c r="H869" s="105"/>
      <c r="I869" s="105"/>
      <c r="J869" s="103" t="s">
        <v>58</v>
      </c>
      <c r="K869" s="103" t="s">
        <v>16</v>
      </c>
      <c r="L869" s="103" t="s">
        <v>68</v>
      </c>
      <c r="M869" s="108" t="str">
        <f t="shared" si="130"/>
        <v/>
      </c>
      <c r="N869" s="108" t="str">
        <f t="shared" si="130"/>
        <v/>
      </c>
      <c r="O869" s="108" t="str">
        <f t="shared" si="130"/>
        <v/>
      </c>
      <c r="P869" s="108" t="str">
        <f t="shared" si="130"/>
        <v/>
      </c>
      <c r="Q869" s="108" t="str">
        <f t="shared" si="130"/>
        <v>○</v>
      </c>
      <c r="R869" s="103" t="str">
        <f t="shared" si="130"/>
        <v/>
      </c>
      <c r="S869" s="103" t="s">
        <v>142</v>
      </c>
      <c r="T869" s="103" t="s">
        <v>30</v>
      </c>
      <c r="U869" s="103" t="s">
        <v>45</v>
      </c>
      <c r="V869" s="103" t="s">
        <v>143</v>
      </c>
    </row>
    <row r="870" spans="1:22" ht="13.5">
      <c r="A870" s="102">
        <v>45626.342286793981</v>
      </c>
      <c r="B870" s="103" t="s">
        <v>442</v>
      </c>
      <c r="C870" s="104" t="str">
        <f t="shared" si="129"/>
        <v>×</v>
      </c>
      <c r="D870" s="104" t="str">
        <f t="shared" si="129"/>
        <v>○</v>
      </c>
      <c r="E870" s="104" t="str">
        <f t="shared" si="129"/>
        <v>○</v>
      </c>
      <c r="F870" s="104" t="str">
        <f t="shared" si="129"/>
        <v>×</v>
      </c>
      <c r="G870" s="103" t="s">
        <v>20</v>
      </c>
      <c r="H870" s="105"/>
      <c r="I870" s="105"/>
      <c r="J870" s="103" t="s">
        <v>58</v>
      </c>
      <c r="K870" s="103" t="s">
        <v>16</v>
      </c>
      <c r="L870" s="103" t="s">
        <v>39</v>
      </c>
      <c r="M870" s="108" t="str">
        <f t="shared" si="130"/>
        <v/>
      </c>
      <c r="N870" s="108" t="str">
        <f t="shared" si="130"/>
        <v>○</v>
      </c>
      <c r="O870" s="108" t="str">
        <f t="shared" si="130"/>
        <v/>
      </c>
      <c r="P870" s="108" t="str">
        <f t="shared" si="130"/>
        <v/>
      </c>
      <c r="Q870" s="108" t="str">
        <f t="shared" si="130"/>
        <v/>
      </c>
      <c r="R870" s="103" t="str">
        <f t="shared" si="130"/>
        <v/>
      </c>
      <c r="S870" s="105"/>
      <c r="T870" s="103" t="s">
        <v>24</v>
      </c>
      <c r="U870" s="103" t="s">
        <v>45</v>
      </c>
      <c r="V870" s="103" t="s">
        <v>443</v>
      </c>
    </row>
    <row r="871" spans="1:22" ht="13.5">
      <c r="A871" s="102">
        <v>45626.368559884257</v>
      </c>
      <c r="B871" s="103" t="s">
        <v>90</v>
      </c>
      <c r="C871" s="104" t="str">
        <f t="shared" si="129"/>
        <v>×</v>
      </c>
      <c r="D871" s="104" t="str">
        <f t="shared" si="129"/>
        <v>×</v>
      </c>
      <c r="E871" s="104" t="str">
        <f t="shared" si="129"/>
        <v>○</v>
      </c>
      <c r="F871" s="104" t="str">
        <f t="shared" si="129"/>
        <v>×</v>
      </c>
      <c r="G871" s="103" t="s">
        <v>20</v>
      </c>
      <c r="H871" s="105"/>
      <c r="I871" s="105"/>
      <c r="J871" s="103" t="s">
        <v>58</v>
      </c>
      <c r="K871" s="103" t="s">
        <v>16</v>
      </c>
      <c r="L871" s="103" t="s">
        <v>355</v>
      </c>
      <c r="M871" s="108" t="str">
        <f t="shared" si="130"/>
        <v/>
      </c>
      <c r="N871" s="108" t="str">
        <f t="shared" si="130"/>
        <v>○</v>
      </c>
      <c r="O871" s="108" t="str">
        <f t="shared" si="130"/>
        <v/>
      </c>
      <c r="P871" s="108" t="str">
        <f t="shared" si="130"/>
        <v>○</v>
      </c>
      <c r="Q871" s="108" t="str">
        <f t="shared" si="130"/>
        <v>○</v>
      </c>
      <c r="R871" s="103" t="str">
        <f t="shared" si="130"/>
        <v/>
      </c>
      <c r="S871" s="103" t="s">
        <v>473</v>
      </c>
      <c r="T871" s="103" t="s">
        <v>474</v>
      </c>
      <c r="U871" s="103" t="s">
        <v>45</v>
      </c>
      <c r="V871" s="105"/>
    </row>
    <row r="872" spans="1:22" ht="13.5">
      <c r="A872" s="102">
        <v>45626.509577662036</v>
      </c>
      <c r="B872" s="103" t="s">
        <v>131</v>
      </c>
      <c r="C872" s="104" t="str">
        <f t="shared" si="129"/>
        <v>×</v>
      </c>
      <c r="D872" s="104" t="str">
        <f t="shared" si="129"/>
        <v>○</v>
      </c>
      <c r="E872" s="104" t="str">
        <f t="shared" si="129"/>
        <v>○</v>
      </c>
      <c r="F872" s="104" t="str">
        <f t="shared" si="129"/>
        <v>×</v>
      </c>
      <c r="G872" s="103" t="s">
        <v>20</v>
      </c>
      <c r="H872" s="105"/>
      <c r="I872" s="105"/>
      <c r="J872" s="103" t="s">
        <v>552</v>
      </c>
      <c r="K872" s="103" t="s">
        <v>16</v>
      </c>
      <c r="L872" s="103" t="s">
        <v>59</v>
      </c>
      <c r="M872" s="108" t="str">
        <f t="shared" ref="M872:R881" si="131">IF(ISERROR(SEARCH(M$1,$L872)),"","○")</f>
        <v/>
      </c>
      <c r="N872" s="108" t="str">
        <f t="shared" si="131"/>
        <v/>
      </c>
      <c r="O872" s="108" t="str">
        <f t="shared" si="131"/>
        <v/>
      </c>
      <c r="P872" s="108" t="str">
        <f t="shared" si="131"/>
        <v>○</v>
      </c>
      <c r="Q872" s="108" t="str">
        <f t="shared" si="131"/>
        <v/>
      </c>
      <c r="R872" s="103" t="str">
        <f t="shared" si="131"/>
        <v/>
      </c>
      <c r="S872" s="103" t="s">
        <v>553</v>
      </c>
      <c r="T872" s="103" t="s">
        <v>61</v>
      </c>
      <c r="U872" s="103" t="s">
        <v>45</v>
      </c>
      <c r="V872" s="105"/>
    </row>
    <row r="873" spans="1:22" ht="13.5">
      <c r="A873" s="102">
        <v>45627.900526307872</v>
      </c>
      <c r="B873" s="103" t="s">
        <v>434</v>
      </c>
      <c r="C873" s="104" t="str">
        <f t="shared" si="129"/>
        <v>×</v>
      </c>
      <c r="D873" s="104" t="str">
        <f t="shared" si="129"/>
        <v>○</v>
      </c>
      <c r="E873" s="104" t="str">
        <f t="shared" si="129"/>
        <v>○</v>
      </c>
      <c r="F873" s="104" t="str">
        <f t="shared" si="129"/>
        <v>×</v>
      </c>
      <c r="G873" s="103" t="s">
        <v>20</v>
      </c>
      <c r="H873" s="105"/>
      <c r="I873" s="105"/>
      <c r="J873" s="103" t="s">
        <v>58</v>
      </c>
      <c r="K873" s="103" t="s">
        <v>16</v>
      </c>
      <c r="L873" s="103" t="s">
        <v>794</v>
      </c>
      <c r="M873" s="108" t="str">
        <f t="shared" si="131"/>
        <v>○</v>
      </c>
      <c r="N873" s="108" t="str">
        <f t="shared" si="131"/>
        <v>○</v>
      </c>
      <c r="O873" s="108" t="str">
        <f t="shared" si="131"/>
        <v/>
      </c>
      <c r="P873" s="108" t="str">
        <f t="shared" si="131"/>
        <v/>
      </c>
      <c r="Q873" s="108" t="str">
        <f t="shared" si="131"/>
        <v>○</v>
      </c>
      <c r="R873" s="103" t="str">
        <f t="shared" si="131"/>
        <v/>
      </c>
      <c r="S873" s="103" t="s">
        <v>795</v>
      </c>
      <c r="T873" s="103" t="s">
        <v>30</v>
      </c>
      <c r="U873" s="103" t="s">
        <v>45</v>
      </c>
      <c r="V873" s="103" t="s">
        <v>796</v>
      </c>
    </row>
    <row r="874" spans="1:22" ht="13.5">
      <c r="A874" s="102">
        <v>45628.844739201391</v>
      </c>
      <c r="B874" s="103" t="s">
        <v>49</v>
      </c>
      <c r="C874" s="104" t="str">
        <f t="shared" si="129"/>
        <v>×</v>
      </c>
      <c r="D874" s="104" t="str">
        <f t="shared" si="129"/>
        <v>○</v>
      </c>
      <c r="E874" s="104" t="str">
        <f t="shared" si="129"/>
        <v>×</v>
      </c>
      <c r="F874" s="104" t="str">
        <f t="shared" si="129"/>
        <v>×</v>
      </c>
      <c r="G874" s="103" t="s">
        <v>20</v>
      </c>
      <c r="H874" s="105"/>
      <c r="I874" s="105"/>
      <c r="J874" s="103" t="s">
        <v>38</v>
      </c>
      <c r="K874" s="103" t="s">
        <v>16</v>
      </c>
      <c r="L874" s="103" t="s">
        <v>68</v>
      </c>
      <c r="M874" s="108" t="str">
        <f t="shared" si="131"/>
        <v/>
      </c>
      <c r="N874" s="108" t="str">
        <f t="shared" si="131"/>
        <v/>
      </c>
      <c r="O874" s="108" t="str">
        <f t="shared" si="131"/>
        <v/>
      </c>
      <c r="P874" s="108" t="str">
        <f t="shared" si="131"/>
        <v/>
      </c>
      <c r="Q874" s="108" t="str">
        <f t="shared" si="131"/>
        <v>○</v>
      </c>
      <c r="R874" s="103" t="str">
        <f t="shared" si="131"/>
        <v/>
      </c>
      <c r="S874" s="105"/>
      <c r="T874" s="103" t="s">
        <v>45</v>
      </c>
      <c r="U874" s="103" t="s">
        <v>45</v>
      </c>
      <c r="V874" s="105"/>
    </row>
    <row r="875" spans="1:22" ht="13.5">
      <c r="A875" s="102">
        <v>45628.882546319444</v>
      </c>
      <c r="B875" s="103" t="s">
        <v>41</v>
      </c>
      <c r="C875" s="104" t="str">
        <f t="shared" si="129"/>
        <v>×</v>
      </c>
      <c r="D875" s="104" t="str">
        <f t="shared" si="129"/>
        <v>○</v>
      </c>
      <c r="E875" s="104" t="str">
        <f t="shared" si="129"/>
        <v>×</v>
      </c>
      <c r="F875" s="104" t="str">
        <f t="shared" si="129"/>
        <v>×</v>
      </c>
      <c r="G875" s="103" t="s">
        <v>20</v>
      </c>
      <c r="H875" s="105"/>
      <c r="I875" s="105"/>
      <c r="J875" s="103" t="s">
        <v>21</v>
      </c>
      <c r="K875" s="103" t="s">
        <v>16</v>
      </c>
      <c r="L875" s="103" t="s">
        <v>255</v>
      </c>
      <c r="M875" s="108" t="str">
        <f t="shared" si="131"/>
        <v/>
      </c>
      <c r="N875" s="108" t="str">
        <f t="shared" si="131"/>
        <v>○</v>
      </c>
      <c r="O875" s="108" t="str">
        <f t="shared" si="131"/>
        <v/>
      </c>
      <c r="P875" s="108" t="str">
        <f t="shared" si="131"/>
        <v>○</v>
      </c>
      <c r="Q875" s="108" t="str">
        <f t="shared" si="131"/>
        <v/>
      </c>
      <c r="R875" s="103" t="str">
        <f t="shared" si="131"/>
        <v/>
      </c>
      <c r="S875" s="103" t="s">
        <v>1185</v>
      </c>
      <c r="T875" s="103" t="s">
        <v>30</v>
      </c>
      <c r="U875" s="103" t="s">
        <v>45</v>
      </c>
      <c r="V875" s="105"/>
    </row>
    <row r="876" spans="1:22" ht="13.5">
      <c r="A876" s="102">
        <v>45628.986542650462</v>
      </c>
      <c r="B876" s="103" t="s">
        <v>108</v>
      </c>
      <c r="C876" s="104" t="str">
        <f t="shared" si="129"/>
        <v>×</v>
      </c>
      <c r="D876" s="104" t="str">
        <f t="shared" si="129"/>
        <v>○</v>
      </c>
      <c r="E876" s="104" t="str">
        <f t="shared" si="129"/>
        <v>○</v>
      </c>
      <c r="F876" s="104" t="str">
        <f t="shared" si="129"/>
        <v>×</v>
      </c>
      <c r="G876" s="103" t="s">
        <v>13</v>
      </c>
      <c r="H876" s="103" t="s">
        <v>47</v>
      </c>
      <c r="I876" s="103" t="s">
        <v>1287</v>
      </c>
      <c r="J876" s="105"/>
      <c r="K876" s="103" t="s">
        <v>16</v>
      </c>
      <c r="L876" s="103" t="s">
        <v>1288</v>
      </c>
      <c r="M876" s="108" t="str">
        <f t="shared" si="131"/>
        <v/>
      </c>
      <c r="N876" s="108" t="str">
        <f t="shared" si="131"/>
        <v/>
      </c>
      <c r="O876" s="108" t="str">
        <f t="shared" si="131"/>
        <v/>
      </c>
      <c r="P876" s="108" t="str">
        <f t="shared" si="131"/>
        <v/>
      </c>
      <c r="Q876" s="108" t="str">
        <f t="shared" si="131"/>
        <v>○</v>
      </c>
      <c r="R876" s="103" t="str">
        <f t="shared" si="131"/>
        <v/>
      </c>
      <c r="S876" s="103" t="s">
        <v>1289</v>
      </c>
      <c r="T876" s="103" t="s">
        <v>30</v>
      </c>
      <c r="U876" s="103" t="s">
        <v>45</v>
      </c>
      <c r="V876" s="103" t="s">
        <v>1290</v>
      </c>
    </row>
    <row r="877" spans="1:22" ht="13.5">
      <c r="A877" s="102">
        <v>45629.733192094907</v>
      </c>
      <c r="B877" s="103" t="s">
        <v>49</v>
      </c>
      <c r="C877" s="104" t="str">
        <f t="shared" si="129"/>
        <v>×</v>
      </c>
      <c r="D877" s="104" t="str">
        <f t="shared" si="129"/>
        <v>○</v>
      </c>
      <c r="E877" s="104" t="str">
        <f t="shared" si="129"/>
        <v>×</v>
      </c>
      <c r="F877" s="104" t="str">
        <f t="shared" si="129"/>
        <v>×</v>
      </c>
      <c r="G877" s="103" t="s">
        <v>13</v>
      </c>
      <c r="H877" s="103" t="s">
        <v>32</v>
      </c>
      <c r="I877" s="103" t="s">
        <v>1420</v>
      </c>
      <c r="J877" s="105"/>
      <c r="K877" s="103" t="s">
        <v>16</v>
      </c>
      <c r="L877" s="103" t="s">
        <v>1269</v>
      </c>
      <c r="M877" s="108" t="str">
        <f t="shared" si="131"/>
        <v/>
      </c>
      <c r="N877" s="108" t="str">
        <f t="shared" si="131"/>
        <v/>
      </c>
      <c r="O877" s="108" t="str">
        <f t="shared" si="131"/>
        <v/>
      </c>
      <c r="P877" s="108" t="str">
        <f t="shared" si="131"/>
        <v/>
      </c>
      <c r="Q877" s="108" t="str">
        <f t="shared" si="131"/>
        <v/>
      </c>
      <c r="R877" s="103" t="str">
        <f t="shared" si="131"/>
        <v/>
      </c>
      <c r="S877" s="105"/>
      <c r="T877" s="103" t="s">
        <v>30</v>
      </c>
      <c r="U877" s="103" t="s">
        <v>45</v>
      </c>
      <c r="V877" s="103" t="s">
        <v>1421</v>
      </c>
    </row>
    <row r="878" spans="1:22" ht="13.5">
      <c r="A878" s="102">
        <v>45629.896707048611</v>
      </c>
      <c r="B878" s="103" t="s">
        <v>19</v>
      </c>
      <c r="C878" s="104" t="str">
        <f t="shared" si="129"/>
        <v>×</v>
      </c>
      <c r="D878" s="104" t="str">
        <f t="shared" si="129"/>
        <v>○</v>
      </c>
      <c r="E878" s="104" t="str">
        <f t="shared" si="129"/>
        <v>×</v>
      </c>
      <c r="F878" s="104" t="str">
        <f t="shared" si="129"/>
        <v>×</v>
      </c>
      <c r="G878" s="103" t="s">
        <v>20</v>
      </c>
      <c r="H878" s="105"/>
      <c r="I878" s="105"/>
      <c r="J878" s="103" t="s">
        <v>58</v>
      </c>
      <c r="K878" s="103" t="s">
        <v>16</v>
      </c>
      <c r="L878" s="103" t="s">
        <v>107</v>
      </c>
      <c r="M878" s="108" t="str">
        <f t="shared" si="131"/>
        <v/>
      </c>
      <c r="N878" s="108" t="str">
        <f t="shared" si="131"/>
        <v/>
      </c>
      <c r="O878" s="108" t="str">
        <f t="shared" si="131"/>
        <v>○</v>
      </c>
      <c r="P878" s="108" t="str">
        <f t="shared" si="131"/>
        <v/>
      </c>
      <c r="Q878" s="108" t="str">
        <f t="shared" si="131"/>
        <v/>
      </c>
      <c r="R878" s="103" t="str">
        <f t="shared" si="131"/>
        <v/>
      </c>
      <c r="S878" s="105"/>
      <c r="T878" s="103" t="s">
        <v>30</v>
      </c>
      <c r="U878" s="103" t="s">
        <v>45</v>
      </c>
      <c r="V878" s="103" t="s">
        <v>1525</v>
      </c>
    </row>
    <row r="879" spans="1:22" ht="13.5">
      <c r="A879" s="102">
        <v>45630.762229212967</v>
      </c>
      <c r="B879" s="103" t="s">
        <v>71</v>
      </c>
      <c r="C879" s="104" t="str">
        <f t="shared" si="129"/>
        <v>×</v>
      </c>
      <c r="D879" s="104" t="str">
        <f t="shared" si="129"/>
        <v>○</v>
      </c>
      <c r="E879" s="104" t="str">
        <f t="shared" si="129"/>
        <v>○</v>
      </c>
      <c r="F879" s="104" t="str">
        <f t="shared" si="129"/>
        <v>×</v>
      </c>
      <c r="G879" s="103" t="s">
        <v>20</v>
      </c>
      <c r="H879" s="105"/>
      <c r="I879" s="105"/>
      <c r="J879" s="103" t="s">
        <v>58</v>
      </c>
      <c r="K879" s="103" t="s">
        <v>16</v>
      </c>
      <c r="L879" s="103" t="s">
        <v>1650</v>
      </c>
      <c r="M879" s="108" t="str">
        <f t="shared" si="131"/>
        <v/>
      </c>
      <c r="N879" s="108" t="str">
        <f t="shared" si="131"/>
        <v/>
      </c>
      <c r="O879" s="108" t="str">
        <f t="shared" si="131"/>
        <v/>
      </c>
      <c r="P879" s="108" t="str">
        <f t="shared" si="131"/>
        <v>○</v>
      </c>
      <c r="Q879" s="108" t="str">
        <f t="shared" si="131"/>
        <v>○</v>
      </c>
      <c r="R879" s="103" t="str">
        <f t="shared" si="131"/>
        <v/>
      </c>
      <c r="S879" s="103" t="s">
        <v>1651</v>
      </c>
      <c r="T879" s="103" t="s">
        <v>61</v>
      </c>
      <c r="U879" s="103" t="s">
        <v>45</v>
      </c>
      <c r="V879" s="105"/>
    </row>
    <row r="880" spans="1:22" ht="13.5">
      <c r="A880" s="102">
        <v>45630.901661898148</v>
      </c>
      <c r="B880" s="103" t="s">
        <v>181</v>
      </c>
      <c r="C880" s="104" t="str">
        <f t="shared" si="129"/>
        <v>×</v>
      </c>
      <c r="D880" s="104" t="str">
        <f t="shared" si="129"/>
        <v>○</v>
      </c>
      <c r="E880" s="104" t="str">
        <f t="shared" si="129"/>
        <v>×</v>
      </c>
      <c r="F880" s="104" t="str">
        <f t="shared" si="129"/>
        <v>×</v>
      </c>
      <c r="G880" s="103" t="s">
        <v>20</v>
      </c>
      <c r="H880" s="105"/>
      <c r="I880" s="105"/>
      <c r="J880" s="103" t="s">
        <v>21</v>
      </c>
      <c r="K880" s="103" t="s">
        <v>16</v>
      </c>
      <c r="L880" s="103" t="s">
        <v>1699</v>
      </c>
      <c r="M880" s="108" t="str">
        <f t="shared" si="131"/>
        <v/>
      </c>
      <c r="N880" s="108" t="str">
        <f t="shared" si="131"/>
        <v/>
      </c>
      <c r="O880" s="108" t="str">
        <f t="shared" si="131"/>
        <v/>
      </c>
      <c r="P880" s="108" t="str">
        <f t="shared" si="131"/>
        <v/>
      </c>
      <c r="Q880" s="108" t="str">
        <f t="shared" si="131"/>
        <v/>
      </c>
      <c r="R880" s="103" t="str">
        <f t="shared" si="131"/>
        <v/>
      </c>
      <c r="S880" s="105"/>
      <c r="T880" s="103" t="s">
        <v>61</v>
      </c>
      <c r="U880" s="103" t="s">
        <v>45</v>
      </c>
      <c r="V880" s="105"/>
    </row>
    <row r="881" spans="1:22" ht="13.5">
      <c r="A881" s="102">
        <v>45632.890098229167</v>
      </c>
      <c r="B881" s="103" t="s">
        <v>19</v>
      </c>
      <c r="C881" s="104" t="str">
        <f t="shared" si="129"/>
        <v>×</v>
      </c>
      <c r="D881" s="104" t="str">
        <f t="shared" si="129"/>
        <v>○</v>
      </c>
      <c r="E881" s="104" t="str">
        <f t="shared" si="129"/>
        <v>×</v>
      </c>
      <c r="F881" s="104" t="str">
        <f t="shared" si="129"/>
        <v>×</v>
      </c>
      <c r="G881" s="103" t="s">
        <v>13</v>
      </c>
      <c r="H881" s="103" t="s">
        <v>27</v>
      </c>
      <c r="I881" s="103" t="s">
        <v>1849</v>
      </c>
      <c r="J881" s="105"/>
      <c r="K881" s="103" t="s">
        <v>34</v>
      </c>
      <c r="L881" s="105"/>
      <c r="M881" s="110" t="str">
        <f t="shared" si="131"/>
        <v/>
      </c>
      <c r="N881" s="110" t="str">
        <f t="shared" si="131"/>
        <v/>
      </c>
      <c r="O881" s="110" t="str">
        <f t="shared" si="131"/>
        <v/>
      </c>
      <c r="P881" s="110" t="str">
        <f t="shared" si="131"/>
        <v/>
      </c>
      <c r="Q881" s="110" t="str">
        <f t="shared" si="131"/>
        <v/>
      </c>
      <c r="R881" s="105" t="str">
        <f t="shared" si="131"/>
        <v/>
      </c>
      <c r="S881" s="105"/>
      <c r="T881" s="103" t="s">
        <v>45</v>
      </c>
      <c r="U881" s="103" t="s">
        <v>45</v>
      </c>
      <c r="V881" s="103" t="s">
        <v>1850</v>
      </c>
    </row>
    <row r="882" spans="1:22" ht="13.5">
      <c r="A882" s="102">
        <v>45624.832513090281</v>
      </c>
      <c r="B882" s="103" t="s">
        <v>108</v>
      </c>
      <c r="C882" s="104" t="str">
        <f t="shared" ref="C882:F901" si="132">IF(ISERROR(FIND(C$1,$B882)),"×","○")</f>
        <v>×</v>
      </c>
      <c r="D882" s="104" t="str">
        <f t="shared" si="132"/>
        <v>○</v>
      </c>
      <c r="E882" s="104" t="str">
        <f t="shared" si="132"/>
        <v>○</v>
      </c>
      <c r="F882" s="104" t="str">
        <f t="shared" si="132"/>
        <v>×</v>
      </c>
      <c r="G882" s="103" t="s">
        <v>20</v>
      </c>
      <c r="H882" s="105"/>
      <c r="I882" s="105"/>
      <c r="J882" s="103" t="s">
        <v>58</v>
      </c>
      <c r="K882" s="103" t="s">
        <v>16</v>
      </c>
      <c r="L882" s="103" t="s">
        <v>88</v>
      </c>
      <c r="M882" s="108" t="str">
        <f t="shared" ref="M882:R891" si="133">IF(ISERROR(SEARCH(M$1,$L882)),"","○")</f>
        <v/>
      </c>
      <c r="N882" s="108" t="str">
        <f t="shared" si="133"/>
        <v>○</v>
      </c>
      <c r="O882" s="108" t="str">
        <f t="shared" si="133"/>
        <v/>
      </c>
      <c r="P882" s="108" t="str">
        <f t="shared" si="133"/>
        <v/>
      </c>
      <c r="Q882" s="108" t="str">
        <f t="shared" si="133"/>
        <v>○</v>
      </c>
      <c r="R882" s="103" t="str">
        <f t="shared" si="133"/>
        <v/>
      </c>
      <c r="S882" s="103" t="s">
        <v>109</v>
      </c>
      <c r="T882" s="103" t="s">
        <v>30</v>
      </c>
      <c r="U882" s="103" t="s">
        <v>110</v>
      </c>
      <c r="V882" s="103" t="s">
        <v>111</v>
      </c>
    </row>
    <row r="883" spans="1:22" ht="13.5">
      <c r="A883" s="102">
        <v>45629.757070856482</v>
      </c>
      <c r="B883" s="103" t="s">
        <v>442</v>
      </c>
      <c r="C883" s="104" t="str">
        <f t="shared" si="132"/>
        <v>×</v>
      </c>
      <c r="D883" s="104" t="str">
        <f t="shared" si="132"/>
        <v>○</v>
      </c>
      <c r="E883" s="104" t="str">
        <f t="shared" si="132"/>
        <v>○</v>
      </c>
      <c r="F883" s="104" t="str">
        <f t="shared" si="132"/>
        <v>×</v>
      </c>
      <c r="G883" s="103" t="s">
        <v>20</v>
      </c>
      <c r="H883" s="105"/>
      <c r="I883" s="105"/>
      <c r="J883" s="103" t="s">
        <v>38</v>
      </c>
      <c r="K883" s="103" t="s">
        <v>16</v>
      </c>
      <c r="L883" s="103" t="s">
        <v>320</v>
      </c>
      <c r="M883" s="108" t="str">
        <f t="shared" si="133"/>
        <v>○</v>
      </c>
      <c r="N883" s="108" t="str">
        <f t="shared" si="133"/>
        <v/>
      </c>
      <c r="O883" s="108" t="str">
        <f t="shared" si="133"/>
        <v/>
      </c>
      <c r="P883" s="108" t="str">
        <f t="shared" si="133"/>
        <v>○</v>
      </c>
      <c r="Q883" s="108" t="str">
        <f t="shared" si="133"/>
        <v/>
      </c>
      <c r="R883" s="103" t="str">
        <f t="shared" si="133"/>
        <v/>
      </c>
      <c r="S883" s="103" t="s">
        <v>1381</v>
      </c>
      <c r="T883" s="103" t="s">
        <v>30</v>
      </c>
      <c r="U883" s="103" t="s">
        <v>1436</v>
      </c>
      <c r="V883" s="103" t="s">
        <v>1437</v>
      </c>
    </row>
    <row r="884" spans="1:22" ht="13.5">
      <c r="A884" s="102">
        <v>45629.529487893524</v>
      </c>
      <c r="B884" s="103" t="s">
        <v>442</v>
      </c>
      <c r="C884" s="104" t="str">
        <f t="shared" si="132"/>
        <v>×</v>
      </c>
      <c r="D884" s="104" t="str">
        <f t="shared" si="132"/>
        <v>○</v>
      </c>
      <c r="E884" s="104" t="str">
        <f t="shared" si="132"/>
        <v>○</v>
      </c>
      <c r="F884" s="104" t="str">
        <f t="shared" si="132"/>
        <v>×</v>
      </c>
      <c r="G884" s="103" t="s">
        <v>20</v>
      </c>
      <c r="H884" s="105"/>
      <c r="I884" s="105"/>
      <c r="J884" s="103" t="s">
        <v>38</v>
      </c>
      <c r="K884" s="103" t="s">
        <v>16</v>
      </c>
      <c r="L884" s="103" t="s">
        <v>255</v>
      </c>
      <c r="M884" s="108" t="str">
        <f t="shared" si="133"/>
        <v/>
      </c>
      <c r="N884" s="108" t="str">
        <f t="shared" si="133"/>
        <v>○</v>
      </c>
      <c r="O884" s="108" t="str">
        <f t="shared" si="133"/>
        <v/>
      </c>
      <c r="P884" s="108" t="str">
        <f t="shared" si="133"/>
        <v>○</v>
      </c>
      <c r="Q884" s="108" t="str">
        <f t="shared" si="133"/>
        <v/>
      </c>
      <c r="R884" s="103" t="str">
        <f t="shared" si="133"/>
        <v/>
      </c>
      <c r="S884" s="103" t="s">
        <v>1381</v>
      </c>
      <c r="T884" s="103" t="s">
        <v>30</v>
      </c>
      <c r="U884" s="103" t="s">
        <v>1382</v>
      </c>
      <c r="V884" s="103" t="s">
        <v>1383</v>
      </c>
    </row>
    <row r="885" spans="1:22" ht="13.5">
      <c r="A885" s="102">
        <v>45627.614481018521</v>
      </c>
      <c r="B885" s="103" t="s">
        <v>19</v>
      </c>
      <c r="C885" s="104" t="str">
        <f t="shared" si="132"/>
        <v>×</v>
      </c>
      <c r="D885" s="104" t="str">
        <f t="shared" si="132"/>
        <v>○</v>
      </c>
      <c r="E885" s="104" t="str">
        <f t="shared" si="132"/>
        <v>×</v>
      </c>
      <c r="F885" s="104" t="str">
        <f t="shared" si="132"/>
        <v>×</v>
      </c>
      <c r="G885" s="103" t="s">
        <v>20</v>
      </c>
      <c r="H885" s="105"/>
      <c r="I885" s="105"/>
      <c r="J885" s="103" t="s">
        <v>58</v>
      </c>
      <c r="K885" s="103" t="s">
        <v>16</v>
      </c>
      <c r="L885" s="103" t="s">
        <v>39</v>
      </c>
      <c r="M885" s="108" t="str">
        <f t="shared" si="133"/>
        <v/>
      </c>
      <c r="N885" s="108" t="str">
        <f t="shared" si="133"/>
        <v>○</v>
      </c>
      <c r="O885" s="108" t="str">
        <f t="shared" si="133"/>
        <v/>
      </c>
      <c r="P885" s="108" t="str">
        <f t="shared" si="133"/>
        <v/>
      </c>
      <c r="Q885" s="108" t="str">
        <f t="shared" si="133"/>
        <v/>
      </c>
      <c r="R885" s="103" t="str">
        <f t="shared" si="133"/>
        <v/>
      </c>
      <c r="S885" s="105"/>
      <c r="T885" s="103" t="s">
        <v>30</v>
      </c>
      <c r="U885" s="103" t="s">
        <v>701</v>
      </c>
      <c r="V885" s="103" t="s">
        <v>702</v>
      </c>
    </row>
    <row r="886" spans="1:22" ht="13.5">
      <c r="A886" s="102">
        <v>45630.2628916088</v>
      </c>
      <c r="B886" s="103" t="s">
        <v>315</v>
      </c>
      <c r="C886" s="104" t="str">
        <f t="shared" si="132"/>
        <v>×</v>
      </c>
      <c r="D886" s="104" t="str">
        <f t="shared" si="132"/>
        <v>○</v>
      </c>
      <c r="E886" s="104" t="str">
        <f t="shared" si="132"/>
        <v>×</v>
      </c>
      <c r="F886" s="104" t="str">
        <f t="shared" si="132"/>
        <v>×</v>
      </c>
      <c r="G886" s="103" t="s">
        <v>20</v>
      </c>
      <c r="H886" s="105"/>
      <c r="I886" s="105"/>
      <c r="J886" s="103" t="s">
        <v>21</v>
      </c>
      <c r="K886" s="103" t="s">
        <v>16</v>
      </c>
      <c r="L886" s="103" t="s">
        <v>88</v>
      </c>
      <c r="M886" s="108" t="str">
        <f t="shared" si="133"/>
        <v/>
      </c>
      <c r="N886" s="108" t="str">
        <f t="shared" si="133"/>
        <v>○</v>
      </c>
      <c r="O886" s="108" t="str">
        <f t="shared" si="133"/>
        <v/>
      </c>
      <c r="P886" s="108" t="str">
        <f t="shared" si="133"/>
        <v/>
      </c>
      <c r="Q886" s="108" t="str">
        <f t="shared" si="133"/>
        <v>○</v>
      </c>
      <c r="R886" s="103" t="str">
        <f t="shared" si="133"/>
        <v/>
      </c>
      <c r="S886" s="103" t="s">
        <v>1576</v>
      </c>
      <c r="T886" s="103" t="s">
        <v>35</v>
      </c>
      <c r="U886" s="103" t="s">
        <v>1577</v>
      </c>
      <c r="V886" s="103" t="s">
        <v>1578</v>
      </c>
    </row>
    <row r="887" spans="1:22" ht="13.5">
      <c r="A887" s="102">
        <v>45627.534600937499</v>
      </c>
      <c r="B887" s="103" t="s">
        <v>12</v>
      </c>
      <c r="C887" s="104" t="str">
        <f t="shared" si="132"/>
        <v>○</v>
      </c>
      <c r="D887" s="104" t="str">
        <f t="shared" si="132"/>
        <v>○</v>
      </c>
      <c r="E887" s="104" t="str">
        <f t="shared" si="132"/>
        <v>×</v>
      </c>
      <c r="F887" s="104" t="str">
        <f t="shared" si="132"/>
        <v>×</v>
      </c>
      <c r="G887" s="103" t="s">
        <v>20</v>
      </c>
      <c r="H887" s="105"/>
      <c r="I887" s="105"/>
      <c r="J887" s="103" t="s">
        <v>38</v>
      </c>
      <c r="K887" s="103" t="s">
        <v>16</v>
      </c>
      <c r="L887" s="103" t="s">
        <v>39</v>
      </c>
      <c r="M887" s="108" t="str">
        <f t="shared" si="133"/>
        <v/>
      </c>
      <c r="N887" s="108" t="str">
        <f t="shared" si="133"/>
        <v>○</v>
      </c>
      <c r="O887" s="108" t="str">
        <f t="shared" si="133"/>
        <v/>
      </c>
      <c r="P887" s="108" t="str">
        <f t="shared" si="133"/>
        <v/>
      </c>
      <c r="Q887" s="108" t="str">
        <f t="shared" si="133"/>
        <v/>
      </c>
      <c r="R887" s="103" t="str">
        <f t="shared" si="133"/>
        <v/>
      </c>
      <c r="S887" s="103" t="s">
        <v>693</v>
      </c>
      <c r="T887" s="103" t="s">
        <v>30</v>
      </c>
      <c r="U887" s="103" t="s">
        <v>694</v>
      </c>
      <c r="V887" s="105"/>
    </row>
    <row r="888" spans="1:22" ht="13.5">
      <c r="A888" s="102">
        <v>45626.970659837963</v>
      </c>
      <c r="B888" s="103" t="s">
        <v>105</v>
      </c>
      <c r="C888" s="104" t="str">
        <f t="shared" si="132"/>
        <v>×</v>
      </c>
      <c r="D888" s="104" t="str">
        <f t="shared" si="132"/>
        <v>×</v>
      </c>
      <c r="E888" s="104" t="str">
        <f t="shared" si="132"/>
        <v>○</v>
      </c>
      <c r="F888" s="104" t="str">
        <f t="shared" si="132"/>
        <v>×</v>
      </c>
      <c r="G888" s="103" t="s">
        <v>20</v>
      </c>
      <c r="H888" s="105"/>
      <c r="I888" s="105"/>
      <c r="J888" s="103" t="s">
        <v>58</v>
      </c>
      <c r="K888" s="103" t="s">
        <v>16</v>
      </c>
      <c r="L888" s="103" t="s">
        <v>59</v>
      </c>
      <c r="M888" s="108" t="str">
        <f t="shared" si="133"/>
        <v/>
      </c>
      <c r="N888" s="108" t="str">
        <f t="shared" si="133"/>
        <v/>
      </c>
      <c r="O888" s="108" t="str">
        <f t="shared" si="133"/>
        <v/>
      </c>
      <c r="P888" s="108" t="str">
        <f t="shared" si="133"/>
        <v>○</v>
      </c>
      <c r="Q888" s="108" t="str">
        <f t="shared" si="133"/>
        <v/>
      </c>
      <c r="R888" s="103" t="str">
        <f t="shared" si="133"/>
        <v/>
      </c>
      <c r="S888" s="103" t="s">
        <v>646</v>
      </c>
      <c r="T888" s="103" t="s">
        <v>30</v>
      </c>
      <c r="U888" s="103" t="s">
        <v>647</v>
      </c>
      <c r="V888" s="105"/>
    </row>
    <row r="889" spans="1:22" ht="13.5">
      <c r="A889" s="102">
        <v>45629.745200451391</v>
      </c>
      <c r="B889" s="103" t="s">
        <v>41</v>
      </c>
      <c r="C889" s="104" t="str">
        <f t="shared" si="132"/>
        <v>×</v>
      </c>
      <c r="D889" s="104" t="str">
        <f t="shared" si="132"/>
        <v>○</v>
      </c>
      <c r="E889" s="104" t="str">
        <f t="shared" si="132"/>
        <v>×</v>
      </c>
      <c r="F889" s="104" t="str">
        <f t="shared" si="132"/>
        <v>×</v>
      </c>
      <c r="G889" s="103" t="s">
        <v>13</v>
      </c>
      <c r="H889" s="103" t="s">
        <v>77</v>
      </c>
      <c r="I889" s="103" t="s">
        <v>1432</v>
      </c>
      <c r="J889" s="105"/>
      <c r="K889" s="103" t="s">
        <v>34</v>
      </c>
      <c r="L889" s="105"/>
      <c r="M889" s="110" t="str">
        <f t="shared" si="133"/>
        <v/>
      </c>
      <c r="N889" s="110" t="str">
        <f t="shared" si="133"/>
        <v/>
      </c>
      <c r="O889" s="110" t="str">
        <f t="shared" si="133"/>
        <v/>
      </c>
      <c r="P889" s="110" t="str">
        <f t="shared" si="133"/>
        <v/>
      </c>
      <c r="Q889" s="110" t="str">
        <f t="shared" si="133"/>
        <v/>
      </c>
      <c r="R889" s="105" t="str">
        <f t="shared" si="133"/>
        <v/>
      </c>
      <c r="S889" s="105"/>
      <c r="T889" s="103" t="s">
        <v>61</v>
      </c>
      <c r="U889" s="103" t="s">
        <v>1433</v>
      </c>
      <c r="V889" s="103" t="s">
        <v>1434</v>
      </c>
    </row>
    <row r="890" spans="1:22" ht="13.5">
      <c r="A890" s="102">
        <v>45626.330623263886</v>
      </c>
      <c r="B890" s="103" t="s">
        <v>407</v>
      </c>
      <c r="C890" s="104" t="str">
        <f t="shared" si="132"/>
        <v>×</v>
      </c>
      <c r="D890" s="104" t="str">
        <f t="shared" si="132"/>
        <v>○</v>
      </c>
      <c r="E890" s="104" t="str">
        <f t="shared" si="132"/>
        <v>○</v>
      </c>
      <c r="F890" s="104" t="str">
        <f t="shared" si="132"/>
        <v>×</v>
      </c>
      <c r="G890" s="103" t="s">
        <v>20</v>
      </c>
      <c r="H890" s="105"/>
      <c r="I890" s="105"/>
      <c r="J890" s="103" t="s">
        <v>58</v>
      </c>
      <c r="K890" s="103" t="s">
        <v>16</v>
      </c>
      <c r="L890" s="103" t="s">
        <v>39</v>
      </c>
      <c r="M890" s="108" t="str">
        <f t="shared" si="133"/>
        <v/>
      </c>
      <c r="N890" s="108" t="str">
        <f t="shared" si="133"/>
        <v>○</v>
      </c>
      <c r="O890" s="108" t="str">
        <f t="shared" si="133"/>
        <v/>
      </c>
      <c r="P890" s="108" t="str">
        <f t="shared" si="133"/>
        <v/>
      </c>
      <c r="Q890" s="108" t="str">
        <f t="shared" si="133"/>
        <v/>
      </c>
      <c r="R890" s="103" t="str">
        <f t="shared" si="133"/>
        <v/>
      </c>
      <c r="S890" s="103" t="s">
        <v>408</v>
      </c>
      <c r="T890" s="103" t="s">
        <v>409</v>
      </c>
      <c r="U890" s="103" t="s">
        <v>410</v>
      </c>
      <c r="V890" s="103" t="s">
        <v>411</v>
      </c>
    </row>
    <row r="891" spans="1:22" ht="67.5">
      <c r="A891" s="106">
        <v>45621.459516076386</v>
      </c>
      <c r="B891" s="104" t="s">
        <v>37</v>
      </c>
      <c r="C891" s="104" t="str">
        <f t="shared" si="132"/>
        <v>×</v>
      </c>
      <c r="D891" s="104" t="str">
        <f t="shared" si="132"/>
        <v>○</v>
      </c>
      <c r="E891" s="104" t="str">
        <f t="shared" si="132"/>
        <v>×</v>
      </c>
      <c r="F891" s="104" t="str">
        <f t="shared" si="132"/>
        <v>×</v>
      </c>
      <c r="G891" s="104" t="s">
        <v>20</v>
      </c>
      <c r="H891" s="104"/>
      <c r="I891" s="104"/>
      <c r="J891" s="104" t="s">
        <v>38</v>
      </c>
      <c r="K891" s="104" t="s">
        <v>16</v>
      </c>
      <c r="L891" s="104" t="s">
        <v>2058</v>
      </c>
      <c r="M891" s="108" t="str">
        <f t="shared" si="133"/>
        <v/>
      </c>
      <c r="N891" s="109" t="str">
        <f t="shared" si="133"/>
        <v>○</v>
      </c>
      <c r="O891" s="109" t="str">
        <f t="shared" si="133"/>
        <v/>
      </c>
      <c r="P891" s="109" t="str">
        <f t="shared" si="133"/>
        <v/>
      </c>
      <c r="Q891" s="109" t="str">
        <f t="shared" si="133"/>
        <v/>
      </c>
      <c r="R891" s="104" t="str">
        <f t="shared" si="133"/>
        <v/>
      </c>
      <c r="S891" s="104"/>
      <c r="T891" s="104" t="s">
        <v>30</v>
      </c>
      <c r="U891" s="104" t="s">
        <v>40</v>
      </c>
      <c r="V891" s="104"/>
    </row>
    <row r="892" spans="1:22" ht="13.5">
      <c r="A892" s="102">
        <v>45629.854493657404</v>
      </c>
      <c r="B892" s="103" t="s">
        <v>181</v>
      </c>
      <c r="C892" s="104" t="str">
        <f t="shared" si="132"/>
        <v>×</v>
      </c>
      <c r="D892" s="104" t="str">
        <f t="shared" si="132"/>
        <v>○</v>
      </c>
      <c r="E892" s="104" t="str">
        <f t="shared" si="132"/>
        <v>×</v>
      </c>
      <c r="F892" s="104" t="str">
        <f t="shared" si="132"/>
        <v>×</v>
      </c>
      <c r="G892" s="103" t="s">
        <v>20</v>
      </c>
      <c r="H892" s="105"/>
      <c r="I892" s="105"/>
      <c r="J892" s="103" t="s">
        <v>21</v>
      </c>
      <c r="K892" s="103" t="s">
        <v>16</v>
      </c>
      <c r="L892" s="103" t="s">
        <v>39</v>
      </c>
      <c r="M892" s="108" t="str">
        <f t="shared" ref="M892:R901" si="134">IF(ISERROR(SEARCH(M$1,$L892)),"","○")</f>
        <v/>
      </c>
      <c r="N892" s="108" t="str">
        <f t="shared" si="134"/>
        <v>○</v>
      </c>
      <c r="O892" s="108" t="str">
        <f t="shared" si="134"/>
        <v/>
      </c>
      <c r="P892" s="108" t="str">
        <f t="shared" si="134"/>
        <v/>
      </c>
      <c r="Q892" s="108" t="str">
        <f t="shared" si="134"/>
        <v/>
      </c>
      <c r="R892" s="103" t="str">
        <f t="shared" si="134"/>
        <v/>
      </c>
      <c r="S892" s="105"/>
      <c r="T892" s="103" t="s">
        <v>30</v>
      </c>
      <c r="U892" s="103" t="s">
        <v>1491</v>
      </c>
      <c r="V892" s="103" t="s">
        <v>1492</v>
      </c>
    </row>
    <row r="893" spans="1:22" ht="13.5">
      <c r="A893" s="102">
        <v>45634.573423275462</v>
      </c>
      <c r="B893" s="103" t="s">
        <v>19</v>
      </c>
      <c r="C893" s="104" t="str">
        <f t="shared" si="132"/>
        <v>×</v>
      </c>
      <c r="D893" s="104" t="str">
        <f t="shared" si="132"/>
        <v>○</v>
      </c>
      <c r="E893" s="104" t="str">
        <f t="shared" si="132"/>
        <v>×</v>
      </c>
      <c r="F893" s="104" t="str">
        <f t="shared" si="132"/>
        <v>×</v>
      </c>
      <c r="G893" s="103" t="s">
        <v>20</v>
      </c>
      <c r="H893" s="105"/>
      <c r="I893" s="105"/>
      <c r="J893" s="103" t="s">
        <v>38</v>
      </c>
      <c r="K893" s="103" t="s">
        <v>16</v>
      </c>
      <c r="L893" s="103" t="s">
        <v>39</v>
      </c>
      <c r="M893" s="108" t="str">
        <f t="shared" si="134"/>
        <v/>
      </c>
      <c r="N893" s="108" t="str">
        <f t="shared" si="134"/>
        <v>○</v>
      </c>
      <c r="O893" s="108" t="str">
        <f t="shared" si="134"/>
        <v/>
      </c>
      <c r="P893" s="108" t="str">
        <f t="shared" si="134"/>
        <v/>
      </c>
      <c r="Q893" s="108" t="str">
        <f t="shared" si="134"/>
        <v/>
      </c>
      <c r="R893" s="103" t="str">
        <f t="shared" si="134"/>
        <v/>
      </c>
      <c r="S893" s="105"/>
      <c r="T893" s="103" t="s">
        <v>30</v>
      </c>
      <c r="U893" s="103" t="s">
        <v>1915</v>
      </c>
      <c r="V893" s="103" t="s">
        <v>1916</v>
      </c>
    </row>
    <row r="894" spans="1:22" ht="13.5">
      <c r="A894" s="102">
        <v>45628.647318055555</v>
      </c>
      <c r="B894" s="103" t="s">
        <v>57</v>
      </c>
      <c r="C894" s="104" t="str">
        <f t="shared" si="132"/>
        <v>×</v>
      </c>
      <c r="D894" s="104" t="str">
        <f t="shared" si="132"/>
        <v>○</v>
      </c>
      <c r="E894" s="104" t="str">
        <f t="shared" si="132"/>
        <v>×</v>
      </c>
      <c r="F894" s="104" t="str">
        <f t="shared" si="132"/>
        <v>×</v>
      </c>
      <c r="G894" s="103" t="s">
        <v>13</v>
      </c>
      <c r="H894" s="103" t="s">
        <v>77</v>
      </c>
      <c r="I894" s="103" t="s">
        <v>85</v>
      </c>
      <c r="J894" s="105"/>
      <c r="K894" s="103" t="s">
        <v>16</v>
      </c>
      <c r="L894" s="103" t="s">
        <v>935</v>
      </c>
      <c r="M894" s="108" t="str">
        <f t="shared" si="134"/>
        <v/>
      </c>
      <c r="N894" s="108" t="str">
        <f t="shared" si="134"/>
        <v/>
      </c>
      <c r="O894" s="108" t="str">
        <f t="shared" si="134"/>
        <v/>
      </c>
      <c r="P894" s="108" t="str">
        <f t="shared" si="134"/>
        <v/>
      </c>
      <c r="Q894" s="108" t="str">
        <f t="shared" si="134"/>
        <v/>
      </c>
      <c r="R894" s="103" t="str">
        <f t="shared" si="134"/>
        <v/>
      </c>
      <c r="S894" s="105"/>
      <c r="T894" s="103" t="s">
        <v>24</v>
      </c>
      <c r="U894" s="103" t="s">
        <v>936</v>
      </c>
      <c r="V894" s="103" t="s">
        <v>937</v>
      </c>
    </row>
    <row r="895" spans="1:22" ht="13.5">
      <c r="A895" s="102">
        <v>45630.284563310182</v>
      </c>
      <c r="B895" s="103" t="s">
        <v>759</v>
      </c>
      <c r="C895" s="104" t="str">
        <f t="shared" si="132"/>
        <v>×</v>
      </c>
      <c r="D895" s="104" t="str">
        <f t="shared" si="132"/>
        <v>○</v>
      </c>
      <c r="E895" s="104" t="str">
        <f t="shared" si="132"/>
        <v>○</v>
      </c>
      <c r="F895" s="104" t="str">
        <f t="shared" si="132"/>
        <v>×</v>
      </c>
      <c r="G895" s="103" t="s">
        <v>13</v>
      </c>
      <c r="H895" s="103" t="s">
        <v>27</v>
      </c>
      <c r="I895" s="103" t="s">
        <v>1583</v>
      </c>
      <c r="J895" s="105"/>
      <c r="K895" s="103" t="s">
        <v>34</v>
      </c>
      <c r="L895" s="105"/>
      <c r="M895" s="110" t="str">
        <f t="shared" si="134"/>
        <v/>
      </c>
      <c r="N895" s="110" t="str">
        <f t="shared" si="134"/>
        <v/>
      </c>
      <c r="O895" s="110" t="str">
        <f t="shared" si="134"/>
        <v/>
      </c>
      <c r="P895" s="110" t="str">
        <f t="shared" si="134"/>
        <v/>
      </c>
      <c r="Q895" s="110" t="str">
        <f t="shared" si="134"/>
        <v/>
      </c>
      <c r="R895" s="105" t="str">
        <f t="shared" si="134"/>
        <v/>
      </c>
      <c r="S895" s="105"/>
      <c r="T895" s="103" t="s">
        <v>35</v>
      </c>
      <c r="U895" s="103" t="s">
        <v>1584</v>
      </c>
      <c r="V895" s="105"/>
    </row>
    <row r="896" spans="1:22" ht="13.5">
      <c r="A896" s="102">
        <v>45627.906816273149</v>
      </c>
      <c r="B896" s="103" t="s">
        <v>799</v>
      </c>
      <c r="C896" s="104" t="str">
        <f t="shared" si="132"/>
        <v>○</v>
      </c>
      <c r="D896" s="104" t="str">
        <f t="shared" si="132"/>
        <v>○</v>
      </c>
      <c r="E896" s="104" t="str">
        <f t="shared" si="132"/>
        <v>○</v>
      </c>
      <c r="F896" s="104" t="str">
        <f t="shared" si="132"/>
        <v>○</v>
      </c>
      <c r="G896" s="103" t="s">
        <v>13</v>
      </c>
      <c r="H896" s="103" t="s">
        <v>27</v>
      </c>
      <c r="I896" s="103" t="s">
        <v>800</v>
      </c>
      <c r="J896" s="105"/>
      <c r="K896" s="103" t="s">
        <v>34</v>
      </c>
      <c r="L896" s="105"/>
      <c r="M896" s="110" t="str">
        <f t="shared" si="134"/>
        <v/>
      </c>
      <c r="N896" s="110" t="str">
        <f t="shared" si="134"/>
        <v/>
      </c>
      <c r="O896" s="110" t="str">
        <f t="shared" si="134"/>
        <v/>
      </c>
      <c r="P896" s="110" t="str">
        <f t="shared" si="134"/>
        <v/>
      </c>
      <c r="Q896" s="110" t="str">
        <f t="shared" si="134"/>
        <v/>
      </c>
      <c r="R896" s="105" t="str">
        <f t="shared" si="134"/>
        <v/>
      </c>
      <c r="S896" s="105"/>
      <c r="T896" s="103" t="s">
        <v>30</v>
      </c>
      <c r="U896" s="103" t="s">
        <v>801</v>
      </c>
      <c r="V896" s="103" t="s">
        <v>802</v>
      </c>
    </row>
    <row r="897" spans="1:22" ht="13.5">
      <c r="A897" s="102">
        <v>45628.307663240739</v>
      </c>
      <c r="B897" s="103" t="s">
        <v>19</v>
      </c>
      <c r="C897" s="104" t="str">
        <f t="shared" si="132"/>
        <v>×</v>
      </c>
      <c r="D897" s="104" t="str">
        <f t="shared" si="132"/>
        <v>○</v>
      </c>
      <c r="E897" s="104" t="str">
        <f t="shared" si="132"/>
        <v>×</v>
      </c>
      <c r="F897" s="104" t="str">
        <f t="shared" si="132"/>
        <v>×</v>
      </c>
      <c r="G897" s="103" t="s">
        <v>13</v>
      </c>
      <c r="H897" s="103" t="s">
        <v>77</v>
      </c>
      <c r="I897" s="103" t="s">
        <v>865</v>
      </c>
      <c r="J897" s="105"/>
      <c r="K897" s="103" t="s">
        <v>34</v>
      </c>
      <c r="L897" s="105"/>
      <c r="M897" s="110" t="str">
        <f t="shared" si="134"/>
        <v/>
      </c>
      <c r="N897" s="110" t="str">
        <f t="shared" si="134"/>
        <v/>
      </c>
      <c r="O897" s="110" t="str">
        <f t="shared" si="134"/>
        <v/>
      </c>
      <c r="P897" s="110" t="str">
        <f t="shared" si="134"/>
        <v/>
      </c>
      <c r="Q897" s="110" t="str">
        <f t="shared" si="134"/>
        <v/>
      </c>
      <c r="R897" s="105" t="str">
        <f t="shared" si="134"/>
        <v/>
      </c>
      <c r="S897" s="105"/>
      <c r="T897" s="103" t="s">
        <v>30</v>
      </c>
      <c r="U897" s="103" t="s">
        <v>866</v>
      </c>
      <c r="V897" s="103" t="s">
        <v>867</v>
      </c>
    </row>
    <row r="898" spans="1:22" ht="13.5">
      <c r="A898" s="102">
        <v>45628.747585439814</v>
      </c>
      <c r="B898" s="103" t="s">
        <v>71</v>
      </c>
      <c r="C898" s="104" t="str">
        <f t="shared" si="132"/>
        <v>×</v>
      </c>
      <c r="D898" s="104" t="str">
        <f t="shared" si="132"/>
        <v>○</v>
      </c>
      <c r="E898" s="104" t="str">
        <f t="shared" si="132"/>
        <v>○</v>
      </c>
      <c r="F898" s="104" t="str">
        <f t="shared" si="132"/>
        <v>×</v>
      </c>
      <c r="G898" s="103" t="s">
        <v>20</v>
      </c>
      <c r="H898" s="105"/>
      <c r="I898" s="105"/>
      <c r="J898" s="103" t="s">
        <v>58</v>
      </c>
      <c r="K898" s="103" t="s">
        <v>16</v>
      </c>
      <c r="L898" s="103" t="s">
        <v>107</v>
      </c>
      <c r="M898" s="108" t="str">
        <f t="shared" si="134"/>
        <v/>
      </c>
      <c r="N898" s="108" t="str">
        <f t="shared" si="134"/>
        <v/>
      </c>
      <c r="O898" s="108" t="str">
        <f t="shared" si="134"/>
        <v>○</v>
      </c>
      <c r="P898" s="108" t="str">
        <f t="shared" si="134"/>
        <v/>
      </c>
      <c r="Q898" s="108" t="str">
        <f t="shared" si="134"/>
        <v/>
      </c>
      <c r="R898" s="103" t="str">
        <f t="shared" si="134"/>
        <v/>
      </c>
      <c r="S898" s="105"/>
      <c r="T898" s="103" t="s">
        <v>1010</v>
      </c>
      <c r="U898" s="103" t="s">
        <v>1011</v>
      </c>
      <c r="V898" s="103" t="s">
        <v>1012</v>
      </c>
    </row>
    <row r="899" spans="1:22" ht="13.5">
      <c r="A899" s="102">
        <v>45626.769505706019</v>
      </c>
      <c r="B899" s="103" t="s">
        <v>600</v>
      </c>
      <c r="C899" s="104" t="str">
        <f t="shared" si="132"/>
        <v>×</v>
      </c>
      <c r="D899" s="104" t="str">
        <f t="shared" si="132"/>
        <v>○</v>
      </c>
      <c r="E899" s="104" t="str">
        <f t="shared" si="132"/>
        <v>×</v>
      </c>
      <c r="F899" s="104" t="str">
        <f t="shared" si="132"/>
        <v>×</v>
      </c>
      <c r="G899" s="103" t="s">
        <v>20</v>
      </c>
      <c r="H899" s="105"/>
      <c r="I899" s="105"/>
      <c r="J899" s="103" t="s">
        <v>21</v>
      </c>
      <c r="K899" s="103" t="s">
        <v>16</v>
      </c>
      <c r="L899" s="103" t="s">
        <v>68</v>
      </c>
      <c r="M899" s="108" t="str">
        <f t="shared" si="134"/>
        <v/>
      </c>
      <c r="N899" s="108" t="str">
        <f t="shared" si="134"/>
        <v/>
      </c>
      <c r="O899" s="108" t="str">
        <f t="shared" si="134"/>
        <v/>
      </c>
      <c r="P899" s="108" t="str">
        <f t="shared" si="134"/>
        <v/>
      </c>
      <c r="Q899" s="108" t="str">
        <f t="shared" si="134"/>
        <v>○</v>
      </c>
      <c r="R899" s="103" t="str">
        <f t="shared" si="134"/>
        <v/>
      </c>
      <c r="S899" s="103" t="s">
        <v>601</v>
      </c>
      <c r="T899" s="103" t="s">
        <v>30</v>
      </c>
      <c r="U899" s="103" t="s">
        <v>602</v>
      </c>
      <c r="V899" s="105"/>
    </row>
    <row r="900" spans="1:22" ht="13.5">
      <c r="A900" s="102">
        <v>45629.828233506945</v>
      </c>
      <c r="B900" s="103" t="s">
        <v>19</v>
      </c>
      <c r="C900" s="104" t="str">
        <f t="shared" si="132"/>
        <v>×</v>
      </c>
      <c r="D900" s="104" t="str">
        <f t="shared" si="132"/>
        <v>○</v>
      </c>
      <c r="E900" s="104" t="str">
        <f t="shared" si="132"/>
        <v>×</v>
      </c>
      <c r="F900" s="104" t="str">
        <f t="shared" si="132"/>
        <v>×</v>
      </c>
      <c r="G900" s="103" t="s">
        <v>20</v>
      </c>
      <c r="H900" s="105"/>
      <c r="I900" s="105"/>
      <c r="J900" s="103" t="s">
        <v>58</v>
      </c>
      <c r="K900" s="103" t="s">
        <v>16</v>
      </c>
      <c r="L900" s="103" t="s">
        <v>68</v>
      </c>
      <c r="M900" s="108" t="str">
        <f t="shared" si="134"/>
        <v/>
      </c>
      <c r="N900" s="108" t="str">
        <f t="shared" si="134"/>
        <v/>
      </c>
      <c r="O900" s="108" t="str">
        <f t="shared" si="134"/>
        <v/>
      </c>
      <c r="P900" s="108" t="str">
        <f t="shared" si="134"/>
        <v/>
      </c>
      <c r="Q900" s="108" t="str">
        <f t="shared" si="134"/>
        <v>○</v>
      </c>
      <c r="R900" s="103" t="str">
        <f t="shared" si="134"/>
        <v/>
      </c>
      <c r="S900" s="103" t="s">
        <v>1470</v>
      </c>
      <c r="T900" s="103" t="s">
        <v>30</v>
      </c>
      <c r="U900" s="103" t="s">
        <v>1471</v>
      </c>
      <c r="V900" s="105"/>
    </row>
    <row r="901" spans="1:22" ht="13.5">
      <c r="A901" s="102">
        <v>45630.259423946758</v>
      </c>
      <c r="B901" s="103" t="s">
        <v>314</v>
      </c>
      <c r="C901" s="104" t="str">
        <f t="shared" si="132"/>
        <v>×</v>
      </c>
      <c r="D901" s="104" t="str">
        <f t="shared" si="132"/>
        <v>○</v>
      </c>
      <c r="E901" s="104" t="str">
        <f t="shared" si="132"/>
        <v>×</v>
      </c>
      <c r="F901" s="104" t="str">
        <f t="shared" si="132"/>
        <v>×</v>
      </c>
      <c r="G901" s="103" t="s">
        <v>20</v>
      </c>
      <c r="H901" s="105"/>
      <c r="I901" s="105"/>
      <c r="J901" s="103" t="s">
        <v>21</v>
      </c>
      <c r="K901" s="103" t="s">
        <v>16</v>
      </c>
      <c r="L901" s="103" t="s">
        <v>272</v>
      </c>
      <c r="M901" s="108" t="str">
        <f t="shared" si="134"/>
        <v/>
      </c>
      <c r="N901" s="108" t="str">
        <f t="shared" si="134"/>
        <v/>
      </c>
      <c r="O901" s="108" t="str">
        <f t="shared" si="134"/>
        <v/>
      </c>
      <c r="P901" s="108" t="str">
        <f t="shared" si="134"/>
        <v/>
      </c>
      <c r="Q901" s="108" t="str">
        <f t="shared" si="134"/>
        <v>○</v>
      </c>
      <c r="R901" s="103" t="str">
        <f t="shared" si="134"/>
        <v/>
      </c>
      <c r="S901" s="103" t="s">
        <v>1573</v>
      </c>
      <c r="T901" s="103" t="s">
        <v>30</v>
      </c>
      <c r="U901" s="103" t="s">
        <v>1574</v>
      </c>
      <c r="V901" s="103" t="s">
        <v>1575</v>
      </c>
    </row>
    <row r="902" spans="1:22" ht="13.5">
      <c r="A902" s="102">
        <v>45626.370750601855</v>
      </c>
      <c r="B902" s="103" t="s">
        <v>105</v>
      </c>
      <c r="C902" s="104" t="str">
        <f t="shared" ref="C902:F921" si="135">IF(ISERROR(FIND(C$1,$B902)),"×","○")</f>
        <v>×</v>
      </c>
      <c r="D902" s="104" t="str">
        <f t="shared" si="135"/>
        <v>×</v>
      </c>
      <c r="E902" s="104" t="str">
        <f t="shared" si="135"/>
        <v>○</v>
      </c>
      <c r="F902" s="104" t="str">
        <f t="shared" si="135"/>
        <v>×</v>
      </c>
      <c r="G902" s="103" t="s">
        <v>20</v>
      </c>
      <c r="H902" s="105"/>
      <c r="I902" s="105"/>
      <c r="J902" s="103" t="s">
        <v>21</v>
      </c>
      <c r="K902" s="103" t="s">
        <v>16</v>
      </c>
      <c r="L902" s="103" t="s">
        <v>68</v>
      </c>
      <c r="M902" s="108" t="str">
        <f t="shared" ref="M902:R911" si="136">IF(ISERROR(SEARCH(M$1,$L902)),"","○")</f>
        <v/>
      </c>
      <c r="N902" s="108" t="str">
        <f t="shared" si="136"/>
        <v/>
      </c>
      <c r="O902" s="108" t="str">
        <f t="shared" si="136"/>
        <v/>
      </c>
      <c r="P902" s="108" t="str">
        <f t="shared" si="136"/>
        <v/>
      </c>
      <c r="Q902" s="108" t="str">
        <f t="shared" si="136"/>
        <v>○</v>
      </c>
      <c r="R902" s="103" t="str">
        <f t="shared" si="136"/>
        <v/>
      </c>
      <c r="S902" s="103" t="s">
        <v>477</v>
      </c>
      <c r="T902" s="103" t="s">
        <v>30</v>
      </c>
      <c r="U902" s="103" t="s">
        <v>478</v>
      </c>
      <c r="V902" s="103" t="s">
        <v>479</v>
      </c>
    </row>
    <row r="903" spans="1:22" ht="13.5">
      <c r="A903" s="102">
        <v>45628.91175619213</v>
      </c>
      <c r="B903" s="103" t="s">
        <v>93</v>
      </c>
      <c r="C903" s="104" t="str">
        <f t="shared" si="135"/>
        <v>×</v>
      </c>
      <c r="D903" s="104" t="str">
        <f t="shared" si="135"/>
        <v>×</v>
      </c>
      <c r="E903" s="104" t="str">
        <f t="shared" si="135"/>
        <v>○</v>
      </c>
      <c r="F903" s="104" t="str">
        <f t="shared" si="135"/>
        <v>×</v>
      </c>
      <c r="G903" s="103" t="s">
        <v>20</v>
      </c>
      <c r="H903" s="105"/>
      <c r="I903" s="105"/>
      <c r="J903" s="103" t="s">
        <v>21</v>
      </c>
      <c r="K903" s="103" t="s">
        <v>16</v>
      </c>
      <c r="L903" s="103" t="s">
        <v>68</v>
      </c>
      <c r="M903" s="108" t="str">
        <f t="shared" si="136"/>
        <v/>
      </c>
      <c r="N903" s="108" t="str">
        <f t="shared" si="136"/>
        <v/>
      </c>
      <c r="O903" s="108" t="str">
        <f t="shared" si="136"/>
        <v/>
      </c>
      <c r="P903" s="108" t="str">
        <f t="shared" si="136"/>
        <v/>
      </c>
      <c r="Q903" s="108" t="str">
        <f t="shared" si="136"/>
        <v>○</v>
      </c>
      <c r="R903" s="103" t="str">
        <f t="shared" si="136"/>
        <v/>
      </c>
      <c r="S903" s="103" t="s">
        <v>1243</v>
      </c>
      <c r="T903" s="103" t="s">
        <v>30</v>
      </c>
      <c r="U903" s="103" t="s">
        <v>478</v>
      </c>
      <c r="V903" s="103" t="s">
        <v>1244</v>
      </c>
    </row>
    <row r="904" spans="1:22" ht="13.5">
      <c r="A904" s="102">
        <v>45630.872756736106</v>
      </c>
      <c r="B904" s="103" t="s">
        <v>41</v>
      </c>
      <c r="C904" s="104" t="str">
        <f t="shared" si="135"/>
        <v>×</v>
      </c>
      <c r="D904" s="104" t="str">
        <f t="shared" si="135"/>
        <v>○</v>
      </c>
      <c r="E904" s="104" t="str">
        <f t="shared" si="135"/>
        <v>×</v>
      </c>
      <c r="F904" s="104" t="str">
        <f t="shared" si="135"/>
        <v>×</v>
      </c>
      <c r="G904" s="103" t="s">
        <v>13</v>
      </c>
      <c r="H904" s="103" t="s">
        <v>77</v>
      </c>
      <c r="I904" s="103" t="s">
        <v>1689</v>
      </c>
      <c r="J904" s="105"/>
      <c r="K904" s="103" t="s">
        <v>34</v>
      </c>
      <c r="L904" s="105"/>
      <c r="M904" s="110" t="str">
        <f t="shared" si="136"/>
        <v/>
      </c>
      <c r="N904" s="110" t="str">
        <f t="shared" si="136"/>
        <v/>
      </c>
      <c r="O904" s="110" t="str">
        <f t="shared" si="136"/>
        <v/>
      </c>
      <c r="P904" s="110" t="str">
        <f t="shared" si="136"/>
        <v/>
      </c>
      <c r="Q904" s="110" t="str">
        <f t="shared" si="136"/>
        <v/>
      </c>
      <c r="R904" s="105" t="str">
        <f t="shared" si="136"/>
        <v/>
      </c>
      <c r="S904" s="105"/>
      <c r="T904" s="103" t="s">
        <v>35</v>
      </c>
      <c r="U904" s="103" t="s">
        <v>1690</v>
      </c>
      <c r="V904" s="105"/>
    </row>
    <row r="905" spans="1:22" ht="13.5">
      <c r="A905" s="102">
        <v>45628.835955277777</v>
      </c>
      <c r="B905" s="103" t="s">
        <v>117</v>
      </c>
      <c r="C905" s="104" t="str">
        <f t="shared" si="135"/>
        <v>×</v>
      </c>
      <c r="D905" s="104" t="str">
        <f t="shared" si="135"/>
        <v>×</v>
      </c>
      <c r="E905" s="104" t="str">
        <f t="shared" si="135"/>
        <v>○</v>
      </c>
      <c r="F905" s="104" t="str">
        <f t="shared" si="135"/>
        <v>○</v>
      </c>
      <c r="G905" s="103" t="s">
        <v>20</v>
      </c>
      <c r="H905" s="105"/>
      <c r="I905" s="105"/>
      <c r="J905" s="103" t="s">
        <v>418</v>
      </c>
      <c r="K905" s="103" t="s">
        <v>16</v>
      </c>
      <c r="L905" s="103" t="s">
        <v>88</v>
      </c>
      <c r="M905" s="108" t="str">
        <f t="shared" si="136"/>
        <v/>
      </c>
      <c r="N905" s="108" t="str">
        <f t="shared" si="136"/>
        <v>○</v>
      </c>
      <c r="O905" s="108" t="str">
        <f t="shared" si="136"/>
        <v/>
      </c>
      <c r="P905" s="108" t="str">
        <f t="shared" si="136"/>
        <v/>
      </c>
      <c r="Q905" s="108" t="str">
        <f t="shared" si="136"/>
        <v>○</v>
      </c>
      <c r="R905" s="103" t="str">
        <f t="shared" si="136"/>
        <v/>
      </c>
      <c r="S905" s="103" t="s">
        <v>1129</v>
      </c>
      <c r="T905" s="103" t="s">
        <v>30</v>
      </c>
      <c r="U905" s="103" t="s">
        <v>1130</v>
      </c>
      <c r="V905" s="105"/>
    </row>
    <row r="906" spans="1:22" ht="13.5">
      <c r="A906" s="102">
        <v>45628.341614513891</v>
      </c>
      <c r="B906" s="103" t="s">
        <v>90</v>
      </c>
      <c r="C906" s="104" t="str">
        <f t="shared" si="135"/>
        <v>×</v>
      </c>
      <c r="D906" s="104" t="str">
        <f t="shared" si="135"/>
        <v>×</v>
      </c>
      <c r="E906" s="104" t="str">
        <f t="shared" si="135"/>
        <v>○</v>
      </c>
      <c r="F906" s="104" t="str">
        <f t="shared" si="135"/>
        <v>×</v>
      </c>
      <c r="G906" s="103" t="s">
        <v>20</v>
      </c>
      <c r="H906" s="105"/>
      <c r="I906" s="105"/>
      <c r="J906" s="103" t="s">
        <v>58</v>
      </c>
      <c r="K906" s="103" t="s">
        <v>16</v>
      </c>
      <c r="L906" s="103" t="s">
        <v>68</v>
      </c>
      <c r="M906" s="108" t="str">
        <f t="shared" si="136"/>
        <v/>
      </c>
      <c r="N906" s="108" t="str">
        <f t="shared" si="136"/>
        <v/>
      </c>
      <c r="O906" s="108" t="str">
        <f t="shared" si="136"/>
        <v/>
      </c>
      <c r="P906" s="108" t="str">
        <f t="shared" si="136"/>
        <v/>
      </c>
      <c r="Q906" s="108" t="str">
        <f t="shared" si="136"/>
        <v>○</v>
      </c>
      <c r="R906" s="103" t="str">
        <f t="shared" si="136"/>
        <v/>
      </c>
      <c r="S906" s="103" t="s">
        <v>884</v>
      </c>
      <c r="T906" s="103" t="s">
        <v>30</v>
      </c>
      <c r="U906" s="103" t="s">
        <v>885</v>
      </c>
      <c r="V906" s="105"/>
    </row>
    <row r="907" spans="1:22" ht="13.5">
      <c r="A907" s="102">
        <v>45627.79237844907</v>
      </c>
      <c r="B907" s="103" t="s">
        <v>745</v>
      </c>
      <c r="C907" s="104" t="str">
        <f t="shared" si="135"/>
        <v>×</v>
      </c>
      <c r="D907" s="104" t="str">
        <f t="shared" si="135"/>
        <v>○</v>
      </c>
      <c r="E907" s="104" t="str">
        <f t="shared" si="135"/>
        <v>○</v>
      </c>
      <c r="F907" s="104" t="str">
        <f t="shared" si="135"/>
        <v>×</v>
      </c>
      <c r="G907" s="103" t="s">
        <v>20</v>
      </c>
      <c r="H907" s="105"/>
      <c r="I907" s="105"/>
      <c r="J907" s="103" t="s">
        <v>21</v>
      </c>
      <c r="K907" s="103" t="s">
        <v>16</v>
      </c>
      <c r="L907" s="103" t="s">
        <v>746</v>
      </c>
      <c r="M907" s="108" t="str">
        <f t="shared" si="136"/>
        <v/>
      </c>
      <c r="N907" s="108" t="str">
        <f t="shared" si="136"/>
        <v>○</v>
      </c>
      <c r="O907" s="108" t="str">
        <f t="shared" si="136"/>
        <v/>
      </c>
      <c r="P907" s="108" t="str">
        <f t="shared" si="136"/>
        <v/>
      </c>
      <c r="Q907" s="108" t="str">
        <f t="shared" si="136"/>
        <v/>
      </c>
      <c r="R907" s="103" t="str">
        <f t="shared" si="136"/>
        <v/>
      </c>
      <c r="S907" s="103" t="s">
        <v>747</v>
      </c>
      <c r="T907" s="103" t="s">
        <v>24</v>
      </c>
      <c r="U907" s="103" t="s">
        <v>748</v>
      </c>
      <c r="V907" s="103" t="s">
        <v>749</v>
      </c>
    </row>
    <row r="908" spans="1:22" ht="13.5">
      <c r="A908" s="102">
        <v>45626.764439583334</v>
      </c>
      <c r="B908" s="103" t="s">
        <v>105</v>
      </c>
      <c r="C908" s="104" t="str">
        <f t="shared" si="135"/>
        <v>×</v>
      </c>
      <c r="D908" s="104" t="str">
        <f t="shared" si="135"/>
        <v>×</v>
      </c>
      <c r="E908" s="104" t="str">
        <f t="shared" si="135"/>
        <v>○</v>
      </c>
      <c r="F908" s="104" t="str">
        <f t="shared" si="135"/>
        <v>×</v>
      </c>
      <c r="G908" s="103" t="s">
        <v>13</v>
      </c>
      <c r="H908" s="103" t="s">
        <v>32</v>
      </c>
      <c r="I908" s="103" t="s">
        <v>597</v>
      </c>
      <c r="J908" s="105"/>
      <c r="K908" s="103" t="s">
        <v>34</v>
      </c>
      <c r="L908" s="105"/>
      <c r="M908" s="110" t="str">
        <f t="shared" si="136"/>
        <v/>
      </c>
      <c r="N908" s="110" t="str">
        <f t="shared" si="136"/>
        <v/>
      </c>
      <c r="O908" s="110" t="str">
        <f t="shared" si="136"/>
        <v/>
      </c>
      <c r="P908" s="110" t="str">
        <f t="shared" si="136"/>
        <v/>
      </c>
      <c r="Q908" s="110" t="str">
        <f t="shared" si="136"/>
        <v/>
      </c>
      <c r="R908" s="105" t="str">
        <f t="shared" si="136"/>
        <v/>
      </c>
      <c r="S908" s="105"/>
      <c r="T908" s="103" t="s">
        <v>30</v>
      </c>
      <c r="U908" s="103" t="s">
        <v>598</v>
      </c>
      <c r="V908" s="103" t="s">
        <v>599</v>
      </c>
    </row>
    <row r="909" spans="1:22" ht="13.5">
      <c r="A909" s="102">
        <v>45628.826327604169</v>
      </c>
      <c r="B909" s="103" t="s">
        <v>199</v>
      </c>
      <c r="C909" s="104" t="str">
        <f t="shared" si="135"/>
        <v>×</v>
      </c>
      <c r="D909" s="104" t="str">
        <f t="shared" si="135"/>
        <v>○</v>
      </c>
      <c r="E909" s="104" t="str">
        <f t="shared" si="135"/>
        <v>×</v>
      </c>
      <c r="F909" s="104" t="str">
        <f t="shared" si="135"/>
        <v>×</v>
      </c>
      <c r="G909" s="103" t="s">
        <v>20</v>
      </c>
      <c r="H909" s="105"/>
      <c r="I909" s="105"/>
      <c r="J909" s="103" t="s">
        <v>38</v>
      </c>
      <c r="K909" s="103" t="s">
        <v>16</v>
      </c>
      <c r="L909" s="103" t="s">
        <v>68</v>
      </c>
      <c r="M909" s="108" t="str">
        <f t="shared" si="136"/>
        <v/>
      </c>
      <c r="N909" s="108" t="str">
        <f t="shared" si="136"/>
        <v/>
      </c>
      <c r="O909" s="108" t="str">
        <f t="shared" si="136"/>
        <v/>
      </c>
      <c r="P909" s="108" t="str">
        <f t="shared" si="136"/>
        <v/>
      </c>
      <c r="Q909" s="108" t="str">
        <f t="shared" si="136"/>
        <v>○</v>
      </c>
      <c r="R909" s="103" t="str">
        <f t="shared" si="136"/>
        <v/>
      </c>
      <c r="S909" s="103" t="s">
        <v>1109</v>
      </c>
      <c r="T909" s="103" t="s">
        <v>30</v>
      </c>
      <c r="U909" s="103" t="s">
        <v>1110</v>
      </c>
      <c r="V909" s="103" t="s">
        <v>1111</v>
      </c>
    </row>
    <row r="910" spans="1:22" ht="13.5">
      <c r="A910" s="102">
        <v>45629.889377951389</v>
      </c>
      <c r="B910" s="103" t="s">
        <v>131</v>
      </c>
      <c r="C910" s="104" t="str">
        <f t="shared" si="135"/>
        <v>×</v>
      </c>
      <c r="D910" s="104" t="str">
        <f t="shared" si="135"/>
        <v>○</v>
      </c>
      <c r="E910" s="104" t="str">
        <f t="shared" si="135"/>
        <v>○</v>
      </c>
      <c r="F910" s="104" t="str">
        <f t="shared" si="135"/>
        <v>×</v>
      </c>
      <c r="G910" s="103" t="s">
        <v>20</v>
      </c>
      <c r="H910" s="105"/>
      <c r="I910" s="105"/>
      <c r="J910" s="103" t="s">
        <v>58</v>
      </c>
      <c r="K910" s="103" t="s">
        <v>16</v>
      </c>
      <c r="L910" s="103" t="s">
        <v>88</v>
      </c>
      <c r="M910" s="108" t="str">
        <f t="shared" si="136"/>
        <v/>
      </c>
      <c r="N910" s="108" t="str">
        <f t="shared" si="136"/>
        <v>○</v>
      </c>
      <c r="O910" s="108" t="str">
        <f t="shared" si="136"/>
        <v/>
      </c>
      <c r="P910" s="108" t="str">
        <f t="shared" si="136"/>
        <v/>
      </c>
      <c r="Q910" s="108" t="str">
        <f t="shared" si="136"/>
        <v>○</v>
      </c>
      <c r="R910" s="103" t="str">
        <f t="shared" si="136"/>
        <v/>
      </c>
      <c r="S910" s="103" t="s">
        <v>1515</v>
      </c>
      <c r="T910" s="103" t="s">
        <v>1516</v>
      </c>
      <c r="U910" s="103" t="s">
        <v>1517</v>
      </c>
      <c r="V910" s="105"/>
    </row>
    <row r="911" spans="1:22" ht="13.5">
      <c r="A911" s="102">
        <v>45630.944705289352</v>
      </c>
      <c r="B911" s="103" t="s">
        <v>90</v>
      </c>
      <c r="C911" s="104" t="str">
        <f t="shared" si="135"/>
        <v>×</v>
      </c>
      <c r="D911" s="104" t="str">
        <f t="shared" si="135"/>
        <v>×</v>
      </c>
      <c r="E911" s="104" t="str">
        <f t="shared" si="135"/>
        <v>○</v>
      </c>
      <c r="F911" s="104" t="str">
        <f t="shared" si="135"/>
        <v>×</v>
      </c>
      <c r="G911" s="103" t="s">
        <v>20</v>
      </c>
      <c r="H911" s="105"/>
      <c r="I911" s="105"/>
      <c r="J911" s="103" t="s">
        <v>492</v>
      </c>
      <c r="K911" s="103" t="s">
        <v>16</v>
      </c>
      <c r="L911" s="103" t="s">
        <v>1717</v>
      </c>
      <c r="M911" s="108" t="str">
        <f t="shared" si="136"/>
        <v/>
      </c>
      <c r="N911" s="108" t="str">
        <f t="shared" si="136"/>
        <v/>
      </c>
      <c r="O911" s="108" t="str">
        <f t="shared" si="136"/>
        <v/>
      </c>
      <c r="P911" s="108" t="str">
        <f t="shared" si="136"/>
        <v/>
      </c>
      <c r="Q911" s="108" t="str">
        <f t="shared" si="136"/>
        <v/>
      </c>
      <c r="R911" s="103" t="str">
        <f t="shared" si="136"/>
        <v/>
      </c>
      <c r="S911" s="103" t="s">
        <v>1718</v>
      </c>
      <c r="T911" s="103" t="s">
        <v>24</v>
      </c>
      <c r="U911" s="103" t="s">
        <v>1719</v>
      </c>
      <c r="V911" s="103" t="s">
        <v>1720</v>
      </c>
    </row>
    <row r="912" spans="1:22" ht="13.5">
      <c r="A912" s="102">
        <v>45628.799437939815</v>
      </c>
      <c r="B912" s="103" t="s">
        <v>41</v>
      </c>
      <c r="C912" s="104" t="str">
        <f t="shared" si="135"/>
        <v>×</v>
      </c>
      <c r="D912" s="104" t="str">
        <f t="shared" si="135"/>
        <v>○</v>
      </c>
      <c r="E912" s="104" t="str">
        <f t="shared" si="135"/>
        <v>×</v>
      </c>
      <c r="F912" s="104" t="str">
        <f t="shared" si="135"/>
        <v>×</v>
      </c>
      <c r="G912" s="103" t="s">
        <v>20</v>
      </c>
      <c r="H912" s="105"/>
      <c r="I912" s="105"/>
      <c r="J912" s="103" t="s">
        <v>38</v>
      </c>
      <c r="K912" s="103" t="s">
        <v>16</v>
      </c>
      <c r="L912" s="103" t="s">
        <v>88</v>
      </c>
      <c r="M912" s="108" t="str">
        <f t="shared" ref="M912:R921" si="137">IF(ISERROR(SEARCH(M$1,$L912)),"","○")</f>
        <v/>
      </c>
      <c r="N912" s="108" t="str">
        <f t="shared" si="137"/>
        <v>○</v>
      </c>
      <c r="O912" s="108" t="str">
        <f t="shared" si="137"/>
        <v/>
      </c>
      <c r="P912" s="108" t="str">
        <f t="shared" si="137"/>
        <v/>
      </c>
      <c r="Q912" s="108" t="str">
        <f t="shared" si="137"/>
        <v>○</v>
      </c>
      <c r="R912" s="103" t="str">
        <f t="shared" si="137"/>
        <v/>
      </c>
      <c r="S912" s="105"/>
      <c r="T912" s="103" t="s">
        <v>30</v>
      </c>
      <c r="U912" s="103" t="s">
        <v>1069</v>
      </c>
      <c r="V912" s="105"/>
    </row>
    <row r="913" spans="1:22" ht="13.5">
      <c r="A913" s="102">
        <v>45629.889776863427</v>
      </c>
      <c r="B913" s="103" t="s">
        <v>90</v>
      </c>
      <c r="C913" s="104" t="str">
        <f t="shared" si="135"/>
        <v>×</v>
      </c>
      <c r="D913" s="104" t="str">
        <f t="shared" si="135"/>
        <v>×</v>
      </c>
      <c r="E913" s="104" t="str">
        <f t="shared" si="135"/>
        <v>○</v>
      </c>
      <c r="F913" s="104" t="str">
        <f t="shared" si="135"/>
        <v>×</v>
      </c>
      <c r="G913" s="103" t="s">
        <v>20</v>
      </c>
      <c r="H913" s="105"/>
      <c r="I913" s="105"/>
      <c r="J913" s="103" t="s">
        <v>58</v>
      </c>
      <c r="K913" s="103" t="s">
        <v>16</v>
      </c>
      <c r="L913" s="103" t="s">
        <v>189</v>
      </c>
      <c r="M913" s="108" t="str">
        <f t="shared" si="137"/>
        <v/>
      </c>
      <c r="N913" s="108" t="str">
        <f t="shared" si="137"/>
        <v/>
      </c>
      <c r="O913" s="108" t="str">
        <f t="shared" si="137"/>
        <v/>
      </c>
      <c r="P913" s="108" t="str">
        <f t="shared" si="137"/>
        <v>○</v>
      </c>
      <c r="Q913" s="108" t="str">
        <f t="shared" si="137"/>
        <v>○</v>
      </c>
      <c r="R913" s="103" t="str">
        <f t="shared" si="137"/>
        <v/>
      </c>
      <c r="S913" s="103" t="s">
        <v>1518</v>
      </c>
      <c r="T913" s="103" t="s">
        <v>548</v>
      </c>
      <c r="U913" s="103" t="s">
        <v>548</v>
      </c>
      <c r="V913" s="103" t="s">
        <v>1519</v>
      </c>
    </row>
    <row r="914" spans="1:22" ht="13.5">
      <c r="A914" s="102">
        <v>45625.87813607639</v>
      </c>
      <c r="B914" s="103" t="s">
        <v>49</v>
      </c>
      <c r="C914" s="104" t="str">
        <f t="shared" si="135"/>
        <v>×</v>
      </c>
      <c r="D914" s="104" t="str">
        <f t="shared" si="135"/>
        <v>○</v>
      </c>
      <c r="E914" s="104" t="str">
        <f t="shared" si="135"/>
        <v>×</v>
      </c>
      <c r="F914" s="104" t="str">
        <f t="shared" si="135"/>
        <v>×</v>
      </c>
      <c r="G914" s="103" t="s">
        <v>20</v>
      </c>
      <c r="H914" s="105"/>
      <c r="I914" s="105"/>
      <c r="J914" s="103" t="s">
        <v>38</v>
      </c>
      <c r="K914" s="103" t="s">
        <v>16</v>
      </c>
      <c r="L914" s="103" t="s">
        <v>68</v>
      </c>
      <c r="M914" s="108" t="str">
        <f t="shared" si="137"/>
        <v/>
      </c>
      <c r="N914" s="108" t="str">
        <f t="shared" si="137"/>
        <v/>
      </c>
      <c r="O914" s="108" t="str">
        <f t="shared" si="137"/>
        <v/>
      </c>
      <c r="P914" s="108" t="str">
        <f t="shared" si="137"/>
        <v/>
      </c>
      <c r="Q914" s="108" t="str">
        <f t="shared" si="137"/>
        <v>○</v>
      </c>
      <c r="R914" s="103" t="str">
        <f t="shared" si="137"/>
        <v/>
      </c>
      <c r="S914" s="103" t="s">
        <v>337</v>
      </c>
      <c r="T914" s="103" t="s">
        <v>61</v>
      </c>
      <c r="U914" s="103" t="s">
        <v>338</v>
      </c>
      <c r="V914" s="103" t="s">
        <v>339</v>
      </c>
    </row>
    <row r="915" spans="1:22" ht="13.5">
      <c r="A915" s="102">
        <v>45629.874370069447</v>
      </c>
      <c r="B915" s="103" t="s">
        <v>217</v>
      </c>
      <c r="C915" s="104" t="str">
        <f t="shared" si="135"/>
        <v>○</v>
      </c>
      <c r="D915" s="104" t="str">
        <f t="shared" si="135"/>
        <v>○</v>
      </c>
      <c r="E915" s="104" t="str">
        <f t="shared" si="135"/>
        <v>×</v>
      </c>
      <c r="F915" s="104" t="str">
        <f t="shared" si="135"/>
        <v>×</v>
      </c>
      <c r="G915" s="103" t="s">
        <v>13</v>
      </c>
      <c r="H915" s="103" t="s">
        <v>27</v>
      </c>
      <c r="I915" s="103" t="s">
        <v>1507</v>
      </c>
      <c r="J915" s="105"/>
      <c r="K915" s="103" t="s">
        <v>34</v>
      </c>
      <c r="L915" s="105"/>
      <c r="M915" s="110" t="str">
        <f t="shared" si="137"/>
        <v/>
      </c>
      <c r="N915" s="110" t="str">
        <f t="shared" si="137"/>
        <v/>
      </c>
      <c r="O915" s="110" t="str">
        <f t="shared" si="137"/>
        <v/>
      </c>
      <c r="P915" s="110" t="str">
        <f t="shared" si="137"/>
        <v/>
      </c>
      <c r="Q915" s="110" t="str">
        <f t="shared" si="137"/>
        <v/>
      </c>
      <c r="R915" s="105" t="str">
        <f t="shared" si="137"/>
        <v/>
      </c>
      <c r="S915" s="105"/>
      <c r="T915" s="103" t="s">
        <v>1508</v>
      </c>
      <c r="U915" s="103" t="s">
        <v>1509</v>
      </c>
      <c r="V915" s="103" t="s">
        <v>1510</v>
      </c>
    </row>
    <row r="916" spans="1:22" ht="13.5">
      <c r="A916" s="102">
        <v>45626.371512372687</v>
      </c>
      <c r="B916" s="103" t="s">
        <v>105</v>
      </c>
      <c r="C916" s="104" t="str">
        <f t="shared" si="135"/>
        <v>×</v>
      </c>
      <c r="D916" s="104" t="str">
        <f t="shared" si="135"/>
        <v>×</v>
      </c>
      <c r="E916" s="104" t="str">
        <f t="shared" si="135"/>
        <v>○</v>
      </c>
      <c r="F916" s="104" t="str">
        <f t="shared" si="135"/>
        <v>×</v>
      </c>
      <c r="G916" s="103" t="s">
        <v>13</v>
      </c>
      <c r="H916" s="103" t="s">
        <v>32</v>
      </c>
      <c r="I916" s="103" t="s">
        <v>480</v>
      </c>
      <c r="J916" s="105"/>
      <c r="K916" s="103" t="s">
        <v>16</v>
      </c>
      <c r="L916" s="103" t="s">
        <v>29</v>
      </c>
      <c r="M916" s="108" t="str">
        <f t="shared" si="137"/>
        <v/>
      </c>
      <c r="N916" s="108" t="str">
        <f t="shared" si="137"/>
        <v/>
      </c>
      <c r="O916" s="108" t="str">
        <f t="shared" si="137"/>
        <v/>
      </c>
      <c r="P916" s="108" t="str">
        <f t="shared" si="137"/>
        <v/>
      </c>
      <c r="Q916" s="108" t="str">
        <f t="shared" si="137"/>
        <v/>
      </c>
      <c r="R916" s="103" t="str">
        <f t="shared" si="137"/>
        <v>○</v>
      </c>
      <c r="S916" s="105"/>
      <c r="T916" s="103" t="s">
        <v>24</v>
      </c>
      <c r="U916" s="103" t="s">
        <v>481</v>
      </c>
      <c r="V916" s="103" t="s">
        <v>482</v>
      </c>
    </row>
    <row r="917" spans="1:22" ht="13.5">
      <c r="A917" s="102">
        <v>45627.666134722225</v>
      </c>
      <c r="B917" s="103" t="s">
        <v>140</v>
      </c>
      <c r="C917" s="104" t="str">
        <f t="shared" si="135"/>
        <v>×</v>
      </c>
      <c r="D917" s="104" t="str">
        <f t="shared" si="135"/>
        <v>○</v>
      </c>
      <c r="E917" s="104" t="str">
        <f t="shared" si="135"/>
        <v>○</v>
      </c>
      <c r="F917" s="104" t="str">
        <f t="shared" si="135"/>
        <v>×</v>
      </c>
      <c r="G917" s="103" t="s">
        <v>20</v>
      </c>
      <c r="H917" s="105"/>
      <c r="I917" s="105"/>
      <c r="J917" s="103" t="s">
        <v>38</v>
      </c>
      <c r="K917" s="103" t="s">
        <v>16</v>
      </c>
      <c r="L917" s="103" t="s">
        <v>279</v>
      </c>
      <c r="M917" s="108" t="str">
        <f t="shared" si="137"/>
        <v/>
      </c>
      <c r="N917" s="108" t="str">
        <f t="shared" si="137"/>
        <v>○</v>
      </c>
      <c r="O917" s="108" t="str">
        <f t="shared" si="137"/>
        <v>○</v>
      </c>
      <c r="P917" s="108" t="str">
        <f t="shared" si="137"/>
        <v/>
      </c>
      <c r="Q917" s="108" t="str">
        <f t="shared" si="137"/>
        <v/>
      </c>
      <c r="R917" s="103" t="str">
        <f t="shared" si="137"/>
        <v/>
      </c>
      <c r="S917" s="105"/>
      <c r="T917" s="103" t="s">
        <v>708</v>
      </c>
      <c r="U917" s="103" t="s">
        <v>709</v>
      </c>
      <c r="V917" s="103" t="s">
        <v>710</v>
      </c>
    </row>
    <row r="918" spans="1:22" ht="13.5">
      <c r="A918" s="102">
        <v>45625.648683692125</v>
      </c>
      <c r="B918" s="103" t="s">
        <v>90</v>
      </c>
      <c r="C918" s="104" t="str">
        <f t="shared" si="135"/>
        <v>×</v>
      </c>
      <c r="D918" s="104" t="str">
        <f t="shared" si="135"/>
        <v>×</v>
      </c>
      <c r="E918" s="104" t="str">
        <f t="shared" si="135"/>
        <v>○</v>
      </c>
      <c r="F918" s="104" t="str">
        <f t="shared" si="135"/>
        <v>×</v>
      </c>
      <c r="G918" s="103" t="s">
        <v>20</v>
      </c>
      <c r="H918" s="105"/>
      <c r="I918" s="105"/>
      <c r="J918" s="103" t="s">
        <v>21</v>
      </c>
      <c r="K918" s="103" t="s">
        <v>16</v>
      </c>
      <c r="L918" s="103" t="s">
        <v>169</v>
      </c>
      <c r="M918" s="108" t="str">
        <f t="shared" si="137"/>
        <v/>
      </c>
      <c r="N918" s="108" t="str">
        <f t="shared" si="137"/>
        <v/>
      </c>
      <c r="O918" s="108" t="str">
        <f t="shared" si="137"/>
        <v/>
      </c>
      <c r="P918" s="108" t="str">
        <f t="shared" si="137"/>
        <v/>
      </c>
      <c r="Q918" s="108" t="str">
        <f t="shared" si="137"/>
        <v/>
      </c>
      <c r="R918" s="103" t="str">
        <f t="shared" si="137"/>
        <v/>
      </c>
      <c r="S918" s="105"/>
      <c r="T918" s="103" t="s">
        <v>170</v>
      </c>
      <c r="U918" s="103" t="s">
        <v>171</v>
      </c>
      <c r="V918" s="103" t="s">
        <v>172</v>
      </c>
    </row>
    <row r="919" spans="1:22" ht="13.5">
      <c r="A919" s="102">
        <v>45633.401144918986</v>
      </c>
      <c r="B919" s="103" t="s">
        <v>213</v>
      </c>
      <c r="C919" s="104" t="str">
        <f t="shared" si="135"/>
        <v>×</v>
      </c>
      <c r="D919" s="104" t="str">
        <f t="shared" si="135"/>
        <v>○</v>
      </c>
      <c r="E919" s="104" t="str">
        <f t="shared" si="135"/>
        <v>○</v>
      </c>
      <c r="F919" s="104" t="str">
        <f t="shared" si="135"/>
        <v>×</v>
      </c>
      <c r="G919" s="103" t="s">
        <v>20</v>
      </c>
      <c r="H919" s="105"/>
      <c r="I919" s="105"/>
      <c r="J919" s="103" t="s">
        <v>21</v>
      </c>
      <c r="K919" s="103" t="s">
        <v>16</v>
      </c>
      <c r="L919" s="103" t="s">
        <v>39</v>
      </c>
      <c r="M919" s="108" t="str">
        <f t="shared" si="137"/>
        <v/>
      </c>
      <c r="N919" s="108" t="str">
        <f t="shared" si="137"/>
        <v>○</v>
      </c>
      <c r="O919" s="108" t="str">
        <f t="shared" si="137"/>
        <v/>
      </c>
      <c r="P919" s="108" t="str">
        <f t="shared" si="137"/>
        <v/>
      </c>
      <c r="Q919" s="108" t="str">
        <f t="shared" si="137"/>
        <v/>
      </c>
      <c r="R919" s="103" t="str">
        <f t="shared" si="137"/>
        <v/>
      </c>
      <c r="S919" s="105"/>
      <c r="T919" s="103" t="s">
        <v>30</v>
      </c>
      <c r="U919" s="103" t="s">
        <v>1860</v>
      </c>
      <c r="V919" s="103" t="s">
        <v>1861</v>
      </c>
    </row>
    <row r="920" spans="1:22" ht="13.5">
      <c r="A920" s="102">
        <v>45631.494840023151</v>
      </c>
      <c r="B920" s="103" t="s">
        <v>164</v>
      </c>
      <c r="C920" s="104" t="str">
        <f t="shared" si="135"/>
        <v>×</v>
      </c>
      <c r="D920" s="104" t="str">
        <f t="shared" si="135"/>
        <v>○</v>
      </c>
      <c r="E920" s="104" t="str">
        <f t="shared" si="135"/>
        <v>×</v>
      </c>
      <c r="F920" s="104" t="str">
        <f t="shared" si="135"/>
        <v>×</v>
      </c>
      <c r="G920" s="103" t="s">
        <v>20</v>
      </c>
      <c r="H920" s="105"/>
      <c r="I920" s="105"/>
      <c r="J920" s="103" t="s">
        <v>38</v>
      </c>
      <c r="K920" s="103" t="s">
        <v>16</v>
      </c>
      <c r="L920" s="103" t="s">
        <v>1756</v>
      </c>
      <c r="M920" s="108" t="str">
        <f t="shared" si="137"/>
        <v/>
      </c>
      <c r="N920" s="108" t="str">
        <f t="shared" si="137"/>
        <v/>
      </c>
      <c r="O920" s="108" t="str">
        <f t="shared" si="137"/>
        <v/>
      </c>
      <c r="P920" s="108" t="str">
        <f t="shared" si="137"/>
        <v/>
      </c>
      <c r="Q920" s="108" t="str">
        <f t="shared" si="137"/>
        <v/>
      </c>
      <c r="R920" s="103" t="str">
        <f t="shared" si="137"/>
        <v/>
      </c>
      <c r="S920" s="105"/>
      <c r="T920" s="103" t="s">
        <v>61</v>
      </c>
      <c r="U920" s="103" t="s">
        <v>1757</v>
      </c>
      <c r="V920" s="103" t="s">
        <v>1758</v>
      </c>
    </row>
    <row r="921" spans="1:22" ht="13.5">
      <c r="A921" s="102">
        <v>45630.916439097222</v>
      </c>
      <c r="B921" s="103" t="s">
        <v>108</v>
      </c>
      <c r="C921" s="104" t="str">
        <f t="shared" si="135"/>
        <v>×</v>
      </c>
      <c r="D921" s="104" t="str">
        <f t="shared" si="135"/>
        <v>○</v>
      </c>
      <c r="E921" s="104" t="str">
        <f t="shared" si="135"/>
        <v>○</v>
      </c>
      <c r="F921" s="104" t="str">
        <f t="shared" si="135"/>
        <v>×</v>
      </c>
      <c r="G921" s="103" t="s">
        <v>20</v>
      </c>
      <c r="H921" s="105"/>
      <c r="I921" s="105"/>
      <c r="J921" s="103" t="s">
        <v>38</v>
      </c>
      <c r="K921" s="103" t="s">
        <v>16</v>
      </c>
      <c r="L921" s="103" t="s">
        <v>68</v>
      </c>
      <c r="M921" s="108" t="str">
        <f t="shared" si="137"/>
        <v/>
      </c>
      <c r="N921" s="108" t="str">
        <f t="shared" si="137"/>
        <v/>
      </c>
      <c r="O921" s="108" t="str">
        <f t="shared" si="137"/>
        <v/>
      </c>
      <c r="P921" s="108" t="str">
        <f t="shared" si="137"/>
        <v/>
      </c>
      <c r="Q921" s="108" t="str">
        <f t="shared" si="137"/>
        <v>○</v>
      </c>
      <c r="R921" s="103" t="str">
        <f t="shared" si="137"/>
        <v/>
      </c>
      <c r="S921" s="103" t="s">
        <v>1703</v>
      </c>
      <c r="T921" s="103" t="s">
        <v>30</v>
      </c>
      <c r="U921" s="103" t="s">
        <v>1704</v>
      </c>
      <c r="V921" s="103" t="s">
        <v>1705</v>
      </c>
    </row>
    <row r="922" spans="1:22" ht="13.5">
      <c r="A922" s="102">
        <v>45635.699228831014</v>
      </c>
      <c r="B922" s="103" t="s">
        <v>1981</v>
      </c>
      <c r="C922" s="104" t="str">
        <f t="shared" ref="C922:F941" si="138">IF(ISERROR(FIND(C$1,$B922)),"×","○")</f>
        <v>○</v>
      </c>
      <c r="D922" s="104" t="str">
        <f t="shared" si="138"/>
        <v>○</v>
      </c>
      <c r="E922" s="104" t="str">
        <f t="shared" si="138"/>
        <v>○</v>
      </c>
      <c r="F922" s="104" t="str">
        <f t="shared" si="138"/>
        <v>○</v>
      </c>
      <c r="G922" s="103" t="s">
        <v>20</v>
      </c>
      <c r="H922" s="105"/>
      <c r="I922" s="105"/>
      <c r="J922" s="103" t="s">
        <v>58</v>
      </c>
      <c r="K922" s="103" t="s">
        <v>16</v>
      </c>
      <c r="L922" s="103" t="s">
        <v>1982</v>
      </c>
      <c r="M922" s="108" t="str">
        <f t="shared" ref="M922:R931" si="139">IF(ISERROR(SEARCH(M$1,$L922)),"","○")</f>
        <v/>
      </c>
      <c r="N922" s="108" t="str">
        <f t="shared" si="139"/>
        <v>○</v>
      </c>
      <c r="O922" s="108" t="str">
        <f t="shared" si="139"/>
        <v>○</v>
      </c>
      <c r="P922" s="108" t="str">
        <f t="shared" si="139"/>
        <v>○</v>
      </c>
      <c r="Q922" s="108" t="str">
        <f t="shared" si="139"/>
        <v>○</v>
      </c>
      <c r="R922" s="103" t="str">
        <f t="shared" si="139"/>
        <v/>
      </c>
      <c r="S922" s="103" t="s">
        <v>1983</v>
      </c>
      <c r="T922" s="103" t="s">
        <v>30</v>
      </c>
      <c r="U922" s="103" t="s">
        <v>1984</v>
      </c>
      <c r="V922" s="103" t="s">
        <v>1985</v>
      </c>
    </row>
    <row r="923" spans="1:22" ht="13.5">
      <c r="A923" s="102">
        <v>45626.352456284723</v>
      </c>
      <c r="B923" s="103" t="s">
        <v>455</v>
      </c>
      <c r="C923" s="104" t="str">
        <f t="shared" si="138"/>
        <v>○</v>
      </c>
      <c r="D923" s="104" t="str">
        <f t="shared" si="138"/>
        <v>○</v>
      </c>
      <c r="E923" s="104" t="str">
        <f t="shared" si="138"/>
        <v>×</v>
      </c>
      <c r="F923" s="104" t="str">
        <f t="shared" si="138"/>
        <v>×</v>
      </c>
      <c r="G923" s="103" t="s">
        <v>20</v>
      </c>
      <c r="H923" s="105"/>
      <c r="I923" s="105"/>
      <c r="J923" s="103" t="s">
        <v>186</v>
      </c>
      <c r="K923" s="103" t="s">
        <v>16</v>
      </c>
      <c r="L923" s="103" t="s">
        <v>88</v>
      </c>
      <c r="M923" s="108" t="str">
        <f t="shared" si="139"/>
        <v/>
      </c>
      <c r="N923" s="108" t="str">
        <f t="shared" si="139"/>
        <v>○</v>
      </c>
      <c r="O923" s="108" t="str">
        <f t="shared" si="139"/>
        <v/>
      </c>
      <c r="P923" s="108" t="str">
        <f t="shared" si="139"/>
        <v/>
      </c>
      <c r="Q923" s="108" t="str">
        <f t="shared" si="139"/>
        <v>○</v>
      </c>
      <c r="R923" s="103" t="str">
        <f t="shared" si="139"/>
        <v/>
      </c>
      <c r="S923" s="103" t="s">
        <v>456</v>
      </c>
      <c r="T923" s="103" t="s">
        <v>30</v>
      </c>
      <c r="U923" s="103" t="s">
        <v>457</v>
      </c>
      <c r="V923" s="103" t="s">
        <v>458</v>
      </c>
    </row>
    <row r="924" spans="1:22" ht="13.5">
      <c r="A924" s="102">
        <v>45628.72829929398</v>
      </c>
      <c r="B924" s="103" t="s">
        <v>199</v>
      </c>
      <c r="C924" s="104" t="str">
        <f t="shared" si="138"/>
        <v>×</v>
      </c>
      <c r="D924" s="104" t="str">
        <f t="shared" si="138"/>
        <v>○</v>
      </c>
      <c r="E924" s="104" t="str">
        <f t="shared" si="138"/>
        <v>×</v>
      </c>
      <c r="F924" s="104" t="str">
        <f t="shared" si="138"/>
        <v>×</v>
      </c>
      <c r="G924" s="103" t="s">
        <v>20</v>
      </c>
      <c r="H924" s="105"/>
      <c r="I924" s="105"/>
      <c r="J924" s="103" t="s">
        <v>21</v>
      </c>
      <c r="K924" s="103" t="s">
        <v>16</v>
      </c>
      <c r="L924" s="103" t="s">
        <v>68</v>
      </c>
      <c r="M924" s="108" t="str">
        <f t="shared" si="139"/>
        <v/>
      </c>
      <c r="N924" s="108" t="str">
        <f t="shared" si="139"/>
        <v/>
      </c>
      <c r="O924" s="108" t="str">
        <f t="shared" si="139"/>
        <v/>
      </c>
      <c r="P924" s="108" t="str">
        <f t="shared" si="139"/>
        <v/>
      </c>
      <c r="Q924" s="108" t="str">
        <f t="shared" si="139"/>
        <v>○</v>
      </c>
      <c r="R924" s="103" t="str">
        <f t="shared" si="139"/>
        <v/>
      </c>
      <c r="S924" s="103" t="s">
        <v>983</v>
      </c>
      <c r="T924" s="103" t="s">
        <v>30</v>
      </c>
      <c r="U924" s="103" t="s">
        <v>984</v>
      </c>
      <c r="V924" s="103" t="s">
        <v>985</v>
      </c>
    </row>
    <row r="925" spans="1:22" ht="13.5">
      <c r="A925" s="102">
        <v>45627.36826476852</v>
      </c>
      <c r="B925" s="103" t="s">
        <v>217</v>
      </c>
      <c r="C925" s="104" t="str">
        <f t="shared" si="138"/>
        <v>○</v>
      </c>
      <c r="D925" s="104" t="str">
        <f t="shared" si="138"/>
        <v>○</v>
      </c>
      <c r="E925" s="104" t="str">
        <f t="shared" si="138"/>
        <v>×</v>
      </c>
      <c r="F925" s="104" t="str">
        <f t="shared" si="138"/>
        <v>×</v>
      </c>
      <c r="G925" s="103" t="s">
        <v>13</v>
      </c>
      <c r="H925" s="103" t="s">
        <v>27</v>
      </c>
      <c r="I925" s="103" t="s">
        <v>659</v>
      </c>
      <c r="J925" s="105"/>
      <c r="K925" s="103" t="s">
        <v>34</v>
      </c>
      <c r="L925" s="105"/>
      <c r="M925" s="110" t="str">
        <f t="shared" si="139"/>
        <v/>
      </c>
      <c r="N925" s="110" t="str">
        <f t="shared" si="139"/>
        <v/>
      </c>
      <c r="O925" s="110" t="str">
        <f t="shared" si="139"/>
        <v/>
      </c>
      <c r="P925" s="110" t="str">
        <f t="shared" si="139"/>
        <v/>
      </c>
      <c r="Q925" s="110" t="str">
        <f t="shared" si="139"/>
        <v/>
      </c>
      <c r="R925" s="105" t="str">
        <f t="shared" si="139"/>
        <v/>
      </c>
      <c r="S925" s="105"/>
      <c r="T925" s="103" t="s">
        <v>30</v>
      </c>
      <c r="U925" s="103" t="s">
        <v>660</v>
      </c>
      <c r="V925" s="103" t="s">
        <v>661</v>
      </c>
    </row>
    <row r="926" spans="1:22" ht="13.5">
      <c r="A926" s="102">
        <v>45626.483142835648</v>
      </c>
      <c r="B926" s="103" t="s">
        <v>535</v>
      </c>
      <c r="C926" s="104" t="str">
        <f t="shared" si="138"/>
        <v>×</v>
      </c>
      <c r="D926" s="104" t="str">
        <f t="shared" si="138"/>
        <v>○</v>
      </c>
      <c r="E926" s="104" t="str">
        <f t="shared" si="138"/>
        <v>○</v>
      </c>
      <c r="F926" s="104" t="str">
        <f t="shared" si="138"/>
        <v>○</v>
      </c>
      <c r="G926" s="103" t="s">
        <v>13</v>
      </c>
      <c r="H926" s="103" t="s">
        <v>32</v>
      </c>
      <c r="I926" s="103" t="s">
        <v>536</v>
      </c>
      <c r="J926" s="105"/>
      <c r="K926" s="103" t="s">
        <v>34</v>
      </c>
      <c r="L926" s="105"/>
      <c r="M926" s="110" t="str">
        <f t="shared" si="139"/>
        <v/>
      </c>
      <c r="N926" s="110" t="str">
        <f t="shared" si="139"/>
        <v/>
      </c>
      <c r="O926" s="110" t="str">
        <f t="shared" si="139"/>
        <v/>
      </c>
      <c r="P926" s="110" t="str">
        <f t="shared" si="139"/>
        <v/>
      </c>
      <c r="Q926" s="110" t="str">
        <f t="shared" si="139"/>
        <v/>
      </c>
      <c r="R926" s="105" t="str">
        <f t="shared" si="139"/>
        <v/>
      </c>
      <c r="S926" s="105"/>
      <c r="T926" s="103" t="s">
        <v>30</v>
      </c>
      <c r="U926" s="103" t="s">
        <v>537</v>
      </c>
      <c r="V926" s="103" t="s">
        <v>538</v>
      </c>
    </row>
    <row r="927" spans="1:22" ht="13.5">
      <c r="A927" s="102">
        <v>45636.299286724534</v>
      </c>
      <c r="B927" s="103" t="s">
        <v>41</v>
      </c>
      <c r="C927" s="104" t="str">
        <f t="shared" si="138"/>
        <v>×</v>
      </c>
      <c r="D927" s="104" t="str">
        <f t="shared" si="138"/>
        <v>○</v>
      </c>
      <c r="E927" s="104" t="str">
        <f t="shared" si="138"/>
        <v>×</v>
      </c>
      <c r="F927" s="104" t="str">
        <f t="shared" si="138"/>
        <v>×</v>
      </c>
      <c r="G927" s="103" t="s">
        <v>20</v>
      </c>
      <c r="H927" s="105"/>
      <c r="I927" s="105"/>
      <c r="J927" s="103" t="s">
        <v>21</v>
      </c>
      <c r="K927" s="103" t="s">
        <v>16</v>
      </c>
      <c r="L927" s="103" t="s">
        <v>68</v>
      </c>
      <c r="M927" s="108" t="str">
        <f t="shared" si="139"/>
        <v/>
      </c>
      <c r="N927" s="108" t="str">
        <f t="shared" si="139"/>
        <v/>
      </c>
      <c r="O927" s="108" t="str">
        <f t="shared" si="139"/>
        <v/>
      </c>
      <c r="P927" s="108" t="str">
        <f t="shared" si="139"/>
        <v/>
      </c>
      <c r="Q927" s="108" t="str">
        <f t="shared" si="139"/>
        <v>○</v>
      </c>
      <c r="R927" s="103" t="str">
        <f t="shared" si="139"/>
        <v/>
      </c>
      <c r="S927" s="103" t="s">
        <v>2007</v>
      </c>
      <c r="T927" s="103" t="s">
        <v>30</v>
      </c>
      <c r="U927" s="103" t="s">
        <v>2008</v>
      </c>
      <c r="V927" s="103" t="s">
        <v>2009</v>
      </c>
    </row>
    <row r="928" spans="1:22" ht="13.5">
      <c r="A928" s="102">
        <v>45629.269966412037</v>
      </c>
      <c r="B928" s="103" t="s">
        <v>49</v>
      </c>
      <c r="C928" s="104" t="str">
        <f t="shared" si="138"/>
        <v>×</v>
      </c>
      <c r="D928" s="104" t="str">
        <f t="shared" si="138"/>
        <v>○</v>
      </c>
      <c r="E928" s="104" t="str">
        <f t="shared" si="138"/>
        <v>×</v>
      </c>
      <c r="F928" s="104" t="str">
        <f t="shared" si="138"/>
        <v>×</v>
      </c>
      <c r="G928" s="103" t="s">
        <v>20</v>
      </c>
      <c r="H928" s="105"/>
      <c r="I928" s="105"/>
      <c r="J928" s="103" t="s">
        <v>58</v>
      </c>
      <c r="K928" s="103" t="s">
        <v>16</v>
      </c>
      <c r="L928" s="103" t="s">
        <v>68</v>
      </c>
      <c r="M928" s="108" t="str">
        <f t="shared" si="139"/>
        <v/>
      </c>
      <c r="N928" s="108" t="str">
        <f t="shared" si="139"/>
        <v/>
      </c>
      <c r="O928" s="108" t="str">
        <f t="shared" si="139"/>
        <v/>
      </c>
      <c r="P928" s="108" t="str">
        <f t="shared" si="139"/>
        <v/>
      </c>
      <c r="Q928" s="108" t="str">
        <f t="shared" si="139"/>
        <v>○</v>
      </c>
      <c r="R928" s="103" t="str">
        <f t="shared" si="139"/>
        <v/>
      </c>
      <c r="S928" s="103" t="s">
        <v>1313</v>
      </c>
      <c r="T928" s="103" t="s">
        <v>30</v>
      </c>
      <c r="U928" s="103" t="s">
        <v>1314</v>
      </c>
      <c r="V928" s="103" t="s">
        <v>1315</v>
      </c>
    </row>
    <row r="929" spans="1:22" ht="13.5">
      <c r="A929" s="102">
        <v>45628.932348634262</v>
      </c>
      <c r="B929" s="103" t="s">
        <v>41</v>
      </c>
      <c r="C929" s="104" t="str">
        <f t="shared" si="138"/>
        <v>×</v>
      </c>
      <c r="D929" s="104" t="str">
        <f t="shared" si="138"/>
        <v>○</v>
      </c>
      <c r="E929" s="104" t="str">
        <f t="shared" si="138"/>
        <v>×</v>
      </c>
      <c r="F929" s="104" t="str">
        <f t="shared" si="138"/>
        <v>×</v>
      </c>
      <c r="G929" s="103" t="s">
        <v>20</v>
      </c>
      <c r="H929" s="105"/>
      <c r="I929" s="105"/>
      <c r="J929" s="103" t="s">
        <v>38</v>
      </c>
      <c r="K929" s="103" t="s">
        <v>16</v>
      </c>
      <c r="L929" s="103" t="s">
        <v>1260</v>
      </c>
      <c r="M929" s="108" t="str">
        <f t="shared" si="139"/>
        <v/>
      </c>
      <c r="N929" s="108" t="str">
        <f t="shared" si="139"/>
        <v>○</v>
      </c>
      <c r="O929" s="108" t="str">
        <f t="shared" si="139"/>
        <v/>
      </c>
      <c r="P929" s="108" t="str">
        <f t="shared" si="139"/>
        <v/>
      </c>
      <c r="Q929" s="108" t="str">
        <f t="shared" si="139"/>
        <v/>
      </c>
      <c r="R929" s="103" t="str">
        <f t="shared" si="139"/>
        <v/>
      </c>
      <c r="S929" s="103" t="s">
        <v>1261</v>
      </c>
      <c r="T929" s="103" t="s">
        <v>1262</v>
      </c>
      <c r="U929" s="103" t="s">
        <v>1263</v>
      </c>
      <c r="V929" s="103" t="s">
        <v>1264</v>
      </c>
    </row>
    <row r="930" spans="1:22" ht="13.5">
      <c r="A930" s="102">
        <v>45629.73765570602</v>
      </c>
      <c r="B930" s="103" t="s">
        <v>1176</v>
      </c>
      <c r="C930" s="104" t="str">
        <f t="shared" si="138"/>
        <v>×</v>
      </c>
      <c r="D930" s="104" t="str">
        <f t="shared" si="138"/>
        <v>○</v>
      </c>
      <c r="E930" s="104" t="str">
        <f t="shared" si="138"/>
        <v>×</v>
      </c>
      <c r="F930" s="104" t="str">
        <f t="shared" si="138"/>
        <v>×</v>
      </c>
      <c r="G930" s="103" t="s">
        <v>20</v>
      </c>
      <c r="H930" s="105"/>
      <c r="I930" s="105"/>
      <c r="J930" s="103" t="s">
        <v>38</v>
      </c>
      <c r="K930" s="103" t="s">
        <v>16</v>
      </c>
      <c r="L930" s="103" t="s">
        <v>88</v>
      </c>
      <c r="M930" s="108" t="str">
        <f t="shared" si="139"/>
        <v/>
      </c>
      <c r="N930" s="108" t="str">
        <f t="shared" si="139"/>
        <v>○</v>
      </c>
      <c r="O930" s="108" t="str">
        <f t="shared" si="139"/>
        <v/>
      </c>
      <c r="P930" s="108" t="str">
        <f t="shared" si="139"/>
        <v/>
      </c>
      <c r="Q930" s="108" t="str">
        <f t="shared" si="139"/>
        <v>○</v>
      </c>
      <c r="R930" s="103" t="str">
        <f t="shared" si="139"/>
        <v/>
      </c>
      <c r="S930" s="103" t="s">
        <v>1428</v>
      </c>
      <c r="T930" s="103" t="s">
        <v>30</v>
      </c>
      <c r="U930" s="103" t="s">
        <v>1429</v>
      </c>
      <c r="V930" s="105"/>
    </row>
    <row r="931" spans="1:22" ht="13.5">
      <c r="A931" s="102">
        <v>45629.928435312497</v>
      </c>
      <c r="B931" s="103" t="s">
        <v>57</v>
      </c>
      <c r="C931" s="104" t="str">
        <f t="shared" si="138"/>
        <v>×</v>
      </c>
      <c r="D931" s="104" t="str">
        <f t="shared" si="138"/>
        <v>○</v>
      </c>
      <c r="E931" s="104" t="str">
        <f t="shared" si="138"/>
        <v>×</v>
      </c>
      <c r="F931" s="104" t="str">
        <f t="shared" si="138"/>
        <v>×</v>
      </c>
      <c r="G931" s="103" t="s">
        <v>20</v>
      </c>
      <c r="H931" s="105"/>
      <c r="I931" s="105"/>
      <c r="J931" s="103" t="s">
        <v>38</v>
      </c>
      <c r="K931" s="103" t="s">
        <v>16</v>
      </c>
      <c r="L931" s="103" t="s">
        <v>68</v>
      </c>
      <c r="M931" s="108" t="str">
        <f t="shared" si="139"/>
        <v/>
      </c>
      <c r="N931" s="108" t="str">
        <f t="shared" si="139"/>
        <v/>
      </c>
      <c r="O931" s="108" t="str">
        <f t="shared" si="139"/>
        <v/>
      </c>
      <c r="P931" s="108" t="str">
        <f t="shared" si="139"/>
        <v/>
      </c>
      <c r="Q931" s="108" t="str">
        <f t="shared" si="139"/>
        <v>○</v>
      </c>
      <c r="R931" s="103" t="str">
        <f t="shared" si="139"/>
        <v/>
      </c>
      <c r="S931" s="103" t="s">
        <v>1550</v>
      </c>
      <c r="T931" s="103" t="s">
        <v>30</v>
      </c>
      <c r="U931" s="103" t="s">
        <v>1551</v>
      </c>
      <c r="V931" s="103" t="s">
        <v>1552</v>
      </c>
    </row>
    <row r="932" spans="1:22" ht="13.5">
      <c r="A932" s="102">
        <v>45629.926072800925</v>
      </c>
      <c r="B932" s="103" t="s">
        <v>264</v>
      </c>
      <c r="C932" s="104" t="str">
        <f t="shared" si="138"/>
        <v>○</v>
      </c>
      <c r="D932" s="104" t="str">
        <f t="shared" si="138"/>
        <v>○</v>
      </c>
      <c r="E932" s="104" t="str">
        <f t="shared" si="138"/>
        <v>×</v>
      </c>
      <c r="F932" s="104" t="str">
        <f t="shared" si="138"/>
        <v>×</v>
      </c>
      <c r="G932" s="103" t="s">
        <v>13</v>
      </c>
      <c r="H932" s="103" t="s">
        <v>27</v>
      </c>
      <c r="I932" s="103" t="s">
        <v>1544</v>
      </c>
      <c r="J932" s="105"/>
      <c r="K932" s="103" t="s">
        <v>34</v>
      </c>
      <c r="L932" s="105"/>
      <c r="M932" s="110" t="str">
        <f t="shared" ref="M932:R941" si="140">IF(ISERROR(SEARCH(M$1,$L932)),"","○")</f>
        <v/>
      </c>
      <c r="N932" s="110" t="str">
        <f t="shared" si="140"/>
        <v/>
      </c>
      <c r="O932" s="110" t="str">
        <f t="shared" si="140"/>
        <v/>
      </c>
      <c r="P932" s="110" t="str">
        <f t="shared" si="140"/>
        <v/>
      </c>
      <c r="Q932" s="110" t="str">
        <f t="shared" si="140"/>
        <v/>
      </c>
      <c r="R932" s="105" t="str">
        <f t="shared" si="140"/>
        <v/>
      </c>
      <c r="S932" s="105"/>
      <c r="T932" s="103" t="s">
        <v>1545</v>
      </c>
      <c r="U932" s="103" t="s">
        <v>1546</v>
      </c>
      <c r="V932" s="103" t="s">
        <v>1547</v>
      </c>
    </row>
    <row r="933" spans="1:22" ht="13.5">
      <c r="A933" s="102">
        <v>45624.909447523147</v>
      </c>
      <c r="B933" s="103" t="s">
        <v>93</v>
      </c>
      <c r="C933" s="104" t="str">
        <f t="shared" si="138"/>
        <v>×</v>
      </c>
      <c r="D933" s="104" t="str">
        <f t="shared" si="138"/>
        <v>×</v>
      </c>
      <c r="E933" s="104" t="str">
        <f t="shared" si="138"/>
        <v>○</v>
      </c>
      <c r="F933" s="104" t="str">
        <f t="shared" si="138"/>
        <v>×</v>
      </c>
      <c r="G933" s="103" t="s">
        <v>20</v>
      </c>
      <c r="H933" s="105"/>
      <c r="I933" s="105"/>
      <c r="J933" s="103" t="s">
        <v>58</v>
      </c>
      <c r="K933" s="103" t="s">
        <v>16</v>
      </c>
      <c r="L933" s="103" t="s">
        <v>125</v>
      </c>
      <c r="M933" s="108" t="str">
        <f t="shared" si="140"/>
        <v/>
      </c>
      <c r="N933" s="108" t="str">
        <f t="shared" si="140"/>
        <v/>
      </c>
      <c r="O933" s="108" t="str">
        <f t="shared" si="140"/>
        <v/>
      </c>
      <c r="P933" s="108" t="str">
        <f t="shared" si="140"/>
        <v/>
      </c>
      <c r="Q933" s="108" t="str">
        <f t="shared" si="140"/>
        <v/>
      </c>
      <c r="R933" s="103" t="str">
        <f t="shared" si="140"/>
        <v/>
      </c>
      <c r="S933" s="105"/>
      <c r="T933" s="103" t="s">
        <v>24</v>
      </c>
      <c r="U933" s="103" t="s">
        <v>126</v>
      </c>
      <c r="V933" s="103" t="s">
        <v>127</v>
      </c>
    </row>
    <row r="934" spans="1:22" ht="13.5">
      <c r="A934" s="102">
        <v>45628.308456273153</v>
      </c>
      <c r="B934" s="103" t="s">
        <v>312</v>
      </c>
      <c r="C934" s="104" t="str">
        <f t="shared" si="138"/>
        <v>×</v>
      </c>
      <c r="D934" s="104" t="str">
        <f t="shared" si="138"/>
        <v>○</v>
      </c>
      <c r="E934" s="104" t="str">
        <f t="shared" si="138"/>
        <v>×</v>
      </c>
      <c r="F934" s="104" t="str">
        <f t="shared" si="138"/>
        <v>×</v>
      </c>
      <c r="G934" s="103" t="s">
        <v>13</v>
      </c>
      <c r="H934" s="103" t="s">
        <v>77</v>
      </c>
      <c r="I934" s="103" t="s">
        <v>868</v>
      </c>
      <c r="J934" s="105"/>
      <c r="K934" s="103" t="s">
        <v>34</v>
      </c>
      <c r="L934" s="105"/>
      <c r="M934" s="110" t="str">
        <f t="shared" si="140"/>
        <v/>
      </c>
      <c r="N934" s="110" t="str">
        <f t="shared" si="140"/>
        <v/>
      </c>
      <c r="O934" s="110" t="str">
        <f t="shared" si="140"/>
        <v/>
      </c>
      <c r="P934" s="110" t="str">
        <f t="shared" si="140"/>
        <v/>
      </c>
      <c r="Q934" s="110" t="str">
        <f t="shared" si="140"/>
        <v/>
      </c>
      <c r="R934" s="105" t="str">
        <f t="shared" si="140"/>
        <v/>
      </c>
      <c r="S934" s="105"/>
      <c r="T934" s="103" t="s">
        <v>61</v>
      </c>
      <c r="U934" s="103" t="s">
        <v>869</v>
      </c>
      <c r="V934" s="103" t="s">
        <v>870</v>
      </c>
    </row>
    <row r="935" spans="1:22" ht="13.5">
      <c r="A935" s="102">
        <v>45627.949516527777</v>
      </c>
      <c r="B935" s="103" t="s">
        <v>19</v>
      </c>
      <c r="C935" s="104" t="str">
        <f t="shared" si="138"/>
        <v>×</v>
      </c>
      <c r="D935" s="104" t="str">
        <f t="shared" si="138"/>
        <v>○</v>
      </c>
      <c r="E935" s="104" t="str">
        <f t="shared" si="138"/>
        <v>×</v>
      </c>
      <c r="F935" s="104" t="str">
        <f t="shared" si="138"/>
        <v>×</v>
      </c>
      <c r="G935" s="103" t="s">
        <v>20</v>
      </c>
      <c r="H935" s="105"/>
      <c r="I935" s="105"/>
      <c r="J935" s="103" t="s">
        <v>21</v>
      </c>
      <c r="K935" s="103" t="s">
        <v>16</v>
      </c>
      <c r="L935" s="103" t="s">
        <v>823</v>
      </c>
      <c r="M935" s="108" t="str">
        <f t="shared" si="140"/>
        <v/>
      </c>
      <c r="N935" s="108" t="str">
        <f t="shared" si="140"/>
        <v/>
      </c>
      <c r="O935" s="108" t="str">
        <f t="shared" si="140"/>
        <v/>
      </c>
      <c r="P935" s="108" t="str">
        <f t="shared" si="140"/>
        <v/>
      </c>
      <c r="Q935" s="108" t="str">
        <f t="shared" si="140"/>
        <v/>
      </c>
      <c r="R935" s="103" t="str">
        <f t="shared" si="140"/>
        <v/>
      </c>
      <c r="S935" s="105"/>
      <c r="T935" s="103" t="s">
        <v>30</v>
      </c>
      <c r="U935" s="103" t="s">
        <v>824</v>
      </c>
      <c r="V935" s="105"/>
    </row>
    <row r="936" spans="1:22" ht="13.5">
      <c r="A936" s="102">
        <v>45625.990494710648</v>
      </c>
      <c r="B936" s="103" t="s">
        <v>389</v>
      </c>
      <c r="C936" s="104" t="str">
        <f t="shared" si="138"/>
        <v>×</v>
      </c>
      <c r="D936" s="104" t="str">
        <f t="shared" si="138"/>
        <v>○</v>
      </c>
      <c r="E936" s="104" t="str">
        <f t="shared" si="138"/>
        <v>×</v>
      </c>
      <c r="F936" s="104" t="str">
        <f t="shared" si="138"/>
        <v>×</v>
      </c>
      <c r="G936" s="103" t="s">
        <v>20</v>
      </c>
      <c r="H936" s="105"/>
      <c r="I936" s="105"/>
      <c r="J936" s="103" t="s">
        <v>21</v>
      </c>
      <c r="K936" s="103" t="s">
        <v>16</v>
      </c>
      <c r="L936" s="103" t="s">
        <v>88</v>
      </c>
      <c r="M936" s="108" t="str">
        <f t="shared" si="140"/>
        <v/>
      </c>
      <c r="N936" s="108" t="str">
        <f t="shared" si="140"/>
        <v>○</v>
      </c>
      <c r="O936" s="108" t="str">
        <f t="shared" si="140"/>
        <v/>
      </c>
      <c r="P936" s="108" t="str">
        <f t="shared" si="140"/>
        <v/>
      </c>
      <c r="Q936" s="108" t="str">
        <f t="shared" si="140"/>
        <v>○</v>
      </c>
      <c r="R936" s="103" t="str">
        <f t="shared" si="140"/>
        <v/>
      </c>
      <c r="S936" s="103" t="s">
        <v>390</v>
      </c>
      <c r="T936" s="103" t="s">
        <v>30</v>
      </c>
      <c r="U936" s="103" t="s">
        <v>391</v>
      </c>
      <c r="V936" s="103" t="s">
        <v>392</v>
      </c>
    </row>
    <row r="937" spans="1:22" ht="13.5">
      <c r="A937" s="102">
        <v>45628.812420925926</v>
      </c>
      <c r="B937" s="103" t="s">
        <v>1075</v>
      </c>
      <c r="C937" s="104" t="str">
        <f t="shared" si="138"/>
        <v>×</v>
      </c>
      <c r="D937" s="104" t="str">
        <f t="shared" si="138"/>
        <v>○</v>
      </c>
      <c r="E937" s="104" t="str">
        <f t="shared" si="138"/>
        <v>×</v>
      </c>
      <c r="F937" s="104" t="str">
        <f t="shared" si="138"/>
        <v>×</v>
      </c>
      <c r="G937" s="103" t="s">
        <v>20</v>
      </c>
      <c r="H937" s="105"/>
      <c r="I937" s="105"/>
      <c r="J937" s="103" t="s">
        <v>38</v>
      </c>
      <c r="K937" s="103" t="s">
        <v>16</v>
      </c>
      <c r="L937" s="103" t="s">
        <v>189</v>
      </c>
      <c r="M937" s="108" t="str">
        <f t="shared" si="140"/>
        <v/>
      </c>
      <c r="N937" s="108" t="str">
        <f t="shared" si="140"/>
        <v/>
      </c>
      <c r="O937" s="108" t="str">
        <f t="shared" si="140"/>
        <v/>
      </c>
      <c r="P937" s="108" t="str">
        <f t="shared" si="140"/>
        <v>○</v>
      </c>
      <c r="Q937" s="108" t="str">
        <f t="shared" si="140"/>
        <v>○</v>
      </c>
      <c r="R937" s="103" t="str">
        <f t="shared" si="140"/>
        <v/>
      </c>
      <c r="S937" s="103" t="s">
        <v>1082</v>
      </c>
      <c r="T937" s="103" t="s">
        <v>24</v>
      </c>
      <c r="U937" s="103" t="s">
        <v>1083</v>
      </c>
      <c r="V937" s="103" t="s">
        <v>1084</v>
      </c>
    </row>
    <row r="938" spans="1:22" ht="13.5">
      <c r="A938" s="102">
        <v>45628.319734027777</v>
      </c>
      <c r="B938" s="103" t="s">
        <v>41</v>
      </c>
      <c r="C938" s="104" t="str">
        <f t="shared" si="138"/>
        <v>×</v>
      </c>
      <c r="D938" s="104" t="str">
        <f t="shared" si="138"/>
        <v>○</v>
      </c>
      <c r="E938" s="104" t="str">
        <f t="shared" si="138"/>
        <v>×</v>
      </c>
      <c r="F938" s="104" t="str">
        <f t="shared" si="138"/>
        <v>×</v>
      </c>
      <c r="G938" s="103" t="s">
        <v>13</v>
      </c>
      <c r="H938" s="103" t="s">
        <v>32</v>
      </c>
      <c r="I938" s="103" t="s">
        <v>880</v>
      </c>
      <c r="J938" s="105"/>
      <c r="K938" s="103" t="s">
        <v>34</v>
      </c>
      <c r="L938" s="105"/>
      <c r="M938" s="110" t="str">
        <f t="shared" si="140"/>
        <v/>
      </c>
      <c r="N938" s="110" t="str">
        <f t="shared" si="140"/>
        <v/>
      </c>
      <c r="O938" s="110" t="str">
        <f t="shared" si="140"/>
        <v/>
      </c>
      <c r="P938" s="110" t="str">
        <f t="shared" si="140"/>
        <v/>
      </c>
      <c r="Q938" s="110" t="str">
        <f t="shared" si="140"/>
        <v/>
      </c>
      <c r="R938" s="105" t="str">
        <f t="shared" si="140"/>
        <v/>
      </c>
      <c r="S938" s="105"/>
      <c r="T938" s="103" t="s">
        <v>30</v>
      </c>
      <c r="U938" s="103" t="s">
        <v>881</v>
      </c>
      <c r="V938" s="103" t="s">
        <v>882</v>
      </c>
    </row>
    <row r="939" spans="1:22" ht="13.5">
      <c r="A939" s="102">
        <v>45627.858356828699</v>
      </c>
      <c r="B939" s="103" t="s">
        <v>41</v>
      </c>
      <c r="C939" s="104" t="str">
        <f t="shared" si="138"/>
        <v>×</v>
      </c>
      <c r="D939" s="104" t="str">
        <f t="shared" si="138"/>
        <v>○</v>
      </c>
      <c r="E939" s="104" t="str">
        <f t="shared" si="138"/>
        <v>×</v>
      </c>
      <c r="F939" s="104" t="str">
        <f t="shared" si="138"/>
        <v>×</v>
      </c>
      <c r="G939" s="103" t="s">
        <v>13</v>
      </c>
      <c r="H939" s="103" t="s">
        <v>27</v>
      </c>
      <c r="I939" s="103" t="s">
        <v>778</v>
      </c>
      <c r="J939" s="105"/>
      <c r="K939" s="103" t="s">
        <v>34</v>
      </c>
      <c r="L939" s="105"/>
      <c r="M939" s="110" t="str">
        <f t="shared" si="140"/>
        <v/>
      </c>
      <c r="N939" s="110" t="str">
        <f t="shared" si="140"/>
        <v/>
      </c>
      <c r="O939" s="110" t="str">
        <f t="shared" si="140"/>
        <v/>
      </c>
      <c r="P939" s="110" t="str">
        <f t="shared" si="140"/>
        <v/>
      </c>
      <c r="Q939" s="110" t="str">
        <f t="shared" si="140"/>
        <v/>
      </c>
      <c r="R939" s="105" t="str">
        <f t="shared" si="140"/>
        <v/>
      </c>
      <c r="S939" s="105"/>
      <c r="T939" s="103" t="s">
        <v>779</v>
      </c>
      <c r="U939" s="103" t="s">
        <v>780</v>
      </c>
      <c r="V939" s="103" t="s">
        <v>781</v>
      </c>
    </row>
    <row r="940" spans="1:22" ht="13.5">
      <c r="A940" s="102">
        <v>45626.825542592589</v>
      </c>
      <c r="B940" s="103" t="s">
        <v>46</v>
      </c>
      <c r="C940" s="104" t="str">
        <f t="shared" si="138"/>
        <v>×</v>
      </c>
      <c r="D940" s="104" t="str">
        <f t="shared" si="138"/>
        <v>×</v>
      </c>
      <c r="E940" s="104" t="str">
        <f t="shared" si="138"/>
        <v>○</v>
      </c>
      <c r="F940" s="104" t="str">
        <f t="shared" si="138"/>
        <v>○</v>
      </c>
      <c r="G940" s="103" t="s">
        <v>13</v>
      </c>
      <c r="H940" s="103" t="s">
        <v>27</v>
      </c>
      <c r="I940" s="103" t="s">
        <v>611</v>
      </c>
      <c r="J940" s="105"/>
      <c r="K940" s="103" t="s">
        <v>34</v>
      </c>
      <c r="L940" s="105"/>
      <c r="M940" s="110" t="str">
        <f t="shared" si="140"/>
        <v/>
      </c>
      <c r="N940" s="110" t="str">
        <f t="shared" si="140"/>
        <v/>
      </c>
      <c r="O940" s="110" t="str">
        <f t="shared" si="140"/>
        <v/>
      </c>
      <c r="P940" s="110" t="str">
        <f t="shared" si="140"/>
        <v/>
      </c>
      <c r="Q940" s="110" t="str">
        <f t="shared" si="140"/>
        <v/>
      </c>
      <c r="R940" s="105" t="str">
        <f t="shared" si="140"/>
        <v/>
      </c>
      <c r="S940" s="105"/>
      <c r="T940" s="103" t="s">
        <v>30</v>
      </c>
      <c r="U940" s="103" t="s">
        <v>612</v>
      </c>
      <c r="V940" s="103" t="s">
        <v>613</v>
      </c>
    </row>
    <row r="941" spans="1:22" ht="13.5">
      <c r="A941" s="102">
        <v>45630.857610462961</v>
      </c>
      <c r="B941" s="103" t="s">
        <v>1153</v>
      </c>
      <c r="C941" s="104" t="str">
        <f t="shared" si="138"/>
        <v>×</v>
      </c>
      <c r="D941" s="104" t="str">
        <f t="shared" si="138"/>
        <v>○</v>
      </c>
      <c r="E941" s="104" t="str">
        <f t="shared" si="138"/>
        <v>○</v>
      </c>
      <c r="F941" s="104" t="str">
        <f t="shared" si="138"/>
        <v>○</v>
      </c>
      <c r="G941" s="103" t="s">
        <v>20</v>
      </c>
      <c r="H941" s="105"/>
      <c r="I941" s="105"/>
      <c r="J941" s="103" t="s">
        <v>38</v>
      </c>
      <c r="K941" s="103" t="s">
        <v>16</v>
      </c>
      <c r="L941" s="103" t="s">
        <v>1679</v>
      </c>
      <c r="M941" s="108" t="str">
        <f t="shared" si="140"/>
        <v/>
      </c>
      <c r="N941" s="108" t="str">
        <f t="shared" si="140"/>
        <v/>
      </c>
      <c r="O941" s="108" t="str">
        <f t="shared" si="140"/>
        <v/>
      </c>
      <c r="P941" s="108" t="str">
        <f t="shared" si="140"/>
        <v/>
      </c>
      <c r="Q941" s="108" t="str">
        <f t="shared" si="140"/>
        <v>○</v>
      </c>
      <c r="R941" s="103" t="str">
        <f t="shared" si="140"/>
        <v/>
      </c>
      <c r="S941" s="103" t="s">
        <v>1680</v>
      </c>
      <c r="T941" s="103" t="s">
        <v>24</v>
      </c>
      <c r="U941" s="103" t="s">
        <v>1681</v>
      </c>
      <c r="V941" s="103" t="s">
        <v>1682</v>
      </c>
    </row>
    <row r="942" spans="1:22" ht="13.5">
      <c r="A942" s="102">
        <v>45626.520302974532</v>
      </c>
      <c r="B942" s="103" t="s">
        <v>93</v>
      </c>
      <c r="C942" s="104" t="str">
        <f t="shared" ref="C942:F961" si="141">IF(ISERROR(FIND(C$1,$B942)),"×","○")</f>
        <v>×</v>
      </c>
      <c r="D942" s="104" t="str">
        <f t="shared" si="141"/>
        <v>×</v>
      </c>
      <c r="E942" s="104" t="str">
        <f t="shared" si="141"/>
        <v>○</v>
      </c>
      <c r="F942" s="104" t="str">
        <f t="shared" si="141"/>
        <v>×</v>
      </c>
      <c r="G942" s="103" t="s">
        <v>20</v>
      </c>
      <c r="H942" s="105"/>
      <c r="I942" s="105"/>
      <c r="J942" s="103" t="s">
        <v>492</v>
      </c>
      <c r="K942" s="103" t="s">
        <v>16</v>
      </c>
      <c r="L942" s="103" t="s">
        <v>29</v>
      </c>
      <c r="M942" s="108" t="str">
        <f t="shared" ref="M942:R951" si="142">IF(ISERROR(SEARCH(M$1,$L942)),"","○")</f>
        <v/>
      </c>
      <c r="N942" s="108" t="str">
        <f t="shared" si="142"/>
        <v/>
      </c>
      <c r="O942" s="108" t="str">
        <f t="shared" si="142"/>
        <v/>
      </c>
      <c r="P942" s="108" t="str">
        <f t="shared" si="142"/>
        <v/>
      </c>
      <c r="Q942" s="108" t="str">
        <f t="shared" si="142"/>
        <v/>
      </c>
      <c r="R942" s="103" t="str">
        <f t="shared" si="142"/>
        <v>○</v>
      </c>
      <c r="S942" s="105"/>
      <c r="T942" s="103" t="s">
        <v>30</v>
      </c>
      <c r="U942" s="103" t="s">
        <v>554</v>
      </c>
      <c r="V942" s="103" t="s">
        <v>555</v>
      </c>
    </row>
    <row r="943" spans="1:22" ht="13.5">
      <c r="A943" s="102">
        <v>45630.019344351851</v>
      </c>
      <c r="B943" s="103" t="s">
        <v>1075</v>
      </c>
      <c r="C943" s="104" t="str">
        <f t="shared" si="141"/>
        <v>×</v>
      </c>
      <c r="D943" s="104" t="str">
        <f t="shared" si="141"/>
        <v>○</v>
      </c>
      <c r="E943" s="104" t="str">
        <f t="shared" si="141"/>
        <v>×</v>
      </c>
      <c r="F943" s="104" t="str">
        <f t="shared" si="141"/>
        <v>×</v>
      </c>
      <c r="G943" s="103" t="s">
        <v>20</v>
      </c>
      <c r="H943" s="105"/>
      <c r="I943" s="105"/>
      <c r="J943" s="103" t="s">
        <v>1562</v>
      </c>
      <c r="K943" s="103" t="s">
        <v>34</v>
      </c>
      <c r="L943" s="105"/>
      <c r="M943" s="110" t="str">
        <f t="shared" si="142"/>
        <v/>
      </c>
      <c r="N943" s="110" t="str">
        <f t="shared" si="142"/>
        <v/>
      </c>
      <c r="O943" s="110" t="str">
        <f t="shared" si="142"/>
        <v/>
      </c>
      <c r="P943" s="110" t="str">
        <f t="shared" si="142"/>
        <v/>
      </c>
      <c r="Q943" s="110" t="str">
        <f t="shared" si="142"/>
        <v/>
      </c>
      <c r="R943" s="105" t="str">
        <f t="shared" si="142"/>
        <v/>
      </c>
      <c r="S943" s="105"/>
      <c r="T943" s="103" t="s">
        <v>30</v>
      </c>
      <c r="U943" s="103" t="s">
        <v>1563</v>
      </c>
      <c r="V943" s="103" t="s">
        <v>1564</v>
      </c>
    </row>
    <row r="944" spans="1:22" ht="13.5">
      <c r="A944" s="102">
        <v>45624.768556967596</v>
      </c>
      <c r="B944" s="103" t="s">
        <v>93</v>
      </c>
      <c r="C944" s="104" t="str">
        <f t="shared" si="141"/>
        <v>×</v>
      </c>
      <c r="D944" s="104" t="str">
        <f t="shared" si="141"/>
        <v>×</v>
      </c>
      <c r="E944" s="104" t="str">
        <f t="shared" si="141"/>
        <v>○</v>
      </c>
      <c r="F944" s="104" t="str">
        <f t="shared" si="141"/>
        <v>×</v>
      </c>
      <c r="G944" s="103" t="s">
        <v>13</v>
      </c>
      <c r="H944" s="103" t="s">
        <v>27</v>
      </c>
      <c r="I944" s="103" t="s">
        <v>94</v>
      </c>
      <c r="J944" s="105"/>
      <c r="K944" s="103" t="s">
        <v>34</v>
      </c>
      <c r="L944" s="105"/>
      <c r="M944" s="110" t="str">
        <f t="shared" si="142"/>
        <v/>
      </c>
      <c r="N944" s="110" t="str">
        <f t="shared" si="142"/>
        <v/>
      </c>
      <c r="O944" s="110" t="str">
        <f t="shared" si="142"/>
        <v/>
      </c>
      <c r="P944" s="110" t="str">
        <f t="shared" si="142"/>
        <v/>
      </c>
      <c r="Q944" s="110" t="str">
        <f t="shared" si="142"/>
        <v/>
      </c>
      <c r="R944" s="105" t="str">
        <f t="shared" si="142"/>
        <v/>
      </c>
      <c r="S944" s="105"/>
      <c r="T944" s="103" t="s">
        <v>61</v>
      </c>
      <c r="U944" s="103" t="s">
        <v>95</v>
      </c>
      <c r="V944" s="103" t="s">
        <v>96</v>
      </c>
    </row>
    <row r="945" spans="1:22" ht="13.5">
      <c r="A945" s="102">
        <v>45625.841562881949</v>
      </c>
      <c r="B945" s="103" t="s">
        <v>181</v>
      </c>
      <c r="C945" s="104" t="str">
        <f t="shared" si="141"/>
        <v>×</v>
      </c>
      <c r="D945" s="104" t="str">
        <f t="shared" si="141"/>
        <v>○</v>
      </c>
      <c r="E945" s="104" t="str">
        <f t="shared" si="141"/>
        <v>×</v>
      </c>
      <c r="F945" s="104" t="str">
        <f t="shared" si="141"/>
        <v>×</v>
      </c>
      <c r="G945" s="103" t="s">
        <v>20</v>
      </c>
      <c r="H945" s="105"/>
      <c r="I945" s="105"/>
      <c r="J945" s="103" t="s">
        <v>58</v>
      </c>
      <c r="K945" s="103" t="s">
        <v>16</v>
      </c>
      <c r="L945" s="103" t="s">
        <v>107</v>
      </c>
      <c r="M945" s="108" t="str">
        <f t="shared" si="142"/>
        <v/>
      </c>
      <c r="N945" s="108" t="str">
        <f t="shared" si="142"/>
        <v/>
      </c>
      <c r="O945" s="108" t="str">
        <f t="shared" si="142"/>
        <v>○</v>
      </c>
      <c r="P945" s="108" t="str">
        <f t="shared" si="142"/>
        <v/>
      </c>
      <c r="Q945" s="108" t="str">
        <f t="shared" si="142"/>
        <v/>
      </c>
      <c r="R945" s="103" t="str">
        <f t="shared" si="142"/>
        <v/>
      </c>
      <c r="S945" s="103" t="s">
        <v>306</v>
      </c>
      <c r="T945" s="103" t="s">
        <v>307</v>
      </c>
      <c r="U945" s="103" t="s">
        <v>308</v>
      </c>
      <c r="V945" s="103" t="s">
        <v>309</v>
      </c>
    </row>
    <row r="946" spans="1:22" ht="13.5">
      <c r="A946" s="102">
        <v>45629.961191678245</v>
      </c>
      <c r="B946" s="103" t="s">
        <v>181</v>
      </c>
      <c r="C946" s="104" t="str">
        <f t="shared" si="141"/>
        <v>×</v>
      </c>
      <c r="D946" s="104" t="str">
        <f t="shared" si="141"/>
        <v>○</v>
      </c>
      <c r="E946" s="104" t="str">
        <f t="shared" si="141"/>
        <v>×</v>
      </c>
      <c r="F946" s="104" t="str">
        <f t="shared" si="141"/>
        <v>×</v>
      </c>
      <c r="G946" s="103" t="s">
        <v>20</v>
      </c>
      <c r="H946" s="105"/>
      <c r="I946" s="105"/>
      <c r="J946" s="103" t="s">
        <v>21</v>
      </c>
      <c r="K946" s="103" t="s">
        <v>16</v>
      </c>
      <c r="L946" s="103" t="s">
        <v>1557</v>
      </c>
      <c r="M946" s="108" t="str">
        <f t="shared" si="142"/>
        <v/>
      </c>
      <c r="N946" s="108" t="str">
        <f t="shared" si="142"/>
        <v>○</v>
      </c>
      <c r="O946" s="108" t="str">
        <f t="shared" si="142"/>
        <v/>
      </c>
      <c r="P946" s="108" t="str">
        <f t="shared" si="142"/>
        <v/>
      </c>
      <c r="Q946" s="108" t="str">
        <f t="shared" si="142"/>
        <v/>
      </c>
      <c r="R946" s="103" t="str">
        <f t="shared" si="142"/>
        <v/>
      </c>
      <c r="S946" s="105"/>
      <c r="T946" s="103" t="s">
        <v>30</v>
      </c>
      <c r="U946" s="103" t="s">
        <v>1558</v>
      </c>
      <c r="V946" s="103" t="s">
        <v>1559</v>
      </c>
    </row>
    <row r="947" spans="1:22" ht="13.5">
      <c r="A947" s="102">
        <v>45636.091189768515</v>
      </c>
      <c r="B947" s="103" t="s">
        <v>41</v>
      </c>
      <c r="C947" s="104" t="str">
        <f t="shared" si="141"/>
        <v>×</v>
      </c>
      <c r="D947" s="104" t="str">
        <f t="shared" si="141"/>
        <v>○</v>
      </c>
      <c r="E947" s="104" t="str">
        <f t="shared" si="141"/>
        <v>×</v>
      </c>
      <c r="F947" s="104" t="str">
        <f t="shared" si="141"/>
        <v>×</v>
      </c>
      <c r="G947" s="103" t="s">
        <v>20</v>
      </c>
      <c r="H947" s="105"/>
      <c r="I947" s="105"/>
      <c r="J947" s="103" t="s">
        <v>21</v>
      </c>
      <c r="K947" s="103" t="s">
        <v>16</v>
      </c>
      <c r="L947" s="103" t="s">
        <v>68</v>
      </c>
      <c r="M947" s="108" t="str">
        <f t="shared" si="142"/>
        <v/>
      </c>
      <c r="N947" s="108" t="str">
        <f t="shared" si="142"/>
        <v/>
      </c>
      <c r="O947" s="108" t="str">
        <f t="shared" si="142"/>
        <v/>
      </c>
      <c r="P947" s="108" t="str">
        <f t="shared" si="142"/>
        <v/>
      </c>
      <c r="Q947" s="108" t="str">
        <f t="shared" si="142"/>
        <v>○</v>
      </c>
      <c r="R947" s="103" t="str">
        <f t="shared" si="142"/>
        <v/>
      </c>
      <c r="S947" s="103" t="s">
        <v>2004</v>
      </c>
      <c r="T947" s="103" t="s">
        <v>30</v>
      </c>
      <c r="U947" s="103" t="s">
        <v>2005</v>
      </c>
      <c r="V947" s="103" t="s">
        <v>2006</v>
      </c>
    </row>
    <row r="948" spans="1:22" ht="13.5">
      <c r="A948" s="102">
        <v>45625.680335671292</v>
      </c>
      <c r="B948" s="103" t="s">
        <v>140</v>
      </c>
      <c r="C948" s="104" t="str">
        <f t="shared" si="141"/>
        <v>×</v>
      </c>
      <c r="D948" s="104" t="str">
        <f t="shared" si="141"/>
        <v>○</v>
      </c>
      <c r="E948" s="104" t="str">
        <f t="shared" si="141"/>
        <v>○</v>
      </c>
      <c r="F948" s="104" t="str">
        <f t="shared" si="141"/>
        <v>×</v>
      </c>
      <c r="G948" s="103" t="s">
        <v>20</v>
      </c>
      <c r="H948" s="105"/>
      <c r="I948" s="105"/>
      <c r="J948" s="103" t="s">
        <v>21</v>
      </c>
      <c r="K948" s="103" t="s">
        <v>16</v>
      </c>
      <c r="L948" s="103" t="s">
        <v>68</v>
      </c>
      <c r="M948" s="108" t="str">
        <f t="shared" si="142"/>
        <v/>
      </c>
      <c r="N948" s="108" t="str">
        <f t="shared" si="142"/>
        <v/>
      </c>
      <c r="O948" s="108" t="str">
        <f t="shared" si="142"/>
        <v/>
      </c>
      <c r="P948" s="108" t="str">
        <f t="shared" si="142"/>
        <v/>
      </c>
      <c r="Q948" s="108" t="str">
        <f t="shared" si="142"/>
        <v>○</v>
      </c>
      <c r="R948" s="103" t="str">
        <f t="shared" si="142"/>
        <v/>
      </c>
      <c r="S948" s="103" t="s">
        <v>197</v>
      </c>
      <c r="T948" s="103" t="s">
        <v>24</v>
      </c>
      <c r="U948" s="103" t="s">
        <v>198</v>
      </c>
      <c r="V948" s="105"/>
    </row>
    <row r="949" spans="1:22" ht="13.5">
      <c r="A949" s="102">
        <v>45625.937624814818</v>
      </c>
      <c r="B949" s="103" t="s">
        <v>147</v>
      </c>
      <c r="C949" s="104" t="str">
        <f t="shared" si="141"/>
        <v>×</v>
      </c>
      <c r="D949" s="104" t="str">
        <f t="shared" si="141"/>
        <v>○</v>
      </c>
      <c r="E949" s="104" t="str">
        <f t="shared" si="141"/>
        <v>○</v>
      </c>
      <c r="F949" s="104" t="str">
        <f t="shared" si="141"/>
        <v>×</v>
      </c>
      <c r="G949" s="103" t="s">
        <v>13</v>
      </c>
      <c r="H949" s="103" t="s">
        <v>32</v>
      </c>
      <c r="I949" s="103" t="s">
        <v>367</v>
      </c>
      <c r="J949" s="105"/>
      <c r="K949" s="103" t="s">
        <v>16</v>
      </c>
      <c r="L949" s="103" t="s">
        <v>236</v>
      </c>
      <c r="M949" s="108" t="str">
        <f t="shared" si="142"/>
        <v/>
      </c>
      <c r="N949" s="108" t="str">
        <f t="shared" si="142"/>
        <v/>
      </c>
      <c r="O949" s="108" t="str">
        <f t="shared" si="142"/>
        <v/>
      </c>
      <c r="P949" s="108" t="str">
        <f t="shared" si="142"/>
        <v/>
      </c>
      <c r="Q949" s="108" t="str">
        <f t="shared" si="142"/>
        <v/>
      </c>
      <c r="R949" s="103" t="str">
        <f t="shared" si="142"/>
        <v/>
      </c>
      <c r="S949" s="105"/>
      <c r="T949" s="103" t="s">
        <v>24</v>
      </c>
      <c r="U949" s="103" t="s">
        <v>368</v>
      </c>
      <c r="V949" s="103" t="s">
        <v>369</v>
      </c>
    </row>
    <row r="950" spans="1:22" ht="13.5">
      <c r="A950" s="102">
        <v>45627.796980370375</v>
      </c>
      <c r="B950" s="103" t="s">
        <v>264</v>
      </c>
      <c r="C950" s="104" t="str">
        <f t="shared" si="141"/>
        <v>○</v>
      </c>
      <c r="D950" s="104" t="str">
        <f t="shared" si="141"/>
        <v>○</v>
      </c>
      <c r="E950" s="104" t="str">
        <f t="shared" si="141"/>
        <v>×</v>
      </c>
      <c r="F950" s="104" t="str">
        <f t="shared" si="141"/>
        <v>×</v>
      </c>
      <c r="G950" s="103" t="s">
        <v>20</v>
      </c>
      <c r="H950" s="105"/>
      <c r="I950" s="105"/>
      <c r="J950" s="103" t="s">
        <v>38</v>
      </c>
      <c r="K950" s="103" t="s">
        <v>16</v>
      </c>
      <c r="L950" s="103" t="s">
        <v>68</v>
      </c>
      <c r="M950" s="108" t="str">
        <f t="shared" si="142"/>
        <v/>
      </c>
      <c r="N950" s="108" t="str">
        <f t="shared" si="142"/>
        <v/>
      </c>
      <c r="O950" s="108" t="str">
        <f t="shared" si="142"/>
        <v/>
      </c>
      <c r="P950" s="108" t="str">
        <f t="shared" si="142"/>
        <v/>
      </c>
      <c r="Q950" s="108" t="str">
        <f t="shared" si="142"/>
        <v>○</v>
      </c>
      <c r="R950" s="103" t="str">
        <f t="shared" si="142"/>
        <v/>
      </c>
      <c r="S950" s="103" t="s">
        <v>752</v>
      </c>
      <c r="T950" s="103" t="s">
        <v>753</v>
      </c>
      <c r="U950" s="103" t="s">
        <v>754</v>
      </c>
      <c r="V950" s="103" t="s">
        <v>755</v>
      </c>
    </row>
    <row r="951" spans="1:22" ht="13.5">
      <c r="A951" s="102">
        <v>45628.812381608797</v>
      </c>
      <c r="B951" s="103" t="s">
        <v>41</v>
      </c>
      <c r="C951" s="104" t="str">
        <f t="shared" si="141"/>
        <v>×</v>
      </c>
      <c r="D951" s="104" t="str">
        <f t="shared" si="141"/>
        <v>○</v>
      </c>
      <c r="E951" s="104" t="str">
        <f t="shared" si="141"/>
        <v>×</v>
      </c>
      <c r="F951" s="104" t="str">
        <f t="shared" si="141"/>
        <v>×</v>
      </c>
      <c r="G951" s="103" t="s">
        <v>20</v>
      </c>
      <c r="H951" s="105"/>
      <c r="I951" s="105"/>
      <c r="J951" s="103" t="s">
        <v>38</v>
      </c>
      <c r="K951" s="103" t="s">
        <v>16</v>
      </c>
      <c r="L951" s="103" t="s">
        <v>39</v>
      </c>
      <c r="M951" s="108" t="str">
        <f t="shared" si="142"/>
        <v/>
      </c>
      <c r="N951" s="108" t="str">
        <f t="shared" si="142"/>
        <v>○</v>
      </c>
      <c r="O951" s="108" t="str">
        <f t="shared" si="142"/>
        <v/>
      </c>
      <c r="P951" s="108" t="str">
        <f t="shared" si="142"/>
        <v/>
      </c>
      <c r="Q951" s="108" t="str">
        <f t="shared" si="142"/>
        <v/>
      </c>
      <c r="R951" s="103" t="str">
        <f t="shared" si="142"/>
        <v/>
      </c>
      <c r="S951" s="105"/>
      <c r="T951" s="103" t="s">
        <v>30</v>
      </c>
      <c r="U951" s="103" t="s">
        <v>1081</v>
      </c>
      <c r="V951" s="105"/>
    </row>
    <row r="952" spans="1:22" ht="13.5">
      <c r="A952" s="102">
        <v>45626.424321354163</v>
      </c>
      <c r="B952" s="103" t="s">
        <v>93</v>
      </c>
      <c r="C952" s="104" t="str">
        <f t="shared" si="141"/>
        <v>×</v>
      </c>
      <c r="D952" s="104" t="str">
        <f t="shared" si="141"/>
        <v>×</v>
      </c>
      <c r="E952" s="104" t="str">
        <f t="shared" si="141"/>
        <v>○</v>
      </c>
      <c r="F952" s="104" t="str">
        <f t="shared" si="141"/>
        <v>×</v>
      </c>
      <c r="G952" s="103" t="s">
        <v>20</v>
      </c>
      <c r="H952" s="105"/>
      <c r="I952" s="105"/>
      <c r="J952" s="103" t="s">
        <v>58</v>
      </c>
      <c r="K952" s="103" t="s">
        <v>16</v>
      </c>
      <c r="L952" s="103" t="s">
        <v>68</v>
      </c>
      <c r="M952" s="108" t="str">
        <f t="shared" ref="M952:R961" si="143">IF(ISERROR(SEARCH(M$1,$L952)),"","○")</f>
        <v/>
      </c>
      <c r="N952" s="108" t="str">
        <f t="shared" si="143"/>
        <v/>
      </c>
      <c r="O952" s="108" t="str">
        <f t="shared" si="143"/>
        <v/>
      </c>
      <c r="P952" s="108" t="str">
        <f t="shared" si="143"/>
        <v/>
      </c>
      <c r="Q952" s="108" t="str">
        <f t="shared" si="143"/>
        <v>○</v>
      </c>
      <c r="R952" s="103" t="str">
        <f t="shared" si="143"/>
        <v/>
      </c>
      <c r="S952" s="103" t="s">
        <v>519</v>
      </c>
      <c r="T952" s="103" t="s">
        <v>24</v>
      </c>
      <c r="U952" s="103" t="s">
        <v>520</v>
      </c>
      <c r="V952" s="103" t="s">
        <v>521</v>
      </c>
    </row>
    <row r="953" spans="1:22" ht="13.5">
      <c r="A953" s="102">
        <v>45625.89990074074</v>
      </c>
      <c r="B953" s="103" t="s">
        <v>49</v>
      </c>
      <c r="C953" s="104" t="str">
        <f t="shared" si="141"/>
        <v>×</v>
      </c>
      <c r="D953" s="104" t="str">
        <f t="shared" si="141"/>
        <v>○</v>
      </c>
      <c r="E953" s="104" t="str">
        <f t="shared" si="141"/>
        <v>×</v>
      </c>
      <c r="F953" s="104" t="str">
        <f t="shared" si="141"/>
        <v>×</v>
      </c>
      <c r="G953" s="103" t="s">
        <v>13</v>
      </c>
      <c r="H953" s="103" t="s">
        <v>47</v>
      </c>
      <c r="I953" s="103" t="s">
        <v>352</v>
      </c>
      <c r="J953" s="105"/>
      <c r="K953" s="103" t="s">
        <v>34</v>
      </c>
      <c r="L953" s="105"/>
      <c r="M953" s="110" t="str">
        <f t="shared" si="143"/>
        <v/>
      </c>
      <c r="N953" s="110" t="str">
        <f t="shared" si="143"/>
        <v/>
      </c>
      <c r="O953" s="110" t="str">
        <f t="shared" si="143"/>
        <v/>
      </c>
      <c r="P953" s="110" t="str">
        <f t="shared" si="143"/>
        <v/>
      </c>
      <c r="Q953" s="110" t="str">
        <f t="shared" si="143"/>
        <v/>
      </c>
      <c r="R953" s="105" t="str">
        <f t="shared" si="143"/>
        <v/>
      </c>
      <c r="S953" s="105"/>
      <c r="T953" s="103" t="s">
        <v>30</v>
      </c>
      <c r="U953" s="103" t="s">
        <v>353</v>
      </c>
      <c r="V953" s="103" t="s">
        <v>354</v>
      </c>
    </row>
    <row r="954" spans="1:22" ht="13.5">
      <c r="A954" s="102">
        <v>45630.759499247681</v>
      </c>
      <c r="B954" s="103" t="s">
        <v>90</v>
      </c>
      <c r="C954" s="104" t="str">
        <f t="shared" si="141"/>
        <v>×</v>
      </c>
      <c r="D954" s="104" t="str">
        <f t="shared" si="141"/>
        <v>×</v>
      </c>
      <c r="E954" s="104" t="str">
        <f t="shared" si="141"/>
        <v>○</v>
      </c>
      <c r="F954" s="104" t="str">
        <f t="shared" si="141"/>
        <v>×</v>
      </c>
      <c r="G954" s="103" t="s">
        <v>20</v>
      </c>
      <c r="H954" s="105"/>
      <c r="I954" s="105"/>
      <c r="J954" s="103" t="s">
        <v>58</v>
      </c>
      <c r="K954" s="103" t="s">
        <v>16</v>
      </c>
      <c r="L954" s="103" t="s">
        <v>39</v>
      </c>
      <c r="M954" s="108" t="str">
        <f t="shared" si="143"/>
        <v/>
      </c>
      <c r="N954" s="108" t="str">
        <f t="shared" si="143"/>
        <v>○</v>
      </c>
      <c r="O954" s="108" t="str">
        <f t="shared" si="143"/>
        <v/>
      </c>
      <c r="P954" s="108" t="str">
        <f t="shared" si="143"/>
        <v/>
      </c>
      <c r="Q954" s="108" t="str">
        <f t="shared" si="143"/>
        <v/>
      </c>
      <c r="R954" s="103" t="str">
        <f t="shared" si="143"/>
        <v/>
      </c>
      <c r="S954" s="105"/>
      <c r="T954" s="103" t="s">
        <v>30</v>
      </c>
      <c r="U954" s="103" t="s">
        <v>353</v>
      </c>
      <c r="V954" s="103" t="s">
        <v>1649</v>
      </c>
    </row>
    <row r="955" spans="1:22" ht="13.5">
      <c r="A955" s="102">
        <v>45631.736950277773</v>
      </c>
      <c r="B955" s="103" t="s">
        <v>181</v>
      </c>
      <c r="C955" s="104" t="str">
        <f t="shared" si="141"/>
        <v>×</v>
      </c>
      <c r="D955" s="104" t="str">
        <f t="shared" si="141"/>
        <v>○</v>
      </c>
      <c r="E955" s="104" t="str">
        <f t="shared" si="141"/>
        <v>×</v>
      </c>
      <c r="F955" s="104" t="str">
        <f t="shared" si="141"/>
        <v>×</v>
      </c>
      <c r="G955" s="103" t="s">
        <v>20</v>
      </c>
      <c r="H955" s="105"/>
      <c r="I955" s="105"/>
      <c r="J955" s="103" t="s">
        <v>58</v>
      </c>
      <c r="K955" s="103" t="s">
        <v>16</v>
      </c>
      <c r="L955" s="103" t="s">
        <v>1769</v>
      </c>
      <c r="M955" s="108" t="str">
        <f t="shared" si="143"/>
        <v/>
      </c>
      <c r="N955" s="108" t="str">
        <f t="shared" si="143"/>
        <v>○</v>
      </c>
      <c r="O955" s="108" t="str">
        <f t="shared" si="143"/>
        <v/>
      </c>
      <c r="P955" s="108" t="str">
        <f t="shared" si="143"/>
        <v/>
      </c>
      <c r="Q955" s="108" t="str">
        <f t="shared" si="143"/>
        <v>○</v>
      </c>
      <c r="R955" s="103" t="str">
        <f t="shared" si="143"/>
        <v/>
      </c>
      <c r="S955" s="103" t="s">
        <v>1770</v>
      </c>
      <c r="T955" s="103" t="s">
        <v>1771</v>
      </c>
      <c r="U955" s="103" t="s">
        <v>1772</v>
      </c>
      <c r="V955" s="103" t="s">
        <v>1773</v>
      </c>
    </row>
    <row r="956" spans="1:22" ht="13.5">
      <c r="A956" s="102">
        <v>45624.794014236111</v>
      </c>
      <c r="B956" s="103" t="s">
        <v>90</v>
      </c>
      <c r="C956" s="104" t="str">
        <f t="shared" si="141"/>
        <v>×</v>
      </c>
      <c r="D956" s="104" t="str">
        <f t="shared" si="141"/>
        <v>×</v>
      </c>
      <c r="E956" s="104" t="str">
        <f t="shared" si="141"/>
        <v>○</v>
      </c>
      <c r="F956" s="104" t="str">
        <f t="shared" si="141"/>
        <v>×</v>
      </c>
      <c r="G956" s="103" t="s">
        <v>20</v>
      </c>
      <c r="H956" s="105"/>
      <c r="I956" s="105"/>
      <c r="J956" s="103" t="s">
        <v>99</v>
      </c>
      <c r="K956" s="103" t="s">
        <v>16</v>
      </c>
      <c r="L956" s="103" t="s">
        <v>68</v>
      </c>
      <c r="M956" s="108" t="str">
        <f t="shared" si="143"/>
        <v/>
      </c>
      <c r="N956" s="108" t="str">
        <f t="shared" si="143"/>
        <v/>
      </c>
      <c r="O956" s="108" t="str">
        <f t="shared" si="143"/>
        <v/>
      </c>
      <c r="P956" s="108" t="str">
        <f t="shared" si="143"/>
        <v/>
      </c>
      <c r="Q956" s="108" t="str">
        <f t="shared" si="143"/>
        <v>○</v>
      </c>
      <c r="R956" s="103" t="str">
        <f t="shared" si="143"/>
        <v/>
      </c>
      <c r="S956" s="103" t="s">
        <v>100</v>
      </c>
      <c r="T956" s="103" t="s">
        <v>101</v>
      </c>
      <c r="U956" s="103" t="s">
        <v>102</v>
      </c>
      <c r="V956" s="103" t="s">
        <v>103</v>
      </c>
    </row>
    <row r="957" spans="1:22" ht="13.5">
      <c r="A957" s="102">
        <v>45628.267138773153</v>
      </c>
      <c r="B957" s="103" t="s">
        <v>849</v>
      </c>
      <c r="C957" s="104" t="str">
        <f t="shared" si="141"/>
        <v>×</v>
      </c>
      <c r="D957" s="104" t="str">
        <f t="shared" si="141"/>
        <v>○</v>
      </c>
      <c r="E957" s="104" t="str">
        <f t="shared" si="141"/>
        <v>○</v>
      </c>
      <c r="F957" s="104" t="str">
        <f t="shared" si="141"/>
        <v>×</v>
      </c>
      <c r="G957" s="103" t="s">
        <v>20</v>
      </c>
      <c r="H957" s="105"/>
      <c r="I957" s="105"/>
      <c r="J957" s="103" t="s">
        <v>58</v>
      </c>
      <c r="K957" s="103" t="s">
        <v>16</v>
      </c>
      <c r="L957" s="103" t="s">
        <v>59</v>
      </c>
      <c r="M957" s="108" t="str">
        <f t="shared" si="143"/>
        <v/>
      </c>
      <c r="N957" s="108" t="str">
        <f t="shared" si="143"/>
        <v/>
      </c>
      <c r="O957" s="108" t="str">
        <f t="shared" si="143"/>
        <v/>
      </c>
      <c r="P957" s="108" t="str">
        <f t="shared" si="143"/>
        <v>○</v>
      </c>
      <c r="Q957" s="108" t="str">
        <f t="shared" si="143"/>
        <v/>
      </c>
      <c r="R957" s="103" t="str">
        <f t="shared" si="143"/>
        <v/>
      </c>
      <c r="S957" s="103" t="s">
        <v>850</v>
      </c>
      <c r="T957" s="103" t="s">
        <v>24</v>
      </c>
      <c r="U957" s="103" t="s">
        <v>102</v>
      </c>
      <c r="V957" s="103" t="s">
        <v>851</v>
      </c>
    </row>
    <row r="958" spans="1:22" ht="13.5">
      <c r="A958" s="102">
        <v>45629.395970590282</v>
      </c>
      <c r="B958" s="103" t="s">
        <v>19</v>
      </c>
      <c r="C958" s="104" t="str">
        <f t="shared" si="141"/>
        <v>×</v>
      </c>
      <c r="D958" s="104" t="str">
        <f t="shared" si="141"/>
        <v>○</v>
      </c>
      <c r="E958" s="104" t="str">
        <f t="shared" si="141"/>
        <v>×</v>
      </c>
      <c r="F958" s="104" t="str">
        <f t="shared" si="141"/>
        <v>×</v>
      </c>
      <c r="G958" s="103" t="s">
        <v>20</v>
      </c>
      <c r="H958" s="105"/>
      <c r="I958" s="105"/>
      <c r="J958" s="103" t="s">
        <v>21</v>
      </c>
      <c r="K958" s="103" t="s">
        <v>16</v>
      </c>
      <c r="L958" s="103" t="s">
        <v>39</v>
      </c>
      <c r="M958" s="108" t="str">
        <f t="shared" si="143"/>
        <v/>
      </c>
      <c r="N958" s="108" t="str">
        <f t="shared" si="143"/>
        <v>○</v>
      </c>
      <c r="O958" s="108" t="str">
        <f t="shared" si="143"/>
        <v/>
      </c>
      <c r="P958" s="108" t="str">
        <f t="shared" si="143"/>
        <v/>
      </c>
      <c r="Q958" s="108" t="str">
        <f t="shared" si="143"/>
        <v/>
      </c>
      <c r="R958" s="103" t="str">
        <f t="shared" si="143"/>
        <v/>
      </c>
      <c r="S958" s="105"/>
      <c r="T958" s="103" t="s">
        <v>24</v>
      </c>
      <c r="U958" s="103" t="s">
        <v>102</v>
      </c>
      <c r="V958" s="103" t="s">
        <v>1370</v>
      </c>
    </row>
    <row r="959" spans="1:22" ht="13.5">
      <c r="A959" s="102">
        <v>45635.11823284722</v>
      </c>
      <c r="B959" s="103" t="s">
        <v>429</v>
      </c>
      <c r="C959" s="104" t="str">
        <f t="shared" si="141"/>
        <v>×</v>
      </c>
      <c r="D959" s="104" t="str">
        <f t="shared" si="141"/>
        <v>×</v>
      </c>
      <c r="E959" s="104" t="str">
        <f t="shared" si="141"/>
        <v>○</v>
      </c>
      <c r="F959" s="104" t="str">
        <f t="shared" si="141"/>
        <v>○</v>
      </c>
      <c r="G959" s="103" t="s">
        <v>20</v>
      </c>
      <c r="H959" s="105"/>
      <c r="I959" s="105"/>
      <c r="J959" s="103" t="s">
        <v>58</v>
      </c>
      <c r="K959" s="103" t="s">
        <v>16</v>
      </c>
      <c r="L959" s="103" t="s">
        <v>107</v>
      </c>
      <c r="M959" s="108" t="str">
        <f t="shared" si="143"/>
        <v/>
      </c>
      <c r="N959" s="108" t="str">
        <f t="shared" si="143"/>
        <v/>
      </c>
      <c r="O959" s="108" t="str">
        <f t="shared" si="143"/>
        <v>○</v>
      </c>
      <c r="P959" s="108" t="str">
        <f t="shared" si="143"/>
        <v/>
      </c>
      <c r="Q959" s="108" t="str">
        <f t="shared" si="143"/>
        <v/>
      </c>
      <c r="R959" s="103" t="str">
        <f t="shared" si="143"/>
        <v/>
      </c>
      <c r="S959" s="105"/>
      <c r="T959" s="103" t="s">
        <v>1956</v>
      </c>
      <c r="U959" s="103" t="s">
        <v>102</v>
      </c>
      <c r="V959" s="103" t="s">
        <v>1957</v>
      </c>
    </row>
    <row r="960" spans="1:22" ht="13.5">
      <c r="A960" s="102">
        <v>45628.902526724538</v>
      </c>
      <c r="B960" s="103" t="s">
        <v>164</v>
      </c>
      <c r="C960" s="104" t="str">
        <f t="shared" si="141"/>
        <v>×</v>
      </c>
      <c r="D960" s="104" t="str">
        <f t="shared" si="141"/>
        <v>○</v>
      </c>
      <c r="E960" s="104" t="str">
        <f t="shared" si="141"/>
        <v>×</v>
      </c>
      <c r="F960" s="104" t="str">
        <f t="shared" si="141"/>
        <v>×</v>
      </c>
      <c r="G960" s="103" t="s">
        <v>20</v>
      </c>
      <c r="H960" s="105"/>
      <c r="I960" s="105"/>
      <c r="J960" s="103" t="s">
        <v>38</v>
      </c>
      <c r="K960" s="103" t="s">
        <v>16</v>
      </c>
      <c r="L960" s="103" t="s">
        <v>59</v>
      </c>
      <c r="M960" s="108" t="str">
        <f t="shared" si="143"/>
        <v/>
      </c>
      <c r="N960" s="108" t="str">
        <f t="shared" si="143"/>
        <v/>
      </c>
      <c r="O960" s="108" t="str">
        <f t="shared" si="143"/>
        <v/>
      </c>
      <c r="P960" s="108" t="str">
        <f t="shared" si="143"/>
        <v>○</v>
      </c>
      <c r="Q960" s="108" t="str">
        <f t="shared" si="143"/>
        <v/>
      </c>
      <c r="R960" s="103" t="str">
        <f t="shared" si="143"/>
        <v/>
      </c>
      <c r="S960" s="103" t="s">
        <v>1223</v>
      </c>
      <c r="T960" s="103" t="s">
        <v>24</v>
      </c>
      <c r="U960" s="103" t="s">
        <v>1224</v>
      </c>
      <c r="V960" s="103" t="s">
        <v>1225</v>
      </c>
    </row>
    <row r="961" spans="1:22" ht="13.5">
      <c r="A961" s="102">
        <v>45633.424760937502</v>
      </c>
      <c r="B961" s="103" t="s">
        <v>199</v>
      </c>
      <c r="C961" s="104" t="str">
        <f t="shared" si="141"/>
        <v>×</v>
      </c>
      <c r="D961" s="104" t="str">
        <f t="shared" si="141"/>
        <v>○</v>
      </c>
      <c r="E961" s="104" t="str">
        <f t="shared" si="141"/>
        <v>×</v>
      </c>
      <c r="F961" s="104" t="str">
        <f t="shared" si="141"/>
        <v>×</v>
      </c>
      <c r="G961" s="103" t="s">
        <v>20</v>
      </c>
      <c r="H961" s="105"/>
      <c r="I961" s="105"/>
      <c r="J961" s="103" t="s">
        <v>58</v>
      </c>
      <c r="K961" s="103" t="s">
        <v>16</v>
      </c>
      <c r="L961" s="103" t="s">
        <v>39</v>
      </c>
      <c r="M961" s="108" t="str">
        <f t="shared" si="143"/>
        <v/>
      </c>
      <c r="N961" s="108" t="str">
        <f t="shared" si="143"/>
        <v>○</v>
      </c>
      <c r="O961" s="108" t="str">
        <f t="shared" si="143"/>
        <v/>
      </c>
      <c r="P961" s="108" t="str">
        <f t="shared" si="143"/>
        <v/>
      </c>
      <c r="Q961" s="108" t="str">
        <f t="shared" si="143"/>
        <v/>
      </c>
      <c r="R961" s="103" t="str">
        <f t="shared" si="143"/>
        <v/>
      </c>
      <c r="S961" s="105"/>
      <c r="T961" s="103" t="s">
        <v>1866</v>
      </c>
      <c r="U961" s="103" t="s">
        <v>1866</v>
      </c>
      <c r="V961" s="103" t="s">
        <v>1867</v>
      </c>
    </row>
    <row r="962" spans="1:22" ht="13.5">
      <c r="A962" s="102">
        <v>45625.362891539349</v>
      </c>
      <c r="B962" s="103" t="s">
        <v>147</v>
      </c>
      <c r="C962" s="104" t="str">
        <f t="shared" ref="C962:F981" si="144">IF(ISERROR(FIND(C$1,$B962)),"×","○")</f>
        <v>×</v>
      </c>
      <c r="D962" s="104" t="str">
        <f t="shared" si="144"/>
        <v>○</v>
      </c>
      <c r="E962" s="104" t="str">
        <f t="shared" si="144"/>
        <v>○</v>
      </c>
      <c r="F962" s="104" t="str">
        <f t="shared" si="144"/>
        <v>×</v>
      </c>
      <c r="G962" s="103" t="s">
        <v>20</v>
      </c>
      <c r="H962" s="105"/>
      <c r="I962" s="105"/>
      <c r="J962" s="103" t="s">
        <v>58</v>
      </c>
      <c r="K962" s="103" t="s">
        <v>16</v>
      </c>
      <c r="L962" s="103" t="s">
        <v>88</v>
      </c>
      <c r="M962" s="108" t="str">
        <f t="shared" ref="M962:R971" si="145">IF(ISERROR(SEARCH(M$1,$L962)),"","○")</f>
        <v/>
      </c>
      <c r="N962" s="108" t="str">
        <f t="shared" si="145"/>
        <v>○</v>
      </c>
      <c r="O962" s="108" t="str">
        <f t="shared" si="145"/>
        <v/>
      </c>
      <c r="P962" s="108" t="str">
        <f t="shared" si="145"/>
        <v/>
      </c>
      <c r="Q962" s="108" t="str">
        <f t="shared" si="145"/>
        <v>○</v>
      </c>
      <c r="R962" s="103" t="str">
        <f t="shared" si="145"/>
        <v/>
      </c>
      <c r="S962" s="103" t="s">
        <v>148</v>
      </c>
      <c r="T962" s="103" t="s">
        <v>149</v>
      </c>
      <c r="U962" s="103" t="s">
        <v>150</v>
      </c>
      <c r="V962" s="103" t="s">
        <v>151</v>
      </c>
    </row>
    <row r="963" spans="1:22" ht="13.5">
      <c r="A963" s="102">
        <v>45626.715666655087</v>
      </c>
      <c r="B963" s="103" t="s">
        <v>147</v>
      </c>
      <c r="C963" s="104" t="str">
        <f t="shared" si="144"/>
        <v>×</v>
      </c>
      <c r="D963" s="104" t="str">
        <f t="shared" si="144"/>
        <v>○</v>
      </c>
      <c r="E963" s="104" t="str">
        <f t="shared" si="144"/>
        <v>○</v>
      </c>
      <c r="F963" s="104" t="str">
        <f t="shared" si="144"/>
        <v>×</v>
      </c>
      <c r="G963" s="103" t="s">
        <v>13</v>
      </c>
      <c r="H963" s="103" t="s">
        <v>32</v>
      </c>
      <c r="I963" s="103" t="s">
        <v>32</v>
      </c>
      <c r="J963" s="105"/>
      <c r="K963" s="103" t="s">
        <v>34</v>
      </c>
      <c r="L963" s="105"/>
      <c r="M963" s="110" t="str">
        <f t="shared" si="145"/>
        <v/>
      </c>
      <c r="N963" s="110" t="str">
        <f t="shared" si="145"/>
        <v/>
      </c>
      <c r="O963" s="110" t="str">
        <f t="shared" si="145"/>
        <v/>
      </c>
      <c r="P963" s="110" t="str">
        <f t="shared" si="145"/>
        <v/>
      </c>
      <c r="Q963" s="110" t="str">
        <f t="shared" si="145"/>
        <v/>
      </c>
      <c r="R963" s="105" t="str">
        <f t="shared" si="145"/>
        <v/>
      </c>
      <c r="S963" s="105"/>
      <c r="T963" s="103" t="s">
        <v>586</v>
      </c>
      <c r="U963" s="103" t="s">
        <v>586</v>
      </c>
      <c r="V963" s="103" t="s">
        <v>587</v>
      </c>
    </row>
    <row r="964" spans="1:22" ht="13.5">
      <c r="A964" s="102">
        <v>45629.824083541665</v>
      </c>
      <c r="B964" s="103" t="s">
        <v>217</v>
      </c>
      <c r="C964" s="104" t="str">
        <f t="shared" si="144"/>
        <v>○</v>
      </c>
      <c r="D964" s="104" t="str">
        <f t="shared" si="144"/>
        <v>○</v>
      </c>
      <c r="E964" s="104" t="str">
        <f t="shared" si="144"/>
        <v>×</v>
      </c>
      <c r="F964" s="104" t="str">
        <f t="shared" si="144"/>
        <v>×</v>
      </c>
      <c r="G964" s="103" t="s">
        <v>20</v>
      </c>
      <c r="H964" s="105"/>
      <c r="I964" s="105"/>
      <c r="J964" s="103" t="s">
        <v>1462</v>
      </c>
      <c r="K964" s="103" t="s">
        <v>16</v>
      </c>
      <c r="L964" s="103" t="s">
        <v>59</v>
      </c>
      <c r="M964" s="108" t="str">
        <f t="shared" si="145"/>
        <v/>
      </c>
      <c r="N964" s="108" t="str">
        <f t="shared" si="145"/>
        <v/>
      </c>
      <c r="O964" s="108" t="str">
        <f t="shared" si="145"/>
        <v/>
      </c>
      <c r="P964" s="108" t="str">
        <f t="shared" si="145"/>
        <v>○</v>
      </c>
      <c r="Q964" s="108" t="str">
        <f t="shared" si="145"/>
        <v/>
      </c>
      <c r="R964" s="103" t="str">
        <f t="shared" si="145"/>
        <v/>
      </c>
      <c r="S964" s="103" t="s">
        <v>1463</v>
      </c>
      <c r="T964" s="103" t="s">
        <v>24</v>
      </c>
      <c r="U964" s="103" t="s">
        <v>1464</v>
      </c>
      <c r="V964" s="105"/>
    </row>
    <row r="965" spans="1:22" ht="13.5">
      <c r="A965" s="102">
        <v>45631.801988437495</v>
      </c>
      <c r="B965" s="103" t="s">
        <v>389</v>
      </c>
      <c r="C965" s="104" t="str">
        <f t="shared" si="144"/>
        <v>×</v>
      </c>
      <c r="D965" s="104" t="str">
        <f t="shared" si="144"/>
        <v>○</v>
      </c>
      <c r="E965" s="104" t="str">
        <f t="shared" si="144"/>
        <v>×</v>
      </c>
      <c r="F965" s="104" t="str">
        <f t="shared" si="144"/>
        <v>×</v>
      </c>
      <c r="G965" s="103" t="s">
        <v>13</v>
      </c>
      <c r="H965" s="103" t="s">
        <v>77</v>
      </c>
      <c r="I965" s="103" t="s">
        <v>1786</v>
      </c>
      <c r="J965" s="105"/>
      <c r="K965" s="103" t="s">
        <v>34</v>
      </c>
      <c r="L965" s="105"/>
      <c r="M965" s="110" t="str">
        <f t="shared" si="145"/>
        <v/>
      </c>
      <c r="N965" s="110" t="str">
        <f t="shared" si="145"/>
        <v/>
      </c>
      <c r="O965" s="110" t="str">
        <f t="shared" si="145"/>
        <v/>
      </c>
      <c r="P965" s="110" t="str">
        <f t="shared" si="145"/>
        <v/>
      </c>
      <c r="Q965" s="110" t="str">
        <f t="shared" si="145"/>
        <v/>
      </c>
      <c r="R965" s="105" t="str">
        <f t="shared" si="145"/>
        <v/>
      </c>
      <c r="S965" s="105"/>
      <c r="T965" s="103" t="s">
        <v>30</v>
      </c>
      <c r="U965" s="103" t="s">
        <v>1787</v>
      </c>
      <c r="V965" s="105"/>
    </row>
    <row r="966" spans="1:22" ht="13.5">
      <c r="A966" s="102">
        <v>45626.341725486112</v>
      </c>
      <c r="B966" s="103" t="s">
        <v>429</v>
      </c>
      <c r="C966" s="104" t="str">
        <f t="shared" si="144"/>
        <v>×</v>
      </c>
      <c r="D966" s="104" t="str">
        <f t="shared" si="144"/>
        <v>×</v>
      </c>
      <c r="E966" s="104" t="str">
        <f t="shared" si="144"/>
        <v>○</v>
      </c>
      <c r="F966" s="104" t="str">
        <f t="shared" si="144"/>
        <v>○</v>
      </c>
      <c r="G966" s="103" t="s">
        <v>20</v>
      </c>
      <c r="H966" s="105"/>
      <c r="I966" s="105"/>
      <c r="J966" s="103" t="s">
        <v>430</v>
      </c>
      <c r="K966" s="103" t="s">
        <v>16</v>
      </c>
      <c r="L966" s="103" t="s">
        <v>39</v>
      </c>
      <c r="M966" s="108" t="str">
        <f t="shared" si="145"/>
        <v/>
      </c>
      <c r="N966" s="108" t="str">
        <f t="shared" si="145"/>
        <v>○</v>
      </c>
      <c r="O966" s="108" t="str">
        <f t="shared" si="145"/>
        <v/>
      </c>
      <c r="P966" s="108" t="str">
        <f t="shared" si="145"/>
        <v/>
      </c>
      <c r="Q966" s="108" t="str">
        <f t="shared" si="145"/>
        <v/>
      </c>
      <c r="R966" s="103" t="str">
        <f t="shared" si="145"/>
        <v/>
      </c>
      <c r="S966" s="105"/>
      <c r="T966" s="103" t="s">
        <v>431</v>
      </c>
      <c r="U966" s="103" t="s">
        <v>432</v>
      </c>
      <c r="V966" s="103" t="s">
        <v>433</v>
      </c>
    </row>
    <row r="967" spans="1:22" ht="13.5">
      <c r="A967" s="102">
        <v>45632.702667581019</v>
      </c>
      <c r="B967" s="103" t="s">
        <v>71</v>
      </c>
      <c r="C967" s="104" t="str">
        <f t="shared" si="144"/>
        <v>×</v>
      </c>
      <c r="D967" s="104" t="str">
        <f t="shared" si="144"/>
        <v>○</v>
      </c>
      <c r="E967" s="104" t="str">
        <f t="shared" si="144"/>
        <v>○</v>
      </c>
      <c r="F967" s="104" t="str">
        <f t="shared" si="144"/>
        <v>×</v>
      </c>
      <c r="G967" s="103" t="s">
        <v>20</v>
      </c>
      <c r="H967" s="105"/>
      <c r="I967" s="105"/>
      <c r="J967" s="103" t="s">
        <v>58</v>
      </c>
      <c r="K967" s="103" t="s">
        <v>34</v>
      </c>
      <c r="L967" s="105"/>
      <c r="M967" s="110" t="str">
        <f t="shared" si="145"/>
        <v/>
      </c>
      <c r="N967" s="110" t="str">
        <f t="shared" si="145"/>
        <v/>
      </c>
      <c r="O967" s="110" t="str">
        <f t="shared" si="145"/>
        <v/>
      </c>
      <c r="P967" s="110" t="str">
        <f t="shared" si="145"/>
        <v/>
      </c>
      <c r="Q967" s="110" t="str">
        <f t="shared" si="145"/>
        <v/>
      </c>
      <c r="R967" s="105" t="str">
        <f t="shared" si="145"/>
        <v/>
      </c>
      <c r="S967" s="105"/>
      <c r="T967" s="103" t="s">
        <v>1834</v>
      </c>
      <c r="U967" s="103" t="s">
        <v>1835</v>
      </c>
      <c r="V967" s="105"/>
    </row>
    <row r="968" spans="1:22" ht="13.5">
      <c r="A968" s="102">
        <v>45625.655243287038</v>
      </c>
      <c r="B968" s="103" t="s">
        <v>181</v>
      </c>
      <c r="C968" s="104" t="str">
        <f t="shared" si="144"/>
        <v>×</v>
      </c>
      <c r="D968" s="104" t="str">
        <f t="shared" si="144"/>
        <v>○</v>
      </c>
      <c r="E968" s="104" t="str">
        <f t="shared" si="144"/>
        <v>×</v>
      </c>
      <c r="F968" s="104" t="str">
        <f t="shared" si="144"/>
        <v>×</v>
      </c>
      <c r="G968" s="103" t="s">
        <v>13</v>
      </c>
      <c r="H968" s="103" t="s">
        <v>32</v>
      </c>
      <c r="I968" s="103" t="s">
        <v>182</v>
      </c>
      <c r="J968" s="105"/>
      <c r="K968" s="103" t="s">
        <v>34</v>
      </c>
      <c r="L968" s="105"/>
      <c r="M968" s="110" t="str">
        <f t="shared" si="145"/>
        <v/>
      </c>
      <c r="N968" s="110" t="str">
        <f t="shared" si="145"/>
        <v/>
      </c>
      <c r="O968" s="110" t="str">
        <f t="shared" si="145"/>
        <v/>
      </c>
      <c r="P968" s="110" t="str">
        <f t="shared" si="145"/>
        <v/>
      </c>
      <c r="Q968" s="110" t="str">
        <f t="shared" si="145"/>
        <v/>
      </c>
      <c r="R968" s="105" t="str">
        <f t="shared" si="145"/>
        <v/>
      </c>
      <c r="S968" s="105"/>
      <c r="T968" s="103" t="s">
        <v>183</v>
      </c>
      <c r="U968" s="103" t="s">
        <v>183</v>
      </c>
      <c r="V968" s="103" t="s">
        <v>184</v>
      </c>
    </row>
    <row r="969" spans="1:22" ht="13.5">
      <c r="A969" s="102">
        <v>45630.736429502314</v>
      </c>
      <c r="B969" s="103" t="s">
        <v>105</v>
      </c>
      <c r="C969" s="104" t="str">
        <f t="shared" si="144"/>
        <v>×</v>
      </c>
      <c r="D969" s="104" t="str">
        <f t="shared" si="144"/>
        <v>×</v>
      </c>
      <c r="E969" s="104" t="str">
        <f t="shared" si="144"/>
        <v>○</v>
      </c>
      <c r="F969" s="104" t="str">
        <f t="shared" si="144"/>
        <v>×</v>
      </c>
      <c r="G969" s="103" t="s">
        <v>13</v>
      </c>
      <c r="H969" s="103" t="s">
        <v>32</v>
      </c>
      <c r="I969" s="103" t="s">
        <v>1640</v>
      </c>
      <c r="J969" s="105"/>
      <c r="K969" s="103" t="s">
        <v>16</v>
      </c>
      <c r="L969" s="103" t="s">
        <v>220</v>
      </c>
      <c r="M969" s="108" t="str">
        <f t="shared" si="145"/>
        <v/>
      </c>
      <c r="N969" s="108" t="str">
        <f t="shared" si="145"/>
        <v/>
      </c>
      <c r="O969" s="108" t="str">
        <f t="shared" si="145"/>
        <v/>
      </c>
      <c r="P969" s="108" t="str">
        <f t="shared" si="145"/>
        <v/>
      </c>
      <c r="Q969" s="108" t="str">
        <f t="shared" si="145"/>
        <v/>
      </c>
      <c r="R969" s="103" t="str">
        <f t="shared" si="145"/>
        <v/>
      </c>
      <c r="S969" s="105"/>
      <c r="T969" s="103" t="s">
        <v>1641</v>
      </c>
      <c r="U969" s="103" t="s">
        <v>1642</v>
      </c>
      <c r="V969" s="103" t="s">
        <v>1643</v>
      </c>
    </row>
    <row r="970" spans="1:22" ht="13.5">
      <c r="A970" s="102">
        <v>45628.578434907409</v>
      </c>
      <c r="B970" s="103" t="s">
        <v>117</v>
      </c>
      <c r="C970" s="104" t="str">
        <f t="shared" si="144"/>
        <v>×</v>
      </c>
      <c r="D970" s="104" t="str">
        <f t="shared" si="144"/>
        <v>×</v>
      </c>
      <c r="E970" s="104" t="str">
        <f t="shared" si="144"/>
        <v>○</v>
      </c>
      <c r="F970" s="104" t="str">
        <f t="shared" si="144"/>
        <v>○</v>
      </c>
      <c r="G970" s="103" t="s">
        <v>13</v>
      </c>
      <c r="H970" s="103" t="s">
        <v>14</v>
      </c>
      <c r="I970" s="103" t="s">
        <v>917</v>
      </c>
      <c r="J970" s="105"/>
      <c r="K970" s="103" t="s">
        <v>16</v>
      </c>
      <c r="L970" s="103" t="s">
        <v>918</v>
      </c>
      <c r="M970" s="108" t="str">
        <f t="shared" si="145"/>
        <v/>
      </c>
      <c r="N970" s="108" t="str">
        <f t="shared" si="145"/>
        <v/>
      </c>
      <c r="O970" s="108" t="str">
        <f t="shared" si="145"/>
        <v/>
      </c>
      <c r="P970" s="108" t="str">
        <f t="shared" si="145"/>
        <v/>
      </c>
      <c r="Q970" s="108" t="str">
        <f t="shared" si="145"/>
        <v/>
      </c>
      <c r="R970" s="103" t="str">
        <f t="shared" si="145"/>
        <v/>
      </c>
      <c r="S970" s="105"/>
      <c r="T970" s="103" t="s">
        <v>919</v>
      </c>
      <c r="U970" s="103" t="s">
        <v>920</v>
      </c>
      <c r="V970" s="103" t="s">
        <v>921</v>
      </c>
    </row>
    <row r="971" spans="1:22" ht="13.5">
      <c r="A971" s="102">
        <v>45628.578540196759</v>
      </c>
      <c r="B971" s="103" t="s">
        <v>117</v>
      </c>
      <c r="C971" s="104" t="str">
        <f t="shared" si="144"/>
        <v>×</v>
      </c>
      <c r="D971" s="104" t="str">
        <f t="shared" si="144"/>
        <v>×</v>
      </c>
      <c r="E971" s="104" t="str">
        <f t="shared" si="144"/>
        <v>○</v>
      </c>
      <c r="F971" s="104" t="str">
        <f t="shared" si="144"/>
        <v>○</v>
      </c>
      <c r="G971" s="103" t="s">
        <v>13</v>
      </c>
      <c r="H971" s="103" t="s">
        <v>14</v>
      </c>
      <c r="I971" s="103" t="s">
        <v>917</v>
      </c>
      <c r="J971" s="105"/>
      <c r="K971" s="103" t="s">
        <v>16</v>
      </c>
      <c r="L971" s="103" t="s">
        <v>918</v>
      </c>
      <c r="M971" s="108" t="str">
        <f t="shared" si="145"/>
        <v/>
      </c>
      <c r="N971" s="108" t="str">
        <f t="shared" si="145"/>
        <v/>
      </c>
      <c r="O971" s="108" t="str">
        <f t="shared" si="145"/>
        <v/>
      </c>
      <c r="P971" s="108" t="str">
        <f t="shared" si="145"/>
        <v/>
      </c>
      <c r="Q971" s="108" t="str">
        <f t="shared" si="145"/>
        <v/>
      </c>
      <c r="R971" s="103" t="str">
        <f t="shared" si="145"/>
        <v/>
      </c>
      <c r="S971" s="105"/>
      <c r="T971" s="103" t="s">
        <v>919</v>
      </c>
      <c r="U971" s="103" t="s">
        <v>920</v>
      </c>
      <c r="V971" s="103" t="s">
        <v>921</v>
      </c>
    </row>
    <row r="972" spans="1:22" ht="13.5">
      <c r="A972" s="102">
        <v>45626.470654988429</v>
      </c>
      <c r="B972" s="103" t="s">
        <v>90</v>
      </c>
      <c r="C972" s="104" t="str">
        <f t="shared" si="144"/>
        <v>×</v>
      </c>
      <c r="D972" s="104" t="str">
        <f t="shared" si="144"/>
        <v>×</v>
      </c>
      <c r="E972" s="104" t="str">
        <f t="shared" si="144"/>
        <v>○</v>
      </c>
      <c r="F972" s="104" t="str">
        <f t="shared" si="144"/>
        <v>×</v>
      </c>
      <c r="G972" s="103" t="s">
        <v>20</v>
      </c>
      <c r="H972" s="105"/>
      <c r="I972" s="105"/>
      <c r="J972" s="103" t="s">
        <v>58</v>
      </c>
      <c r="K972" s="103" t="s">
        <v>16</v>
      </c>
      <c r="L972" s="103" t="s">
        <v>39</v>
      </c>
      <c r="M972" s="108" t="str">
        <f t="shared" ref="M972:R981" si="146">IF(ISERROR(SEARCH(M$1,$L972)),"","○")</f>
        <v/>
      </c>
      <c r="N972" s="108" t="str">
        <f t="shared" si="146"/>
        <v>○</v>
      </c>
      <c r="O972" s="108" t="str">
        <f t="shared" si="146"/>
        <v/>
      </c>
      <c r="P972" s="108" t="str">
        <f t="shared" si="146"/>
        <v/>
      </c>
      <c r="Q972" s="108" t="str">
        <f t="shared" si="146"/>
        <v/>
      </c>
      <c r="R972" s="103" t="str">
        <f t="shared" si="146"/>
        <v/>
      </c>
      <c r="S972" s="105"/>
      <c r="T972" s="103" t="s">
        <v>30</v>
      </c>
      <c r="U972" s="103" t="s">
        <v>533</v>
      </c>
      <c r="V972" s="103" t="s">
        <v>534</v>
      </c>
    </row>
    <row r="973" spans="1:22" ht="13.5">
      <c r="A973" s="102">
        <v>45631.976783425926</v>
      </c>
      <c r="B973" s="103" t="s">
        <v>90</v>
      </c>
      <c r="C973" s="104" t="str">
        <f t="shared" si="144"/>
        <v>×</v>
      </c>
      <c r="D973" s="104" t="str">
        <f t="shared" si="144"/>
        <v>×</v>
      </c>
      <c r="E973" s="104" t="str">
        <f t="shared" si="144"/>
        <v>○</v>
      </c>
      <c r="F973" s="104" t="str">
        <f t="shared" si="144"/>
        <v>×</v>
      </c>
      <c r="G973" s="103" t="s">
        <v>20</v>
      </c>
      <c r="H973" s="105"/>
      <c r="I973" s="105"/>
      <c r="J973" s="103" t="s">
        <v>58</v>
      </c>
      <c r="K973" s="103" t="s">
        <v>16</v>
      </c>
      <c r="L973" s="103" t="s">
        <v>59</v>
      </c>
      <c r="M973" s="108" t="str">
        <f t="shared" si="146"/>
        <v/>
      </c>
      <c r="N973" s="108" t="str">
        <f t="shared" si="146"/>
        <v/>
      </c>
      <c r="O973" s="108" t="str">
        <f t="shared" si="146"/>
        <v/>
      </c>
      <c r="P973" s="108" t="str">
        <f t="shared" si="146"/>
        <v>○</v>
      </c>
      <c r="Q973" s="108" t="str">
        <f t="shared" si="146"/>
        <v/>
      </c>
      <c r="R973" s="103" t="str">
        <f t="shared" si="146"/>
        <v/>
      </c>
      <c r="S973" s="103" t="s">
        <v>1803</v>
      </c>
      <c r="T973" s="103" t="s">
        <v>1804</v>
      </c>
      <c r="U973" s="103" t="s">
        <v>1805</v>
      </c>
      <c r="V973" s="103" t="s">
        <v>1806</v>
      </c>
    </row>
    <row r="974" spans="1:22" ht="13.5">
      <c r="A974" s="102">
        <v>45629.841845300922</v>
      </c>
      <c r="B974" s="103" t="s">
        <v>164</v>
      </c>
      <c r="C974" s="104" t="str">
        <f t="shared" si="144"/>
        <v>×</v>
      </c>
      <c r="D974" s="104" t="str">
        <f t="shared" si="144"/>
        <v>○</v>
      </c>
      <c r="E974" s="104" t="str">
        <f t="shared" si="144"/>
        <v>×</v>
      </c>
      <c r="F974" s="104" t="str">
        <f t="shared" si="144"/>
        <v>×</v>
      </c>
      <c r="G974" s="103" t="s">
        <v>13</v>
      </c>
      <c r="H974" s="103" t="s">
        <v>14</v>
      </c>
      <c r="I974" s="103" t="s">
        <v>1484</v>
      </c>
      <c r="J974" s="105"/>
      <c r="K974" s="103" t="s">
        <v>34</v>
      </c>
      <c r="L974" s="105"/>
      <c r="M974" s="110" t="str">
        <f t="shared" si="146"/>
        <v/>
      </c>
      <c r="N974" s="110" t="str">
        <f t="shared" si="146"/>
        <v/>
      </c>
      <c r="O974" s="110" t="str">
        <f t="shared" si="146"/>
        <v/>
      </c>
      <c r="P974" s="110" t="str">
        <f t="shared" si="146"/>
        <v/>
      </c>
      <c r="Q974" s="110" t="str">
        <f t="shared" si="146"/>
        <v/>
      </c>
      <c r="R974" s="105" t="str">
        <f t="shared" si="146"/>
        <v/>
      </c>
      <c r="S974" s="105"/>
      <c r="T974" s="103" t="s">
        <v>30</v>
      </c>
      <c r="U974" s="103" t="s">
        <v>1485</v>
      </c>
      <c r="V974" s="103" t="s">
        <v>1486</v>
      </c>
    </row>
    <row r="975" spans="1:22" ht="13.5">
      <c r="A975" s="102">
        <v>45629.691338622681</v>
      </c>
      <c r="B975" s="103" t="s">
        <v>594</v>
      </c>
      <c r="C975" s="104" t="str">
        <f t="shared" si="144"/>
        <v>○</v>
      </c>
      <c r="D975" s="104" t="str">
        <f t="shared" si="144"/>
        <v>○</v>
      </c>
      <c r="E975" s="104" t="str">
        <f t="shared" si="144"/>
        <v>×</v>
      </c>
      <c r="F975" s="104" t="str">
        <f t="shared" si="144"/>
        <v>×</v>
      </c>
      <c r="G975" s="103" t="s">
        <v>13</v>
      </c>
      <c r="H975" s="103" t="s">
        <v>32</v>
      </c>
      <c r="I975" s="103" t="s">
        <v>1402</v>
      </c>
      <c r="J975" s="105"/>
      <c r="K975" s="103" t="s">
        <v>16</v>
      </c>
      <c r="L975" s="103" t="s">
        <v>1403</v>
      </c>
      <c r="M975" s="108" t="str">
        <f t="shared" si="146"/>
        <v/>
      </c>
      <c r="N975" s="108" t="str">
        <f t="shared" si="146"/>
        <v/>
      </c>
      <c r="O975" s="108" t="str">
        <f t="shared" si="146"/>
        <v/>
      </c>
      <c r="P975" s="108" t="str">
        <f t="shared" si="146"/>
        <v/>
      </c>
      <c r="Q975" s="108" t="str">
        <f t="shared" si="146"/>
        <v/>
      </c>
      <c r="R975" s="103" t="str">
        <f t="shared" si="146"/>
        <v/>
      </c>
      <c r="S975" s="105"/>
      <c r="T975" s="103" t="s">
        <v>1404</v>
      </c>
      <c r="U975" s="103" t="s">
        <v>1405</v>
      </c>
      <c r="V975" s="103" t="s">
        <v>1406</v>
      </c>
    </row>
    <row r="976" spans="1:22" ht="13.5">
      <c r="A976" s="102">
        <v>45631.293537997684</v>
      </c>
      <c r="B976" s="103" t="s">
        <v>57</v>
      </c>
      <c r="C976" s="104" t="str">
        <f t="shared" si="144"/>
        <v>×</v>
      </c>
      <c r="D976" s="104" t="str">
        <f t="shared" si="144"/>
        <v>○</v>
      </c>
      <c r="E976" s="104" t="str">
        <f t="shared" si="144"/>
        <v>×</v>
      </c>
      <c r="F976" s="104" t="str">
        <f t="shared" si="144"/>
        <v>×</v>
      </c>
      <c r="G976" s="103" t="s">
        <v>20</v>
      </c>
      <c r="H976" s="105"/>
      <c r="I976" s="105"/>
      <c r="J976" s="103" t="s">
        <v>58</v>
      </c>
      <c r="K976" s="103" t="s">
        <v>16</v>
      </c>
      <c r="L976" s="103" t="s">
        <v>68</v>
      </c>
      <c r="M976" s="108" t="str">
        <f t="shared" si="146"/>
        <v/>
      </c>
      <c r="N976" s="108" t="str">
        <f t="shared" si="146"/>
        <v/>
      </c>
      <c r="O976" s="108" t="str">
        <f t="shared" si="146"/>
        <v/>
      </c>
      <c r="P976" s="108" t="str">
        <f t="shared" si="146"/>
        <v/>
      </c>
      <c r="Q976" s="108" t="str">
        <f t="shared" si="146"/>
        <v>○</v>
      </c>
      <c r="R976" s="103" t="str">
        <f t="shared" si="146"/>
        <v/>
      </c>
      <c r="S976" s="103" t="s">
        <v>1744</v>
      </c>
      <c r="T976" s="103" t="s">
        <v>35</v>
      </c>
      <c r="U976" s="103" t="s">
        <v>1745</v>
      </c>
      <c r="V976" s="105"/>
    </row>
    <row r="977" spans="1:22" ht="13.5">
      <c r="A977" s="102">
        <v>45629.898597824074</v>
      </c>
      <c r="B977" s="103" t="s">
        <v>49</v>
      </c>
      <c r="C977" s="104" t="str">
        <f t="shared" si="144"/>
        <v>×</v>
      </c>
      <c r="D977" s="104" t="str">
        <f t="shared" si="144"/>
        <v>○</v>
      </c>
      <c r="E977" s="104" t="str">
        <f t="shared" si="144"/>
        <v>×</v>
      </c>
      <c r="F977" s="104" t="str">
        <f t="shared" si="144"/>
        <v>×</v>
      </c>
      <c r="G977" s="103" t="s">
        <v>13</v>
      </c>
      <c r="H977" s="103" t="s">
        <v>32</v>
      </c>
      <c r="I977" s="103" t="s">
        <v>1526</v>
      </c>
      <c r="J977" s="105"/>
      <c r="K977" s="103" t="s">
        <v>34</v>
      </c>
      <c r="L977" s="105"/>
      <c r="M977" s="110" t="str">
        <f t="shared" si="146"/>
        <v/>
      </c>
      <c r="N977" s="110" t="str">
        <f t="shared" si="146"/>
        <v/>
      </c>
      <c r="O977" s="110" t="str">
        <f t="shared" si="146"/>
        <v/>
      </c>
      <c r="P977" s="110" t="str">
        <f t="shared" si="146"/>
        <v/>
      </c>
      <c r="Q977" s="110" t="str">
        <f t="shared" si="146"/>
        <v/>
      </c>
      <c r="R977" s="105" t="str">
        <f t="shared" si="146"/>
        <v/>
      </c>
      <c r="S977" s="105"/>
      <c r="T977" s="103" t="s">
        <v>30</v>
      </c>
      <c r="U977" s="103" t="s">
        <v>1527</v>
      </c>
      <c r="V977" s="105"/>
    </row>
    <row r="978" spans="1:22" ht="13.5">
      <c r="A978" s="102">
        <v>45630.752756666669</v>
      </c>
      <c r="B978" s="103" t="s">
        <v>90</v>
      </c>
      <c r="C978" s="104" t="str">
        <f t="shared" si="144"/>
        <v>×</v>
      </c>
      <c r="D978" s="104" t="str">
        <f t="shared" si="144"/>
        <v>×</v>
      </c>
      <c r="E978" s="104" t="str">
        <f t="shared" si="144"/>
        <v>○</v>
      </c>
      <c r="F978" s="104" t="str">
        <f t="shared" si="144"/>
        <v>×</v>
      </c>
      <c r="G978" s="103" t="s">
        <v>20</v>
      </c>
      <c r="H978" s="105"/>
      <c r="I978" s="105"/>
      <c r="J978" s="103" t="s">
        <v>58</v>
      </c>
      <c r="K978" s="103" t="s">
        <v>16</v>
      </c>
      <c r="L978" s="103" t="s">
        <v>1644</v>
      </c>
      <c r="M978" s="108" t="str">
        <f t="shared" si="146"/>
        <v/>
      </c>
      <c r="N978" s="108" t="str">
        <f t="shared" si="146"/>
        <v/>
      </c>
      <c r="O978" s="108" t="str">
        <f t="shared" si="146"/>
        <v/>
      </c>
      <c r="P978" s="108" t="str">
        <f t="shared" si="146"/>
        <v/>
      </c>
      <c r="Q978" s="108" t="str">
        <f t="shared" si="146"/>
        <v/>
      </c>
      <c r="R978" s="103" t="str">
        <f t="shared" si="146"/>
        <v/>
      </c>
      <c r="S978" s="105"/>
      <c r="T978" s="103" t="s">
        <v>30</v>
      </c>
      <c r="U978" s="103" t="s">
        <v>1527</v>
      </c>
      <c r="V978" s="105"/>
    </row>
    <row r="979" spans="1:22" ht="13.5">
      <c r="A979" s="102">
        <v>45629.153760289351</v>
      </c>
      <c r="B979" s="103" t="s">
        <v>649</v>
      </c>
      <c r="C979" s="104" t="str">
        <f t="shared" si="144"/>
        <v>×</v>
      </c>
      <c r="D979" s="104" t="str">
        <f t="shared" si="144"/>
        <v>○</v>
      </c>
      <c r="E979" s="104" t="str">
        <f t="shared" si="144"/>
        <v>○</v>
      </c>
      <c r="F979" s="104" t="str">
        <f t="shared" si="144"/>
        <v>×</v>
      </c>
      <c r="G979" s="103" t="s">
        <v>20</v>
      </c>
      <c r="H979" s="105"/>
      <c r="I979" s="105"/>
      <c r="J979" s="103" t="s">
        <v>58</v>
      </c>
      <c r="K979" s="103" t="s">
        <v>16</v>
      </c>
      <c r="L979" s="103" t="s">
        <v>39</v>
      </c>
      <c r="M979" s="108" t="str">
        <f t="shared" si="146"/>
        <v/>
      </c>
      <c r="N979" s="108" t="str">
        <f t="shared" si="146"/>
        <v>○</v>
      </c>
      <c r="O979" s="108" t="str">
        <f t="shared" si="146"/>
        <v/>
      </c>
      <c r="P979" s="108" t="str">
        <f t="shared" si="146"/>
        <v/>
      </c>
      <c r="Q979" s="108" t="str">
        <f t="shared" si="146"/>
        <v/>
      </c>
      <c r="R979" s="103" t="str">
        <f t="shared" si="146"/>
        <v/>
      </c>
      <c r="S979" s="105"/>
      <c r="T979" s="103" t="s">
        <v>30</v>
      </c>
      <c r="U979" s="103" t="s">
        <v>1306</v>
      </c>
      <c r="V979" s="105"/>
    </row>
    <row r="980" spans="1:22" ht="13.5">
      <c r="A980" s="102">
        <v>45629.965784513886</v>
      </c>
      <c r="B980" s="103" t="s">
        <v>1560</v>
      </c>
      <c r="C980" s="104" t="str">
        <f t="shared" si="144"/>
        <v>×</v>
      </c>
      <c r="D980" s="104" t="str">
        <f t="shared" si="144"/>
        <v>○</v>
      </c>
      <c r="E980" s="104" t="str">
        <f t="shared" si="144"/>
        <v>○</v>
      </c>
      <c r="F980" s="104" t="str">
        <f t="shared" si="144"/>
        <v>○</v>
      </c>
      <c r="G980" s="103" t="s">
        <v>13</v>
      </c>
      <c r="H980" s="103" t="s">
        <v>32</v>
      </c>
      <c r="I980" s="103" t="s">
        <v>956</v>
      </c>
      <c r="J980" s="105"/>
      <c r="K980" s="103" t="s">
        <v>34</v>
      </c>
      <c r="L980" s="105"/>
      <c r="M980" s="110" t="str">
        <f t="shared" si="146"/>
        <v/>
      </c>
      <c r="N980" s="110" t="str">
        <f t="shared" si="146"/>
        <v/>
      </c>
      <c r="O980" s="110" t="str">
        <f t="shared" si="146"/>
        <v/>
      </c>
      <c r="P980" s="110" t="str">
        <f t="shared" si="146"/>
        <v/>
      </c>
      <c r="Q980" s="110" t="str">
        <f t="shared" si="146"/>
        <v/>
      </c>
      <c r="R980" s="105" t="str">
        <f t="shared" si="146"/>
        <v/>
      </c>
      <c r="S980" s="105"/>
      <c r="T980" s="103" t="s">
        <v>30</v>
      </c>
      <c r="U980" s="103" t="s">
        <v>1306</v>
      </c>
      <c r="V980" s="103" t="s">
        <v>1561</v>
      </c>
    </row>
    <row r="981" spans="1:22" ht="13.5">
      <c r="A981" s="102">
        <v>45631.485936180557</v>
      </c>
      <c r="B981" s="103" t="s">
        <v>19</v>
      </c>
      <c r="C981" s="104" t="str">
        <f t="shared" si="144"/>
        <v>×</v>
      </c>
      <c r="D981" s="104" t="str">
        <f t="shared" si="144"/>
        <v>○</v>
      </c>
      <c r="E981" s="104" t="str">
        <f t="shared" si="144"/>
        <v>×</v>
      </c>
      <c r="F981" s="104" t="str">
        <f t="shared" si="144"/>
        <v>×</v>
      </c>
      <c r="G981" s="103" t="s">
        <v>13</v>
      </c>
      <c r="H981" s="103" t="s">
        <v>32</v>
      </c>
      <c r="I981" s="103" t="s">
        <v>1754</v>
      </c>
      <c r="J981" s="105"/>
      <c r="K981" s="103" t="s">
        <v>34</v>
      </c>
      <c r="L981" s="105"/>
      <c r="M981" s="110" t="str">
        <f t="shared" si="146"/>
        <v/>
      </c>
      <c r="N981" s="110" t="str">
        <f t="shared" si="146"/>
        <v/>
      </c>
      <c r="O981" s="110" t="str">
        <f t="shared" si="146"/>
        <v/>
      </c>
      <c r="P981" s="110" t="str">
        <f t="shared" si="146"/>
        <v/>
      </c>
      <c r="Q981" s="110" t="str">
        <f t="shared" si="146"/>
        <v/>
      </c>
      <c r="R981" s="105" t="str">
        <f t="shared" si="146"/>
        <v/>
      </c>
      <c r="S981" s="105"/>
      <c r="T981" s="103" t="s">
        <v>30</v>
      </c>
      <c r="U981" s="103" t="s">
        <v>1755</v>
      </c>
      <c r="V981" s="105"/>
    </row>
    <row r="982" spans="1:22" ht="13.5">
      <c r="A982" s="102">
        <v>45629.910685740746</v>
      </c>
      <c r="B982" s="103" t="s">
        <v>1531</v>
      </c>
      <c r="C982" s="104" t="str">
        <f t="shared" ref="C982:F1001" si="147">IF(ISERROR(FIND(C$1,$B982)),"×","○")</f>
        <v>×</v>
      </c>
      <c r="D982" s="104" t="str">
        <f t="shared" si="147"/>
        <v>○</v>
      </c>
      <c r="E982" s="104" t="str">
        <f t="shared" si="147"/>
        <v>○</v>
      </c>
      <c r="F982" s="104" t="str">
        <f t="shared" si="147"/>
        <v>×</v>
      </c>
      <c r="G982" s="103" t="s">
        <v>20</v>
      </c>
      <c r="H982" s="105"/>
      <c r="I982" s="105"/>
      <c r="J982" s="103" t="s">
        <v>58</v>
      </c>
      <c r="K982" s="103" t="s">
        <v>16</v>
      </c>
      <c r="L982" s="103" t="s">
        <v>68</v>
      </c>
      <c r="M982" s="108" t="str">
        <f t="shared" ref="M982:R991" si="148">IF(ISERROR(SEARCH(M$1,$L982)),"","○")</f>
        <v/>
      </c>
      <c r="N982" s="108" t="str">
        <f t="shared" si="148"/>
        <v/>
      </c>
      <c r="O982" s="108" t="str">
        <f t="shared" si="148"/>
        <v/>
      </c>
      <c r="P982" s="108" t="str">
        <f t="shared" si="148"/>
        <v/>
      </c>
      <c r="Q982" s="108" t="str">
        <f t="shared" si="148"/>
        <v>○</v>
      </c>
      <c r="R982" s="103" t="str">
        <f t="shared" si="148"/>
        <v/>
      </c>
      <c r="S982" s="103" t="s">
        <v>1532</v>
      </c>
      <c r="T982" s="103" t="s">
        <v>30</v>
      </c>
      <c r="U982" s="103" t="s">
        <v>1533</v>
      </c>
      <c r="V982" s="103" t="s">
        <v>1534</v>
      </c>
    </row>
    <row r="983" spans="1:22" ht="13.5">
      <c r="A983" s="102">
        <v>45632.863061192125</v>
      </c>
      <c r="B983" s="103" t="s">
        <v>528</v>
      </c>
      <c r="C983" s="104" t="str">
        <f t="shared" si="147"/>
        <v>×</v>
      </c>
      <c r="D983" s="104" t="str">
        <f t="shared" si="147"/>
        <v>○</v>
      </c>
      <c r="E983" s="104" t="str">
        <f t="shared" si="147"/>
        <v>×</v>
      </c>
      <c r="F983" s="104" t="str">
        <f t="shared" si="147"/>
        <v>×</v>
      </c>
      <c r="G983" s="103" t="s">
        <v>13</v>
      </c>
      <c r="H983" s="103" t="s">
        <v>27</v>
      </c>
      <c r="I983" s="103" t="s">
        <v>1844</v>
      </c>
      <c r="J983" s="105"/>
      <c r="K983" s="103" t="s">
        <v>34</v>
      </c>
      <c r="L983" s="105"/>
      <c r="M983" s="110" t="str">
        <f t="shared" si="148"/>
        <v/>
      </c>
      <c r="N983" s="110" t="str">
        <f t="shared" si="148"/>
        <v/>
      </c>
      <c r="O983" s="110" t="str">
        <f t="shared" si="148"/>
        <v/>
      </c>
      <c r="P983" s="110" t="str">
        <f t="shared" si="148"/>
        <v/>
      </c>
      <c r="Q983" s="110" t="str">
        <f t="shared" si="148"/>
        <v/>
      </c>
      <c r="R983" s="105" t="str">
        <f t="shared" si="148"/>
        <v/>
      </c>
      <c r="S983" s="105"/>
      <c r="T983" s="103" t="s">
        <v>30</v>
      </c>
      <c r="U983" s="103" t="s">
        <v>1845</v>
      </c>
      <c r="V983" s="103" t="s">
        <v>1846</v>
      </c>
    </row>
    <row r="984" spans="1:22" ht="13.5">
      <c r="A984" s="102">
        <v>45628.891033460648</v>
      </c>
      <c r="B984" s="103" t="s">
        <v>57</v>
      </c>
      <c r="C984" s="104" t="str">
        <f t="shared" si="147"/>
        <v>×</v>
      </c>
      <c r="D984" s="104" t="str">
        <f t="shared" si="147"/>
        <v>○</v>
      </c>
      <c r="E984" s="104" t="str">
        <f t="shared" si="147"/>
        <v>×</v>
      </c>
      <c r="F984" s="104" t="str">
        <f t="shared" si="147"/>
        <v>×</v>
      </c>
      <c r="G984" s="103" t="s">
        <v>13</v>
      </c>
      <c r="H984" s="103" t="s">
        <v>27</v>
      </c>
      <c r="I984" s="103" t="s">
        <v>1198</v>
      </c>
      <c r="J984" s="105"/>
      <c r="K984" s="103" t="s">
        <v>34</v>
      </c>
      <c r="L984" s="105"/>
      <c r="M984" s="110" t="str">
        <f t="shared" si="148"/>
        <v/>
      </c>
      <c r="N984" s="110" t="str">
        <f t="shared" si="148"/>
        <v/>
      </c>
      <c r="O984" s="110" t="str">
        <f t="shared" si="148"/>
        <v/>
      </c>
      <c r="P984" s="110" t="str">
        <f t="shared" si="148"/>
        <v/>
      </c>
      <c r="Q984" s="110" t="str">
        <f t="shared" si="148"/>
        <v/>
      </c>
      <c r="R984" s="105" t="str">
        <f t="shared" si="148"/>
        <v/>
      </c>
      <c r="S984" s="105"/>
      <c r="T984" s="103" t="s">
        <v>35</v>
      </c>
      <c r="U984" s="103" t="s">
        <v>1199</v>
      </c>
      <c r="V984" s="103" t="s">
        <v>1200</v>
      </c>
    </row>
    <row r="985" spans="1:22" ht="13.5">
      <c r="A985" s="102">
        <v>45628.862740405093</v>
      </c>
      <c r="B985" s="103" t="s">
        <v>108</v>
      </c>
      <c r="C985" s="104" t="str">
        <f t="shared" si="147"/>
        <v>×</v>
      </c>
      <c r="D985" s="104" t="str">
        <f t="shared" si="147"/>
        <v>○</v>
      </c>
      <c r="E985" s="104" t="str">
        <f t="shared" si="147"/>
        <v>○</v>
      </c>
      <c r="F985" s="104" t="str">
        <f t="shared" si="147"/>
        <v>×</v>
      </c>
      <c r="G985" s="103" t="s">
        <v>13</v>
      </c>
      <c r="H985" s="103" t="s">
        <v>77</v>
      </c>
      <c r="I985" s="103" t="s">
        <v>1162</v>
      </c>
      <c r="J985" s="105"/>
      <c r="K985" s="103" t="s">
        <v>34</v>
      </c>
      <c r="L985" s="105"/>
      <c r="M985" s="110" t="str">
        <f t="shared" si="148"/>
        <v/>
      </c>
      <c r="N985" s="110" t="str">
        <f t="shared" si="148"/>
        <v/>
      </c>
      <c r="O985" s="110" t="str">
        <f t="shared" si="148"/>
        <v/>
      </c>
      <c r="P985" s="110" t="str">
        <f t="shared" si="148"/>
        <v/>
      </c>
      <c r="Q985" s="110" t="str">
        <f t="shared" si="148"/>
        <v/>
      </c>
      <c r="R985" s="105" t="str">
        <f t="shared" si="148"/>
        <v/>
      </c>
      <c r="S985" s="105"/>
      <c r="T985" s="103" t="s">
        <v>35</v>
      </c>
      <c r="U985" s="103" t="s">
        <v>1163</v>
      </c>
      <c r="V985" s="105"/>
    </row>
    <row r="986" spans="1:22" ht="13.5">
      <c r="A986" s="102">
        <v>45628.769721805555</v>
      </c>
      <c r="B986" s="103" t="s">
        <v>64</v>
      </c>
      <c r="C986" s="104" t="str">
        <f t="shared" si="147"/>
        <v>○</v>
      </c>
      <c r="D986" s="104" t="str">
        <f t="shared" si="147"/>
        <v>○</v>
      </c>
      <c r="E986" s="104" t="str">
        <f t="shared" si="147"/>
        <v>×</v>
      </c>
      <c r="F986" s="104" t="str">
        <f t="shared" si="147"/>
        <v>×</v>
      </c>
      <c r="G986" s="103" t="s">
        <v>13</v>
      </c>
      <c r="H986" s="103" t="s">
        <v>27</v>
      </c>
      <c r="I986" s="103" t="s">
        <v>1046</v>
      </c>
      <c r="J986" s="105"/>
      <c r="K986" s="103" t="s">
        <v>34</v>
      </c>
      <c r="L986" s="105"/>
      <c r="M986" s="110" t="str">
        <f t="shared" si="148"/>
        <v/>
      </c>
      <c r="N986" s="110" t="str">
        <f t="shared" si="148"/>
        <v/>
      </c>
      <c r="O986" s="110" t="str">
        <f t="shared" si="148"/>
        <v/>
      </c>
      <c r="P986" s="110" t="str">
        <f t="shared" si="148"/>
        <v/>
      </c>
      <c r="Q986" s="110" t="str">
        <f t="shared" si="148"/>
        <v/>
      </c>
      <c r="R986" s="105" t="str">
        <f t="shared" si="148"/>
        <v/>
      </c>
      <c r="S986" s="105"/>
      <c r="T986" s="103" t="s">
        <v>30</v>
      </c>
      <c r="U986" s="103" t="s">
        <v>1047</v>
      </c>
      <c r="V986" s="105"/>
    </row>
    <row r="987" spans="1:22" ht="13.5">
      <c r="A987" s="102">
        <v>45629.741315497682</v>
      </c>
      <c r="B987" s="103" t="s">
        <v>41</v>
      </c>
      <c r="C987" s="104" t="str">
        <f t="shared" si="147"/>
        <v>×</v>
      </c>
      <c r="D987" s="104" t="str">
        <f t="shared" si="147"/>
        <v>○</v>
      </c>
      <c r="E987" s="104" t="str">
        <f t="shared" si="147"/>
        <v>×</v>
      </c>
      <c r="F987" s="104" t="str">
        <f t="shared" si="147"/>
        <v>×</v>
      </c>
      <c r="G987" s="103" t="s">
        <v>13</v>
      </c>
      <c r="H987" s="103" t="s">
        <v>32</v>
      </c>
      <c r="I987" s="103" t="s">
        <v>1430</v>
      </c>
      <c r="J987" s="105"/>
      <c r="K987" s="103" t="s">
        <v>34</v>
      </c>
      <c r="L987" s="105"/>
      <c r="M987" s="110" t="str">
        <f t="shared" si="148"/>
        <v/>
      </c>
      <c r="N987" s="110" t="str">
        <f t="shared" si="148"/>
        <v/>
      </c>
      <c r="O987" s="110" t="str">
        <f t="shared" si="148"/>
        <v/>
      </c>
      <c r="P987" s="110" t="str">
        <f t="shared" si="148"/>
        <v/>
      </c>
      <c r="Q987" s="110" t="str">
        <f t="shared" si="148"/>
        <v/>
      </c>
      <c r="R987" s="105" t="str">
        <f t="shared" si="148"/>
        <v/>
      </c>
      <c r="S987" s="105"/>
      <c r="T987" s="103" t="s">
        <v>35</v>
      </c>
      <c r="U987" s="103" t="s">
        <v>1047</v>
      </c>
      <c r="V987" s="103" t="s">
        <v>1431</v>
      </c>
    </row>
    <row r="988" spans="1:22" ht="13.5">
      <c r="A988" s="102">
        <v>45625.749938587964</v>
      </c>
      <c r="B988" s="103" t="s">
        <v>239</v>
      </c>
      <c r="C988" s="104" t="str">
        <f t="shared" si="147"/>
        <v>×</v>
      </c>
      <c r="D988" s="104" t="str">
        <f t="shared" si="147"/>
        <v>○</v>
      </c>
      <c r="E988" s="104" t="str">
        <f t="shared" si="147"/>
        <v>×</v>
      </c>
      <c r="F988" s="104" t="str">
        <f t="shared" si="147"/>
        <v>×</v>
      </c>
      <c r="G988" s="103" t="s">
        <v>13</v>
      </c>
      <c r="H988" s="103" t="s">
        <v>27</v>
      </c>
      <c r="I988" s="103" t="s">
        <v>240</v>
      </c>
      <c r="J988" s="105"/>
      <c r="K988" s="103" t="s">
        <v>34</v>
      </c>
      <c r="L988" s="105"/>
      <c r="M988" s="110" t="str">
        <f t="shared" si="148"/>
        <v/>
      </c>
      <c r="N988" s="110" t="str">
        <f t="shared" si="148"/>
        <v/>
      </c>
      <c r="O988" s="110" t="str">
        <f t="shared" si="148"/>
        <v/>
      </c>
      <c r="P988" s="110" t="str">
        <f t="shared" si="148"/>
        <v/>
      </c>
      <c r="Q988" s="110" t="str">
        <f t="shared" si="148"/>
        <v/>
      </c>
      <c r="R988" s="105" t="str">
        <f t="shared" si="148"/>
        <v/>
      </c>
      <c r="S988" s="105"/>
      <c r="T988" s="103" t="s">
        <v>30</v>
      </c>
      <c r="U988" s="103" t="s">
        <v>241</v>
      </c>
      <c r="V988" s="103" t="s">
        <v>242</v>
      </c>
    </row>
    <row r="989" spans="1:22" ht="13.5">
      <c r="A989" s="102">
        <v>45628.636961296295</v>
      </c>
      <c r="B989" s="103" t="s">
        <v>315</v>
      </c>
      <c r="C989" s="104" t="str">
        <f t="shared" si="147"/>
        <v>×</v>
      </c>
      <c r="D989" s="104" t="str">
        <f t="shared" si="147"/>
        <v>○</v>
      </c>
      <c r="E989" s="104" t="str">
        <f t="shared" si="147"/>
        <v>×</v>
      </c>
      <c r="F989" s="104" t="str">
        <f t="shared" si="147"/>
        <v>×</v>
      </c>
      <c r="G989" s="103" t="s">
        <v>20</v>
      </c>
      <c r="H989" s="105"/>
      <c r="I989" s="105"/>
      <c r="J989" s="103" t="s">
        <v>38</v>
      </c>
      <c r="K989" s="103" t="s">
        <v>16</v>
      </c>
      <c r="L989" s="103" t="s">
        <v>88</v>
      </c>
      <c r="M989" s="108" t="str">
        <f t="shared" si="148"/>
        <v/>
      </c>
      <c r="N989" s="108" t="str">
        <f t="shared" si="148"/>
        <v>○</v>
      </c>
      <c r="O989" s="108" t="str">
        <f t="shared" si="148"/>
        <v/>
      </c>
      <c r="P989" s="108" t="str">
        <f t="shared" si="148"/>
        <v/>
      </c>
      <c r="Q989" s="108" t="str">
        <f t="shared" si="148"/>
        <v>○</v>
      </c>
      <c r="R989" s="103" t="str">
        <f t="shared" si="148"/>
        <v/>
      </c>
      <c r="S989" s="103" t="s">
        <v>927</v>
      </c>
      <c r="T989" s="103" t="s">
        <v>30</v>
      </c>
      <c r="U989" s="103" t="s">
        <v>928</v>
      </c>
      <c r="V989" s="103" t="s">
        <v>929</v>
      </c>
    </row>
    <row r="990" spans="1:22" ht="13.5">
      <c r="A990" s="102">
        <v>45630.660339675931</v>
      </c>
      <c r="B990" s="103" t="s">
        <v>64</v>
      </c>
      <c r="C990" s="104" t="str">
        <f t="shared" si="147"/>
        <v>○</v>
      </c>
      <c r="D990" s="104" t="str">
        <f t="shared" si="147"/>
        <v>○</v>
      </c>
      <c r="E990" s="104" t="str">
        <f t="shared" si="147"/>
        <v>×</v>
      </c>
      <c r="F990" s="104" t="str">
        <f t="shared" si="147"/>
        <v>×</v>
      </c>
      <c r="G990" s="103" t="s">
        <v>13</v>
      </c>
      <c r="H990" s="103" t="s">
        <v>27</v>
      </c>
      <c r="I990" s="103" t="s">
        <v>85</v>
      </c>
      <c r="J990" s="105"/>
      <c r="K990" s="103" t="s">
        <v>34</v>
      </c>
      <c r="L990" s="105"/>
      <c r="M990" s="110" t="str">
        <f t="shared" si="148"/>
        <v/>
      </c>
      <c r="N990" s="110" t="str">
        <f t="shared" si="148"/>
        <v/>
      </c>
      <c r="O990" s="110" t="str">
        <f t="shared" si="148"/>
        <v/>
      </c>
      <c r="P990" s="110" t="str">
        <f t="shared" si="148"/>
        <v/>
      </c>
      <c r="Q990" s="110" t="str">
        <f t="shared" si="148"/>
        <v/>
      </c>
      <c r="R990" s="105" t="str">
        <f t="shared" si="148"/>
        <v/>
      </c>
      <c r="S990" s="105"/>
      <c r="T990" s="103" t="s">
        <v>30</v>
      </c>
      <c r="U990" s="103" t="s">
        <v>1632</v>
      </c>
      <c r="V990" s="103" t="s">
        <v>1633</v>
      </c>
    </row>
    <row r="991" spans="1:22" ht="13.5">
      <c r="A991" s="102">
        <v>45628.83350335648</v>
      </c>
      <c r="B991" s="103" t="s">
        <v>41</v>
      </c>
      <c r="C991" s="104" t="str">
        <f t="shared" si="147"/>
        <v>×</v>
      </c>
      <c r="D991" s="104" t="str">
        <f t="shared" si="147"/>
        <v>○</v>
      </c>
      <c r="E991" s="104" t="str">
        <f t="shared" si="147"/>
        <v>×</v>
      </c>
      <c r="F991" s="104" t="str">
        <f t="shared" si="147"/>
        <v>×</v>
      </c>
      <c r="G991" s="103" t="s">
        <v>20</v>
      </c>
      <c r="H991" s="105"/>
      <c r="I991" s="105"/>
      <c r="J991" s="103" t="s">
        <v>38</v>
      </c>
      <c r="K991" s="103" t="s">
        <v>16</v>
      </c>
      <c r="L991" s="103" t="s">
        <v>39</v>
      </c>
      <c r="M991" s="108" t="str">
        <f t="shared" si="148"/>
        <v/>
      </c>
      <c r="N991" s="108" t="str">
        <f t="shared" si="148"/>
        <v>○</v>
      </c>
      <c r="O991" s="108" t="str">
        <f t="shared" si="148"/>
        <v/>
      </c>
      <c r="P991" s="108" t="str">
        <f t="shared" si="148"/>
        <v/>
      </c>
      <c r="Q991" s="108" t="str">
        <f t="shared" si="148"/>
        <v/>
      </c>
      <c r="R991" s="103" t="str">
        <f t="shared" si="148"/>
        <v/>
      </c>
      <c r="S991" s="105"/>
      <c r="T991" s="103" t="s">
        <v>24</v>
      </c>
      <c r="U991" s="103" t="s">
        <v>1119</v>
      </c>
      <c r="V991" s="103" t="s">
        <v>1120</v>
      </c>
    </row>
    <row r="992" spans="1:22" ht="13.5">
      <c r="A992" s="102">
        <v>45629.638523842594</v>
      </c>
      <c r="B992" s="103" t="s">
        <v>1075</v>
      </c>
      <c r="C992" s="104" t="str">
        <f t="shared" si="147"/>
        <v>×</v>
      </c>
      <c r="D992" s="104" t="str">
        <f t="shared" si="147"/>
        <v>○</v>
      </c>
      <c r="E992" s="104" t="str">
        <f t="shared" si="147"/>
        <v>×</v>
      </c>
      <c r="F992" s="104" t="str">
        <f t="shared" si="147"/>
        <v>×</v>
      </c>
      <c r="G992" s="103" t="s">
        <v>13</v>
      </c>
      <c r="H992" s="103" t="s">
        <v>27</v>
      </c>
      <c r="I992" s="103" t="s">
        <v>1396</v>
      </c>
      <c r="J992" s="105"/>
      <c r="K992" s="103" t="s">
        <v>34</v>
      </c>
      <c r="L992" s="105"/>
      <c r="M992" s="110" t="str">
        <f t="shared" ref="M992:R1001" si="149">IF(ISERROR(SEARCH(M$1,$L992)),"","○")</f>
        <v/>
      </c>
      <c r="N992" s="110" t="str">
        <f t="shared" si="149"/>
        <v/>
      </c>
      <c r="O992" s="110" t="str">
        <f t="shared" si="149"/>
        <v/>
      </c>
      <c r="P992" s="110" t="str">
        <f t="shared" si="149"/>
        <v/>
      </c>
      <c r="Q992" s="110" t="str">
        <f t="shared" si="149"/>
        <v/>
      </c>
      <c r="R992" s="105" t="str">
        <f t="shared" si="149"/>
        <v/>
      </c>
      <c r="S992" s="105"/>
      <c r="T992" s="103" t="s">
        <v>30</v>
      </c>
      <c r="U992" s="103" t="s">
        <v>1397</v>
      </c>
      <c r="V992" s="103" t="s">
        <v>1398</v>
      </c>
    </row>
    <row r="993" spans="1:22" ht="13.5">
      <c r="A993" s="102">
        <v>45627.582598865745</v>
      </c>
      <c r="B993" s="103" t="s">
        <v>84</v>
      </c>
      <c r="C993" s="104" t="str">
        <f t="shared" si="147"/>
        <v>×</v>
      </c>
      <c r="D993" s="104" t="str">
        <f t="shared" si="147"/>
        <v>×</v>
      </c>
      <c r="E993" s="104" t="str">
        <f t="shared" si="147"/>
        <v>○</v>
      </c>
      <c r="F993" s="104" t="str">
        <f t="shared" si="147"/>
        <v>×</v>
      </c>
      <c r="G993" s="103" t="s">
        <v>20</v>
      </c>
      <c r="H993" s="105"/>
      <c r="I993" s="105"/>
      <c r="J993" s="103" t="s">
        <v>58</v>
      </c>
      <c r="K993" s="103" t="s">
        <v>16</v>
      </c>
      <c r="L993" s="103" t="s">
        <v>59</v>
      </c>
      <c r="M993" s="108" t="str">
        <f t="shared" si="149"/>
        <v/>
      </c>
      <c r="N993" s="108" t="str">
        <f t="shared" si="149"/>
        <v/>
      </c>
      <c r="O993" s="108" t="str">
        <f t="shared" si="149"/>
        <v/>
      </c>
      <c r="P993" s="108" t="str">
        <f t="shared" si="149"/>
        <v>○</v>
      </c>
      <c r="Q993" s="108" t="str">
        <f t="shared" si="149"/>
        <v/>
      </c>
      <c r="R993" s="103" t="str">
        <f t="shared" si="149"/>
        <v/>
      </c>
      <c r="S993" s="103" t="s">
        <v>698</v>
      </c>
      <c r="T993" s="103" t="s">
        <v>24</v>
      </c>
      <c r="U993" s="103" t="s">
        <v>699</v>
      </c>
      <c r="V993" s="103" t="s">
        <v>700</v>
      </c>
    </row>
    <row r="994" spans="1:22" ht="13.5">
      <c r="A994" s="102">
        <v>45634.692731712959</v>
      </c>
      <c r="B994" s="103" t="s">
        <v>181</v>
      </c>
      <c r="C994" s="104" t="str">
        <f t="shared" si="147"/>
        <v>×</v>
      </c>
      <c r="D994" s="104" t="str">
        <f t="shared" si="147"/>
        <v>○</v>
      </c>
      <c r="E994" s="104" t="str">
        <f t="shared" si="147"/>
        <v>×</v>
      </c>
      <c r="F994" s="104" t="str">
        <f t="shared" si="147"/>
        <v>×</v>
      </c>
      <c r="G994" s="103" t="s">
        <v>13</v>
      </c>
      <c r="H994" s="103" t="s">
        <v>27</v>
      </c>
      <c r="I994" s="103" t="s">
        <v>1934</v>
      </c>
      <c r="J994" s="105"/>
      <c r="K994" s="103" t="s">
        <v>34</v>
      </c>
      <c r="L994" s="105"/>
      <c r="M994" s="110" t="str">
        <f t="shared" si="149"/>
        <v/>
      </c>
      <c r="N994" s="110" t="str">
        <f t="shared" si="149"/>
        <v/>
      </c>
      <c r="O994" s="110" t="str">
        <f t="shared" si="149"/>
        <v/>
      </c>
      <c r="P994" s="110" t="str">
        <f t="shared" si="149"/>
        <v/>
      </c>
      <c r="Q994" s="110" t="str">
        <f t="shared" si="149"/>
        <v/>
      </c>
      <c r="R994" s="105" t="str">
        <f t="shared" si="149"/>
        <v/>
      </c>
      <c r="S994" s="105"/>
      <c r="T994" s="103" t="s">
        <v>35</v>
      </c>
      <c r="U994" s="103" t="s">
        <v>1935</v>
      </c>
      <c r="V994" s="105"/>
    </row>
    <row r="995" spans="1:22" ht="13.5">
      <c r="A995" s="102">
        <v>45630.906935127314</v>
      </c>
      <c r="B995" s="103" t="s">
        <v>199</v>
      </c>
      <c r="C995" s="104" t="str">
        <f t="shared" si="147"/>
        <v>×</v>
      </c>
      <c r="D995" s="104" t="str">
        <f t="shared" si="147"/>
        <v>○</v>
      </c>
      <c r="E995" s="104" t="str">
        <f t="shared" si="147"/>
        <v>×</v>
      </c>
      <c r="F995" s="104" t="str">
        <f t="shared" si="147"/>
        <v>×</v>
      </c>
      <c r="G995" s="103" t="s">
        <v>20</v>
      </c>
      <c r="H995" s="105"/>
      <c r="I995" s="105"/>
      <c r="J995" s="103" t="s">
        <v>58</v>
      </c>
      <c r="K995" s="103" t="s">
        <v>16</v>
      </c>
      <c r="L995" s="103" t="s">
        <v>39</v>
      </c>
      <c r="M995" s="108" t="str">
        <f t="shared" si="149"/>
        <v/>
      </c>
      <c r="N995" s="108" t="str">
        <f t="shared" si="149"/>
        <v>○</v>
      </c>
      <c r="O995" s="108" t="str">
        <f t="shared" si="149"/>
        <v/>
      </c>
      <c r="P995" s="108" t="str">
        <f t="shared" si="149"/>
        <v/>
      </c>
      <c r="Q995" s="108" t="str">
        <f t="shared" si="149"/>
        <v/>
      </c>
      <c r="R995" s="103" t="str">
        <f t="shared" si="149"/>
        <v/>
      </c>
      <c r="S995" s="105"/>
      <c r="T995" s="103" t="s">
        <v>1700</v>
      </c>
      <c r="U995" s="103" t="s">
        <v>1701</v>
      </c>
      <c r="V995" s="103" t="s">
        <v>1702</v>
      </c>
    </row>
    <row r="996" spans="1:22" ht="13.5">
      <c r="A996" s="102">
        <v>45625.864295208332</v>
      </c>
      <c r="B996" s="103" t="s">
        <v>49</v>
      </c>
      <c r="C996" s="104" t="str">
        <f t="shared" si="147"/>
        <v>×</v>
      </c>
      <c r="D996" s="104" t="str">
        <f t="shared" si="147"/>
        <v>○</v>
      </c>
      <c r="E996" s="104" t="str">
        <f t="shared" si="147"/>
        <v>×</v>
      </c>
      <c r="F996" s="104" t="str">
        <f t="shared" si="147"/>
        <v>×</v>
      </c>
      <c r="G996" s="103" t="s">
        <v>20</v>
      </c>
      <c r="H996" s="105"/>
      <c r="I996" s="105"/>
      <c r="J996" s="103" t="s">
        <v>38</v>
      </c>
      <c r="K996" s="103" t="s">
        <v>16</v>
      </c>
      <c r="L996" s="103" t="s">
        <v>88</v>
      </c>
      <c r="M996" s="108" t="str">
        <f t="shared" si="149"/>
        <v/>
      </c>
      <c r="N996" s="108" t="str">
        <f t="shared" si="149"/>
        <v>○</v>
      </c>
      <c r="O996" s="108" t="str">
        <f t="shared" si="149"/>
        <v/>
      </c>
      <c r="P996" s="108" t="str">
        <f t="shared" si="149"/>
        <v/>
      </c>
      <c r="Q996" s="108" t="str">
        <f t="shared" si="149"/>
        <v>○</v>
      </c>
      <c r="R996" s="103" t="str">
        <f t="shared" si="149"/>
        <v/>
      </c>
      <c r="S996" s="103" t="s">
        <v>326</v>
      </c>
      <c r="T996" s="103" t="s">
        <v>327</v>
      </c>
      <c r="U996" s="103" t="s">
        <v>328</v>
      </c>
      <c r="V996" s="103" t="s">
        <v>329</v>
      </c>
    </row>
    <row r="997" spans="1:22" ht="13.5">
      <c r="A997" s="102">
        <v>45628.671768206019</v>
      </c>
      <c r="B997" s="103" t="s">
        <v>217</v>
      </c>
      <c r="C997" s="104" t="str">
        <f t="shared" si="147"/>
        <v>○</v>
      </c>
      <c r="D997" s="104" t="str">
        <f t="shared" si="147"/>
        <v>○</v>
      </c>
      <c r="E997" s="104" t="str">
        <f t="shared" si="147"/>
        <v>×</v>
      </c>
      <c r="F997" s="104" t="str">
        <f t="shared" si="147"/>
        <v>×</v>
      </c>
      <c r="G997" s="103" t="s">
        <v>13</v>
      </c>
      <c r="H997" s="103" t="s">
        <v>14</v>
      </c>
      <c r="I997" s="103" t="s">
        <v>949</v>
      </c>
      <c r="J997" s="105"/>
      <c r="K997" s="103" t="s">
        <v>16</v>
      </c>
      <c r="L997" s="103" t="s">
        <v>897</v>
      </c>
      <c r="M997" s="108" t="str">
        <f t="shared" si="149"/>
        <v/>
      </c>
      <c r="N997" s="108" t="str">
        <f t="shared" si="149"/>
        <v/>
      </c>
      <c r="O997" s="108" t="str">
        <f t="shared" si="149"/>
        <v/>
      </c>
      <c r="P997" s="108" t="str">
        <f t="shared" si="149"/>
        <v/>
      </c>
      <c r="Q997" s="108" t="str">
        <f t="shared" si="149"/>
        <v/>
      </c>
      <c r="R997" s="103" t="str">
        <f t="shared" si="149"/>
        <v/>
      </c>
      <c r="S997" s="105"/>
      <c r="T997" s="103" t="s">
        <v>30</v>
      </c>
      <c r="U997" s="103" t="s">
        <v>950</v>
      </c>
      <c r="V997" s="103" t="s">
        <v>951</v>
      </c>
    </row>
    <row r="998" spans="1:22" ht="13.5">
      <c r="A998" s="102">
        <v>45628.905126469908</v>
      </c>
      <c r="B998" s="103" t="s">
        <v>1233</v>
      </c>
      <c r="C998" s="104" t="str">
        <f t="shared" si="147"/>
        <v>×</v>
      </c>
      <c r="D998" s="104" t="str">
        <f t="shared" si="147"/>
        <v>○</v>
      </c>
      <c r="E998" s="104" t="str">
        <f t="shared" si="147"/>
        <v>○</v>
      </c>
      <c r="F998" s="104" t="str">
        <f t="shared" si="147"/>
        <v>×</v>
      </c>
      <c r="G998" s="103" t="s">
        <v>20</v>
      </c>
      <c r="H998" s="105"/>
      <c r="I998" s="105"/>
      <c r="J998" s="103" t="s">
        <v>58</v>
      </c>
      <c r="K998" s="103" t="s">
        <v>16</v>
      </c>
      <c r="L998" s="103" t="s">
        <v>107</v>
      </c>
      <c r="M998" s="108" t="str">
        <f t="shared" si="149"/>
        <v/>
      </c>
      <c r="N998" s="108" t="str">
        <f t="shared" si="149"/>
        <v/>
      </c>
      <c r="O998" s="108" t="str">
        <f t="shared" si="149"/>
        <v>○</v>
      </c>
      <c r="P998" s="108" t="str">
        <f t="shared" si="149"/>
        <v/>
      </c>
      <c r="Q998" s="108" t="str">
        <f t="shared" si="149"/>
        <v/>
      </c>
      <c r="R998" s="103" t="str">
        <f t="shared" si="149"/>
        <v/>
      </c>
      <c r="S998" s="105"/>
      <c r="T998" s="103" t="s">
        <v>1234</v>
      </c>
      <c r="U998" s="103" t="s">
        <v>1235</v>
      </c>
      <c r="V998" s="105"/>
    </row>
    <row r="999" spans="1:22" ht="13.5">
      <c r="A999" s="102">
        <v>45628.824792650463</v>
      </c>
      <c r="B999" s="103" t="s">
        <v>12</v>
      </c>
      <c r="C999" s="104" t="str">
        <f t="shared" si="147"/>
        <v>○</v>
      </c>
      <c r="D999" s="104" t="str">
        <f t="shared" si="147"/>
        <v>○</v>
      </c>
      <c r="E999" s="104" t="str">
        <f t="shared" si="147"/>
        <v>×</v>
      </c>
      <c r="F999" s="104" t="str">
        <f t="shared" si="147"/>
        <v>×</v>
      </c>
      <c r="G999" s="103" t="s">
        <v>13</v>
      </c>
      <c r="H999" s="103" t="s">
        <v>14</v>
      </c>
      <c r="I999" s="103" t="s">
        <v>1103</v>
      </c>
      <c r="J999" s="105"/>
      <c r="K999" s="103" t="s">
        <v>34</v>
      </c>
      <c r="L999" s="105"/>
      <c r="M999" s="110" t="str">
        <f t="shared" si="149"/>
        <v/>
      </c>
      <c r="N999" s="110" t="str">
        <f t="shared" si="149"/>
        <v/>
      </c>
      <c r="O999" s="110" t="str">
        <f t="shared" si="149"/>
        <v/>
      </c>
      <c r="P999" s="110" t="str">
        <f t="shared" si="149"/>
        <v/>
      </c>
      <c r="Q999" s="110" t="str">
        <f t="shared" si="149"/>
        <v/>
      </c>
      <c r="R999" s="105" t="str">
        <f t="shared" si="149"/>
        <v/>
      </c>
      <c r="S999" s="105"/>
      <c r="T999" s="103" t="s">
        <v>30</v>
      </c>
      <c r="U999" s="103" t="s">
        <v>1104</v>
      </c>
      <c r="V999" s="103" t="s">
        <v>1105</v>
      </c>
    </row>
    <row r="1000" spans="1:22" ht="13.5">
      <c r="A1000" s="102">
        <v>45626.429075324078</v>
      </c>
      <c r="B1000" s="103" t="s">
        <v>164</v>
      </c>
      <c r="C1000" s="104" t="str">
        <f t="shared" si="147"/>
        <v>×</v>
      </c>
      <c r="D1000" s="104" t="str">
        <f t="shared" si="147"/>
        <v>○</v>
      </c>
      <c r="E1000" s="104" t="str">
        <f t="shared" si="147"/>
        <v>×</v>
      </c>
      <c r="F1000" s="104" t="str">
        <f t="shared" si="147"/>
        <v>×</v>
      </c>
      <c r="G1000" s="103" t="s">
        <v>13</v>
      </c>
      <c r="H1000" s="103" t="s">
        <v>27</v>
      </c>
      <c r="I1000" s="103" t="s">
        <v>522</v>
      </c>
      <c r="J1000" s="105"/>
      <c r="K1000" s="103" t="s">
        <v>34</v>
      </c>
      <c r="L1000" s="105"/>
      <c r="M1000" s="110" t="str">
        <f t="shared" si="149"/>
        <v/>
      </c>
      <c r="N1000" s="110" t="str">
        <f t="shared" si="149"/>
        <v/>
      </c>
      <c r="O1000" s="110" t="str">
        <f t="shared" si="149"/>
        <v/>
      </c>
      <c r="P1000" s="110" t="str">
        <f t="shared" si="149"/>
        <v/>
      </c>
      <c r="Q1000" s="110" t="str">
        <f t="shared" si="149"/>
        <v/>
      </c>
      <c r="R1000" s="105" t="str">
        <f t="shared" si="149"/>
        <v/>
      </c>
      <c r="S1000" s="105"/>
      <c r="T1000" s="103" t="s">
        <v>35</v>
      </c>
      <c r="U1000" s="103" t="s">
        <v>523</v>
      </c>
      <c r="V1000" s="105"/>
    </row>
    <row r="1001" spans="1:22" ht="13.5">
      <c r="A1001" s="102">
        <v>45626.931666863427</v>
      </c>
      <c r="B1001" s="103" t="s">
        <v>140</v>
      </c>
      <c r="C1001" s="104" t="str">
        <f t="shared" si="147"/>
        <v>×</v>
      </c>
      <c r="D1001" s="104" t="str">
        <f t="shared" si="147"/>
        <v>○</v>
      </c>
      <c r="E1001" s="104" t="str">
        <f t="shared" si="147"/>
        <v>○</v>
      </c>
      <c r="F1001" s="104" t="str">
        <f t="shared" si="147"/>
        <v>×</v>
      </c>
      <c r="G1001" s="103" t="s">
        <v>20</v>
      </c>
      <c r="H1001" s="105"/>
      <c r="I1001" s="105"/>
      <c r="J1001" s="103" t="s">
        <v>58</v>
      </c>
      <c r="K1001" s="103" t="s">
        <v>16</v>
      </c>
      <c r="L1001" s="103" t="s">
        <v>279</v>
      </c>
      <c r="M1001" s="108" t="str">
        <f t="shared" si="149"/>
        <v/>
      </c>
      <c r="N1001" s="108" t="str">
        <f t="shared" si="149"/>
        <v>○</v>
      </c>
      <c r="O1001" s="108" t="str">
        <f t="shared" si="149"/>
        <v>○</v>
      </c>
      <c r="P1001" s="108" t="str">
        <f t="shared" si="149"/>
        <v/>
      </c>
      <c r="Q1001" s="108" t="str">
        <f t="shared" si="149"/>
        <v/>
      </c>
      <c r="R1001" s="103" t="str">
        <f t="shared" si="149"/>
        <v/>
      </c>
      <c r="S1001" s="105"/>
      <c r="T1001" s="103" t="s">
        <v>642</v>
      </c>
      <c r="U1001" s="103" t="s">
        <v>643</v>
      </c>
      <c r="V1001" s="103" t="s">
        <v>644</v>
      </c>
    </row>
    <row r="1002" spans="1:22" ht="13.5">
      <c r="A1002" s="102">
        <v>45633.805122152778</v>
      </c>
      <c r="B1002" s="103" t="s">
        <v>181</v>
      </c>
      <c r="C1002" s="104" t="str">
        <f t="shared" ref="C1002:F1021" si="150">IF(ISERROR(FIND(C$1,$B1002)),"×","○")</f>
        <v>×</v>
      </c>
      <c r="D1002" s="104" t="str">
        <f t="shared" si="150"/>
        <v>○</v>
      </c>
      <c r="E1002" s="104" t="str">
        <f t="shared" si="150"/>
        <v>×</v>
      </c>
      <c r="F1002" s="104" t="str">
        <f t="shared" si="150"/>
        <v>×</v>
      </c>
      <c r="G1002" s="103" t="s">
        <v>20</v>
      </c>
      <c r="H1002" s="105"/>
      <c r="I1002" s="105"/>
      <c r="J1002" s="103" t="s">
        <v>1896</v>
      </c>
      <c r="K1002" s="103" t="s">
        <v>16</v>
      </c>
      <c r="L1002" s="103" t="s">
        <v>39</v>
      </c>
      <c r="M1002" s="108" t="str">
        <f t="shared" ref="M1002:R1011" si="151">IF(ISERROR(SEARCH(M$1,$L1002)),"","○")</f>
        <v/>
      </c>
      <c r="N1002" s="108" t="str">
        <f t="shared" si="151"/>
        <v>○</v>
      </c>
      <c r="O1002" s="108" t="str">
        <f t="shared" si="151"/>
        <v/>
      </c>
      <c r="P1002" s="108" t="str">
        <f t="shared" si="151"/>
        <v/>
      </c>
      <c r="Q1002" s="108" t="str">
        <f t="shared" si="151"/>
        <v/>
      </c>
      <c r="R1002" s="103" t="str">
        <f t="shared" si="151"/>
        <v/>
      </c>
      <c r="S1002" s="103" t="s">
        <v>1897</v>
      </c>
      <c r="T1002" s="103" t="s">
        <v>24</v>
      </c>
      <c r="U1002" s="103" t="s">
        <v>1898</v>
      </c>
      <c r="V1002" s="103" t="s">
        <v>1899</v>
      </c>
    </row>
    <row r="1003" spans="1:22" ht="13.5">
      <c r="A1003" s="102">
        <v>45629.863076157402</v>
      </c>
      <c r="B1003" s="103" t="s">
        <v>1501</v>
      </c>
      <c r="C1003" s="104" t="str">
        <f t="shared" si="150"/>
        <v>×</v>
      </c>
      <c r="D1003" s="104" t="str">
        <f t="shared" si="150"/>
        <v>○</v>
      </c>
      <c r="E1003" s="104" t="str">
        <f t="shared" si="150"/>
        <v>○</v>
      </c>
      <c r="F1003" s="104" t="str">
        <f t="shared" si="150"/>
        <v>×</v>
      </c>
      <c r="G1003" s="103" t="s">
        <v>20</v>
      </c>
      <c r="H1003" s="105"/>
      <c r="I1003" s="105"/>
      <c r="J1003" s="103" t="s">
        <v>58</v>
      </c>
      <c r="K1003" s="103" t="s">
        <v>16</v>
      </c>
      <c r="L1003" s="103" t="s">
        <v>39</v>
      </c>
      <c r="M1003" s="108" t="str">
        <f t="shared" si="151"/>
        <v/>
      </c>
      <c r="N1003" s="108" t="str">
        <f t="shared" si="151"/>
        <v>○</v>
      </c>
      <c r="O1003" s="108" t="str">
        <f t="shared" si="151"/>
        <v/>
      </c>
      <c r="P1003" s="108" t="str">
        <f t="shared" si="151"/>
        <v/>
      </c>
      <c r="Q1003" s="108" t="str">
        <f t="shared" si="151"/>
        <v/>
      </c>
      <c r="R1003" s="103" t="str">
        <f t="shared" si="151"/>
        <v/>
      </c>
      <c r="S1003" s="105"/>
      <c r="T1003" s="103" t="s">
        <v>30</v>
      </c>
      <c r="U1003" s="103" t="s">
        <v>1502</v>
      </c>
      <c r="V1003" s="105"/>
    </row>
    <row r="1004" spans="1:22" ht="13.5">
      <c r="A1004" s="102">
        <v>45634.691952129629</v>
      </c>
      <c r="B1004" s="103" t="s">
        <v>93</v>
      </c>
      <c r="C1004" s="104" t="str">
        <f t="shared" si="150"/>
        <v>×</v>
      </c>
      <c r="D1004" s="104" t="str">
        <f t="shared" si="150"/>
        <v>×</v>
      </c>
      <c r="E1004" s="104" t="str">
        <f t="shared" si="150"/>
        <v>○</v>
      </c>
      <c r="F1004" s="104" t="str">
        <f t="shared" si="150"/>
        <v>×</v>
      </c>
      <c r="G1004" s="103" t="s">
        <v>13</v>
      </c>
      <c r="H1004" s="103" t="s">
        <v>27</v>
      </c>
      <c r="I1004" s="103" t="s">
        <v>1931</v>
      </c>
      <c r="J1004" s="105"/>
      <c r="K1004" s="103" t="s">
        <v>34</v>
      </c>
      <c r="L1004" s="105"/>
      <c r="M1004" s="110" t="str">
        <f t="shared" si="151"/>
        <v/>
      </c>
      <c r="N1004" s="110" t="str">
        <f t="shared" si="151"/>
        <v/>
      </c>
      <c r="O1004" s="110" t="str">
        <f t="shared" si="151"/>
        <v/>
      </c>
      <c r="P1004" s="110" t="str">
        <f t="shared" si="151"/>
        <v/>
      </c>
      <c r="Q1004" s="110" t="str">
        <f t="shared" si="151"/>
        <v/>
      </c>
      <c r="R1004" s="105" t="str">
        <f t="shared" si="151"/>
        <v/>
      </c>
      <c r="S1004" s="105"/>
      <c r="T1004" s="103" t="s">
        <v>35</v>
      </c>
      <c r="U1004" s="103" t="s">
        <v>1932</v>
      </c>
      <c r="V1004" s="103" t="s">
        <v>1933</v>
      </c>
    </row>
    <row r="1005" spans="1:22" ht="13.5">
      <c r="A1005" s="102">
        <v>45628.833619814817</v>
      </c>
      <c r="B1005" s="103" t="s">
        <v>185</v>
      </c>
      <c r="C1005" s="104" t="str">
        <f t="shared" si="150"/>
        <v>×</v>
      </c>
      <c r="D1005" s="104" t="str">
        <f t="shared" si="150"/>
        <v>○</v>
      </c>
      <c r="E1005" s="104" t="str">
        <f t="shared" si="150"/>
        <v>○</v>
      </c>
      <c r="F1005" s="104" t="str">
        <f t="shared" si="150"/>
        <v>×</v>
      </c>
      <c r="G1005" s="103" t="s">
        <v>13</v>
      </c>
      <c r="H1005" s="103" t="s">
        <v>27</v>
      </c>
      <c r="I1005" s="103" t="s">
        <v>1121</v>
      </c>
      <c r="J1005" s="105"/>
      <c r="K1005" s="103" t="s">
        <v>34</v>
      </c>
      <c r="L1005" s="105"/>
      <c r="M1005" s="110" t="str">
        <f t="shared" si="151"/>
        <v/>
      </c>
      <c r="N1005" s="110" t="str">
        <f t="shared" si="151"/>
        <v/>
      </c>
      <c r="O1005" s="110" t="str">
        <f t="shared" si="151"/>
        <v/>
      </c>
      <c r="P1005" s="110" t="str">
        <f t="shared" si="151"/>
        <v/>
      </c>
      <c r="Q1005" s="110" t="str">
        <f t="shared" si="151"/>
        <v/>
      </c>
      <c r="R1005" s="105" t="str">
        <f t="shared" si="151"/>
        <v/>
      </c>
      <c r="S1005" s="105"/>
      <c r="T1005" s="103" t="s">
        <v>35</v>
      </c>
      <c r="U1005" s="103" t="s">
        <v>1122</v>
      </c>
      <c r="V1005" s="105"/>
    </row>
    <row r="1006" spans="1:22" ht="13.5">
      <c r="A1006" s="102">
        <v>45635.169840393515</v>
      </c>
      <c r="B1006" s="103" t="s">
        <v>105</v>
      </c>
      <c r="C1006" s="104" t="str">
        <f t="shared" si="150"/>
        <v>×</v>
      </c>
      <c r="D1006" s="104" t="str">
        <f t="shared" si="150"/>
        <v>×</v>
      </c>
      <c r="E1006" s="104" t="str">
        <f t="shared" si="150"/>
        <v>○</v>
      </c>
      <c r="F1006" s="104" t="str">
        <f t="shared" si="150"/>
        <v>×</v>
      </c>
      <c r="G1006" s="103" t="s">
        <v>13</v>
      </c>
      <c r="H1006" s="103" t="s">
        <v>32</v>
      </c>
      <c r="I1006" s="103" t="s">
        <v>1958</v>
      </c>
      <c r="J1006" s="105"/>
      <c r="K1006" s="103" t="s">
        <v>34</v>
      </c>
      <c r="L1006" s="105"/>
      <c r="M1006" s="110" t="str">
        <f t="shared" si="151"/>
        <v/>
      </c>
      <c r="N1006" s="110" t="str">
        <f t="shared" si="151"/>
        <v/>
      </c>
      <c r="O1006" s="110" t="str">
        <f t="shared" si="151"/>
        <v/>
      </c>
      <c r="P1006" s="110" t="str">
        <f t="shared" si="151"/>
        <v/>
      </c>
      <c r="Q1006" s="110" t="str">
        <f t="shared" si="151"/>
        <v/>
      </c>
      <c r="R1006" s="105" t="str">
        <f t="shared" si="151"/>
        <v/>
      </c>
      <c r="S1006" s="105"/>
      <c r="T1006" s="103" t="s">
        <v>24</v>
      </c>
      <c r="U1006" s="103" t="s">
        <v>1959</v>
      </c>
      <c r="V1006" s="103" t="s">
        <v>1960</v>
      </c>
    </row>
    <row r="1007" spans="1:22" ht="13.5">
      <c r="A1007" s="102">
        <v>45631.774628865736</v>
      </c>
      <c r="B1007" s="103" t="s">
        <v>41</v>
      </c>
      <c r="C1007" s="104" t="str">
        <f t="shared" si="150"/>
        <v>×</v>
      </c>
      <c r="D1007" s="104" t="str">
        <f t="shared" si="150"/>
        <v>○</v>
      </c>
      <c r="E1007" s="104" t="str">
        <f t="shared" si="150"/>
        <v>×</v>
      </c>
      <c r="F1007" s="104" t="str">
        <f t="shared" si="150"/>
        <v>×</v>
      </c>
      <c r="G1007" s="103" t="s">
        <v>20</v>
      </c>
      <c r="H1007" s="105"/>
      <c r="I1007" s="105"/>
      <c r="J1007" s="103" t="s">
        <v>21</v>
      </c>
      <c r="K1007" s="103" t="s">
        <v>16</v>
      </c>
      <c r="L1007" s="103" t="s">
        <v>68</v>
      </c>
      <c r="M1007" s="108" t="str">
        <f t="shared" si="151"/>
        <v/>
      </c>
      <c r="N1007" s="108" t="str">
        <f t="shared" si="151"/>
        <v/>
      </c>
      <c r="O1007" s="108" t="str">
        <f t="shared" si="151"/>
        <v/>
      </c>
      <c r="P1007" s="108" t="str">
        <f t="shared" si="151"/>
        <v/>
      </c>
      <c r="Q1007" s="108" t="str">
        <f t="shared" si="151"/>
        <v>○</v>
      </c>
      <c r="R1007" s="103" t="str">
        <f t="shared" si="151"/>
        <v/>
      </c>
      <c r="S1007" s="103" t="s">
        <v>1778</v>
      </c>
      <c r="T1007" s="103" t="s">
        <v>35</v>
      </c>
      <c r="U1007" s="103" t="s">
        <v>1779</v>
      </c>
      <c r="V1007" s="103" t="s">
        <v>1780</v>
      </c>
    </row>
    <row r="1008" spans="1:22" ht="13.5">
      <c r="A1008" s="102">
        <v>45628.75419201389</v>
      </c>
      <c r="B1008" s="103" t="s">
        <v>19</v>
      </c>
      <c r="C1008" s="104" t="str">
        <f t="shared" si="150"/>
        <v>×</v>
      </c>
      <c r="D1008" s="104" t="str">
        <f t="shared" si="150"/>
        <v>○</v>
      </c>
      <c r="E1008" s="104" t="str">
        <f t="shared" si="150"/>
        <v>×</v>
      </c>
      <c r="F1008" s="104" t="str">
        <f t="shared" si="150"/>
        <v>×</v>
      </c>
      <c r="G1008" s="103" t="s">
        <v>20</v>
      </c>
      <c r="H1008" s="105"/>
      <c r="I1008" s="105"/>
      <c r="J1008" s="103" t="s">
        <v>58</v>
      </c>
      <c r="K1008" s="103" t="s">
        <v>16</v>
      </c>
      <c r="L1008" s="103" t="s">
        <v>1022</v>
      </c>
      <c r="M1008" s="108" t="str">
        <f t="shared" si="151"/>
        <v/>
      </c>
      <c r="N1008" s="108" t="str">
        <f t="shared" si="151"/>
        <v/>
      </c>
      <c r="O1008" s="108" t="str">
        <f t="shared" si="151"/>
        <v/>
      </c>
      <c r="P1008" s="108" t="str">
        <f t="shared" si="151"/>
        <v>○</v>
      </c>
      <c r="Q1008" s="108" t="str">
        <f t="shared" si="151"/>
        <v/>
      </c>
      <c r="R1008" s="103" t="str">
        <f t="shared" si="151"/>
        <v/>
      </c>
      <c r="S1008" s="103" t="s">
        <v>1023</v>
      </c>
      <c r="T1008" s="103" t="s">
        <v>30</v>
      </c>
      <c r="U1008" s="103" t="s">
        <v>1024</v>
      </c>
      <c r="V1008" s="103" t="s">
        <v>1025</v>
      </c>
    </row>
    <row r="1009" spans="1:22" ht="13.5">
      <c r="A1009" s="102">
        <v>45631.279079097221</v>
      </c>
      <c r="B1009" s="103" t="s">
        <v>90</v>
      </c>
      <c r="C1009" s="104" t="str">
        <f t="shared" si="150"/>
        <v>×</v>
      </c>
      <c r="D1009" s="104" t="str">
        <f t="shared" si="150"/>
        <v>×</v>
      </c>
      <c r="E1009" s="104" t="str">
        <f t="shared" si="150"/>
        <v>○</v>
      </c>
      <c r="F1009" s="104" t="str">
        <f t="shared" si="150"/>
        <v>×</v>
      </c>
      <c r="G1009" s="103" t="s">
        <v>20</v>
      </c>
      <c r="H1009" s="105"/>
      <c r="I1009" s="105"/>
      <c r="J1009" s="103" t="s">
        <v>1739</v>
      </c>
      <c r="K1009" s="103" t="s">
        <v>16</v>
      </c>
      <c r="L1009" s="103" t="s">
        <v>59</v>
      </c>
      <c r="M1009" s="108" t="str">
        <f t="shared" si="151"/>
        <v/>
      </c>
      <c r="N1009" s="108" t="str">
        <f t="shared" si="151"/>
        <v/>
      </c>
      <c r="O1009" s="108" t="str">
        <f t="shared" si="151"/>
        <v/>
      </c>
      <c r="P1009" s="108" t="str">
        <f t="shared" si="151"/>
        <v>○</v>
      </c>
      <c r="Q1009" s="108" t="str">
        <f t="shared" si="151"/>
        <v/>
      </c>
      <c r="R1009" s="103" t="str">
        <f t="shared" si="151"/>
        <v/>
      </c>
      <c r="S1009" s="103" t="s">
        <v>1740</v>
      </c>
      <c r="T1009" s="103" t="s">
        <v>24</v>
      </c>
      <c r="U1009" s="103" t="s">
        <v>1741</v>
      </c>
      <c r="V1009" s="105"/>
    </row>
    <row r="1010" spans="1:22" ht="13.5">
      <c r="A1010" s="102">
        <v>45629.925773495372</v>
      </c>
      <c r="B1010" s="103" t="s">
        <v>93</v>
      </c>
      <c r="C1010" s="104" t="str">
        <f t="shared" si="150"/>
        <v>×</v>
      </c>
      <c r="D1010" s="104" t="str">
        <f t="shared" si="150"/>
        <v>×</v>
      </c>
      <c r="E1010" s="104" t="str">
        <f t="shared" si="150"/>
        <v>○</v>
      </c>
      <c r="F1010" s="104" t="str">
        <f t="shared" si="150"/>
        <v>×</v>
      </c>
      <c r="G1010" s="103" t="s">
        <v>20</v>
      </c>
      <c r="H1010" s="105"/>
      <c r="I1010" s="105"/>
      <c r="J1010" s="103" t="s">
        <v>1539</v>
      </c>
      <c r="K1010" s="103" t="s">
        <v>16</v>
      </c>
      <c r="L1010" s="103" t="s">
        <v>1540</v>
      </c>
      <c r="M1010" s="108" t="str">
        <f t="shared" si="151"/>
        <v>○</v>
      </c>
      <c r="N1010" s="108" t="str">
        <f t="shared" si="151"/>
        <v/>
      </c>
      <c r="O1010" s="108" t="str">
        <f t="shared" si="151"/>
        <v/>
      </c>
      <c r="P1010" s="108" t="str">
        <f t="shared" si="151"/>
        <v>○</v>
      </c>
      <c r="Q1010" s="108" t="str">
        <f t="shared" si="151"/>
        <v>○</v>
      </c>
      <c r="R1010" s="103" t="str">
        <f t="shared" si="151"/>
        <v/>
      </c>
      <c r="S1010" s="103" t="s">
        <v>1541</v>
      </c>
      <c r="T1010" s="103" t="s">
        <v>30</v>
      </c>
      <c r="U1010" s="103" t="s">
        <v>1542</v>
      </c>
      <c r="V1010" s="103" t="s">
        <v>1543</v>
      </c>
    </row>
    <row r="1011" spans="1:22" ht="13.5">
      <c r="A1011" s="102">
        <v>45628.822776099536</v>
      </c>
      <c r="B1011" s="103" t="s">
        <v>19</v>
      </c>
      <c r="C1011" s="104" t="str">
        <f t="shared" si="150"/>
        <v>×</v>
      </c>
      <c r="D1011" s="104" t="str">
        <f t="shared" si="150"/>
        <v>○</v>
      </c>
      <c r="E1011" s="104" t="str">
        <f t="shared" si="150"/>
        <v>×</v>
      </c>
      <c r="F1011" s="104" t="str">
        <f t="shared" si="150"/>
        <v>×</v>
      </c>
      <c r="G1011" s="103" t="s">
        <v>20</v>
      </c>
      <c r="H1011" s="105"/>
      <c r="I1011" s="105"/>
      <c r="J1011" s="103" t="s">
        <v>21</v>
      </c>
      <c r="K1011" s="103" t="s">
        <v>16</v>
      </c>
      <c r="L1011" s="103" t="s">
        <v>59</v>
      </c>
      <c r="M1011" s="108" t="str">
        <f t="shared" si="151"/>
        <v/>
      </c>
      <c r="N1011" s="108" t="str">
        <f t="shared" si="151"/>
        <v/>
      </c>
      <c r="O1011" s="108" t="str">
        <f t="shared" si="151"/>
        <v/>
      </c>
      <c r="P1011" s="108" t="str">
        <f t="shared" si="151"/>
        <v>○</v>
      </c>
      <c r="Q1011" s="108" t="str">
        <f t="shared" si="151"/>
        <v/>
      </c>
      <c r="R1011" s="103" t="str">
        <f t="shared" si="151"/>
        <v/>
      </c>
      <c r="S1011" s="103" t="s">
        <v>1097</v>
      </c>
      <c r="T1011" s="103" t="s">
        <v>24</v>
      </c>
      <c r="U1011" s="103" t="s">
        <v>1098</v>
      </c>
      <c r="V1011" s="103" t="s">
        <v>1099</v>
      </c>
    </row>
    <row r="1012" spans="1:22" ht="13.5">
      <c r="A1012" s="102">
        <v>45629.347704490741</v>
      </c>
      <c r="B1012" s="103" t="s">
        <v>19</v>
      </c>
      <c r="C1012" s="104" t="str">
        <f t="shared" si="150"/>
        <v>×</v>
      </c>
      <c r="D1012" s="104" t="str">
        <f t="shared" si="150"/>
        <v>○</v>
      </c>
      <c r="E1012" s="104" t="str">
        <f t="shared" si="150"/>
        <v>×</v>
      </c>
      <c r="F1012" s="104" t="str">
        <f t="shared" si="150"/>
        <v>×</v>
      </c>
      <c r="G1012" s="103" t="s">
        <v>20</v>
      </c>
      <c r="H1012" s="105"/>
      <c r="I1012" s="105"/>
      <c r="J1012" s="103" t="s">
        <v>58</v>
      </c>
      <c r="K1012" s="103" t="s">
        <v>16</v>
      </c>
      <c r="L1012" s="103" t="s">
        <v>39</v>
      </c>
      <c r="M1012" s="108" t="str">
        <f t="shared" ref="M1012:R1021" si="152">IF(ISERROR(SEARCH(M$1,$L1012)),"","○")</f>
        <v/>
      </c>
      <c r="N1012" s="108" t="str">
        <f t="shared" si="152"/>
        <v>○</v>
      </c>
      <c r="O1012" s="108" t="str">
        <f t="shared" si="152"/>
        <v/>
      </c>
      <c r="P1012" s="108" t="str">
        <f t="shared" si="152"/>
        <v/>
      </c>
      <c r="Q1012" s="108" t="str">
        <f t="shared" si="152"/>
        <v/>
      </c>
      <c r="R1012" s="103" t="str">
        <f t="shared" si="152"/>
        <v/>
      </c>
      <c r="S1012" s="103" t="s">
        <v>1361</v>
      </c>
      <c r="T1012" s="103" t="s">
        <v>30</v>
      </c>
      <c r="U1012" s="103" t="s">
        <v>1362</v>
      </c>
      <c r="V1012" s="103" t="s">
        <v>1363</v>
      </c>
    </row>
    <row r="1013" spans="1:22" ht="13.5">
      <c r="A1013" s="102">
        <v>45628.876548449072</v>
      </c>
      <c r="B1013" s="103" t="s">
        <v>181</v>
      </c>
      <c r="C1013" s="104" t="str">
        <f t="shared" si="150"/>
        <v>×</v>
      </c>
      <c r="D1013" s="104" t="str">
        <f t="shared" si="150"/>
        <v>○</v>
      </c>
      <c r="E1013" s="104" t="str">
        <f t="shared" si="150"/>
        <v>×</v>
      </c>
      <c r="F1013" s="104" t="str">
        <f t="shared" si="150"/>
        <v>×</v>
      </c>
      <c r="G1013" s="103" t="s">
        <v>20</v>
      </c>
      <c r="H1013" s="105"/>
      <c r="I1013" s="105"/>
      <c r="J1013" s="103" t="s">
        <v>58</v>
      </c>
      <c r="K1013" s="103" t="s">
        <v>16</v>
      </c>
      <c r="L1013" s="103" t="s">
        <v>1178</v>
      </c>
      <c r="M1013" s="108" t="str">
        <f t="shared" si="152"/>
        <v/>
      </c>
      <c r="N1013" s="108" t="str">
        <f t="shared" si="152"/>
        <v/>
      </c>
      <c r="O1013" s="108" t="str">
        <f t="shared" si="152"/>
        <v/>
      </c>
      <c r="P1013" s="108" t="str">
        <f t="shared" si="152"/>
        <v/>
      </c>
      <c r="Q1013" s="108" t="str">
        <f t="shared" si="152"/>
        <v/>
      </c>
      <c r="R1013" s="103" t="str">
        <f t="shared" si="152"/>
        <v/>
      </c>
      <c r="S1013" s="105"/>
      <c r="T1013" s="103" t="s">
        <v>24</v>
      </c>
      <c r="U1013" s="103" t="s">
        <v>1179</v>
      </c>
      <c r="V1013" s="103" t="s">
        <v>1180</v>
      </c>
    </row>
    <row r="1014" spans="1:22" ht="13.5">
      <c r="A1014" s="102">
        <v>45628.758518784722</v>
      </c>
      <c r="B1014" s="103" t="s">
        <v>57</v>
      </c>
      <c r="C1014" s="104" t="str">
        <f t="shared" si="150"/>
        <v>×</v>
      </c>
      <c r="D1014" s="104" t="str">
        <f t="shared" si="150"/>
        <v>○</v>
      </c>
      <c r="E1014" s="104" t="str">
        <f t="shared" si="150"/>
        <v>×</v>
      </c>
      <c r="F1014" s="104" t="str">
        <f t="shared" si="150"/>
        <v>×</v>
      </c>
      <c r="G1014" s="103" t="s">
        <v>20</v>
      </c>
      <c r="H1014" s="105"/>
      <c r="I1014" s="105"/>
      <c r="J1014" s="103" t="s">
        <v>21</v>
      </c>
      <c r="K1014" s="103" t="s">
        <v>16</v>
      </c>
      <c r="L1014" s="103" t="s">
        <v>88</v>
      </c>
      <c r="M1014" s="108" t="str">
        <f t="shared" si="152"/>
        <v/>
      </c>
      <c r="N1014" s="108" t="str">
        <f t="shared" si="152"/>
        <v>○</v>
      </c>
      <c r="O1014" s="108" t="str">
        <f t="shared" si="152"/>
        <v/>
      </c>
      <c r="P1014" s="108" t="str">
        <f t="shared" si="152"/>
        <v/>
      </c>
      <c r="Q1014" s="108" t="str">
        <f t="shared" si="152"/>
        <v>○</v>
      </c>
      <c r="R1014" s="103" t="str">
        <f t="shared" si="152"/>
        <v/>
      </c>
      <c r="S1014" s="105"/>
      <c r="T1014" s="103" t="s">
        <v>24</v>
      </c>
      <c r="U1014" s="103" t="s">
        <v>1030</v>
      </c>
      <c r="V1014" s="103" t="s">
        <v>1031</v>
      </c>
    </row>
    <row r="1015" spans="1:22" ht="13.5">
      <c r="A1015" s="102">
        <v>45628.932919409723</v>
      </c>
      <c r="B1015" s="103" t="s">
        <v>19</v>
      </c>
      <c r="C1015" s="104" t="str">
        <f t="shared" si="150"/>
        <v>×</v>
      </c>
      <c r="D1015" s="104" t="str">
        <f t="shared" si="150"/>
        <v>○</v>
      </c>
      <c r="E1015" s="104" t="str">
        <f t="shared" si="150"/>
        <v>×</v>
      </c>
      <c r="F1015" s="104" t="str">
        <f t="shared" si="150"/>
        <v>×</v>
      </c>
      <c r="G1015" s="103" t="s">
        <v>20</v>
      </c>
      <c r="H1015" s="105"/>
      <c r="I1015" s="105"/>
      <c r="J1015" s="103" t="s">
        <v>38</v>
      </c>
      <c r="K1015" s="103" t="s">
        <v>16</v>
      </c>
      <c r="L1015" s="103" t="s">
        <v>88</v>
      </c>
      <c r="M1015" s="108" t="str">
        <f t="shared" si="152"/>
        <v/>
      </c>
      <c r="N1015" s="108" t="str">
        <f t="shared" si="152"/>
        <v>○</v>
      </c>
      <c r="O1015" s="108" t="str">
        <f t="shared" si="152"/>
        <v/>
      </c>
      <c r="P1015" s="108" t="str">
        <f t="shared" si="152"/>
        <v/>
      </c>
      <c r="Q1015" s="108" t="str">
        <f t="shared" si="152"/>
        <v>○</v>
      </c>
      <c r="R1015" s="103" t="str">
        <f t="shared" si="152"/>
        <v/>
      </c>
      <c r="S1015" s="103" t="s">
        <v>1265</v>
      </c>
      <c r="T1015" s="103" t="s">
        <v>30</v>
      </c>
      <c r="U1015" s="103" t="s">
        <v>1266</v>
      </c>
      <c r="V1015" s="103" t="s">
        <v>1267</v>
      </c>
    </row>
    <row r="1016" spans="1:22" ht="13.5">
      <c r="A1016" s="102">
        <v>45626.648448541666</v>
      </c>
      <c r="B1016" s="103" t="s">
        <v>108</v>
      </c>
      <c r="C1016" s="104" t="str">
        <f t="shared" si="150"/>
        <v>×</v>
      </c>
      <c r="D1016" s="104" t="str">
        <f t="shared" si="150"/>
        <v>○</v>
      </c>
      <c r="E1016" s="104" t="str">
        <f t="shared" si="150"/>
        <v>○</v>
      </c>
      <c r="F1016" s="104" t="str">
        <f t="shared" si="150"/>
        <v>×</v>
      </c>
      <c r="G1016" s="103" t="s">
        <v>20</v>
      </c>
      <c r="H1016" s="105"/>
      <c r="I1016" s="105"/>
      <c r="J1016" s="103" t="s">
        <v>38</v>
      </c>
      <c r="K1016" s="103" t="s">
        <v>16</v>
      </c>
      <c r="L1016" s="103" t="s">
        <v>29</v>
      </c>
      <c r="M1016" s="108" t="str">
        <f t="shared" si="152"/>
        <v/>
      </c>
      <c r="N1016" s="108" t="str">
        <f t="shared" si="152"/>
        <v/>
      </c>
      <c r="O1016" s="108" t="str">
        <f t="shared" si="152"/>
        <v/>
      </c>
      <c r="P1016" s="108" t="str">
        <f t="shared" si="152"/>
        <v/>
      </c>
      <c r="Q1016" s="108" t="str">
        <f t="shared" si="152"/>
        <v/>
      </c>
      <c r="R1016" s="103" t="str">
        <f t="shared" si="152"/>
        <v>○</v>
      </c>
      <c r="S1016" s="105"/>
      <c r="T1016" s="103" t="s">
        <v>575</v>
      </c>
      <c r="U1016" s="103" t="s">
        <v>576</v>
      </c>
      <c r="V1016" s="105"/>
    </row>
    <row r="1017" spans="1:22" ht="13.5">
      <c r="A1017" s="102">
        <v>45628.317089710647</v>
      </c>
      <c r="B1017" s="103" t="s">
        <v>49</v>
      </c>
      <c r="C1017" s="104" t="str">
        <f t="shared" si="150"/>
        <v>×</v>
      </c>
      <c r="D1017" s="104" t="str">
        <f t="shared" si="150"/>
        <v>○</v>
      </c>
      <c r="E1017" s="104" t="str">
        <f t="shared" si="150"/>
        <v>×</v>
      </c>
      <c r="F1017" s="104" t="str">
        <f t="shared" si="150"/>
        <v>×</v>
      </c>
      <c r="G1017" s="103" t="s">
        <v>20</v>
      </c>
      <c r="H1017" s="105"/>
      <c r="I1017" s="105"/>
      <c r="J1017" s="103" t="s">
        <v>38</v>
      </c>
      <c r="K1017" s="103" t="s">
        <v>16</v>
      </c>
      <c r="L1017" s="103" t="s">
        <v>112</v>
      </c>
      <c r="M1017" s="108" t="str">
        <f t="shared" si="152"/>
        <v/>
      </c>
      <c r="N1017" s="108" t="str">
        <f t="shared" si="152"/>
        <v/>
      </c>
      <c r="O1017" s="108" t="str">
        <f t="shared" si="152"/>
        <v>○</v>
      </c>
      <c r="P1017" s="108" t="str">
        <f t="shared" si="152"/>
        <v>○</v>
      </c>
      <c r="Q1017" s="108" t="str">
        <f t="shared" si="152"/>
        <v>○</v>
      </c>
      <c r="R1017" s="103" t="str">
        <f t="shared" si="152"/>
        <v/>
      </c>
      <c r="S1017" s="103" t="s">
        <v>876</v>
      </c>
      <c r="T1017" s="103" t="s">
        <v>30</v>
      </c>
      <c r="U1017" s="103" t="s">
        <v>877</v>
      </c>
      <c r="V1017" s="105"/>
    </row>
    <row r="1018" spans="1:22" ht="13.5">
      <c r="A1018" s="102">
        <v>45630.457315891203</v>
      </c>
      <c r="B1018" s="103" t="s">
        <v>164</v>
      </c>
      <c r="C1018" s="104" t="str">
        <f t="shared" si="150"/>
        <v>×</v>
      </c>
      <c r="D1018" s="104" t="str">
        <f t="shared" si="150"/>
        <v>○</v>
      </c>
      <c r="E1018" s="104" t="str">
        <f t="shared" si="150"/>
        <v>×</v>
      </c>
      <c r="F1018" s="104" t="str">
        <f t="shared" si="150"/>
        <v>×</v>
      </c>
      <c r="G1018" s="103" t="s">
        <v>13</v>
      </c>
      <c r="H1018" s="103" t="s">
        <v>77</v>
      </c>
      <c r="I1018" s="103" t="s">
        <v>1619</v>
      </c>
      <c r="J1018" s="105"/>
      <c r="K1018" s="103" t="s">
        <v>34</v>
      </c>
      <c r="L1018" s="105"/>
      <c r="M1018" s="110" t="str">
        <f t="shared" si="152"/>
        <v/>
      </c>
      <c r="N1018" s="110" t="str">
        <f t="shared" si="152"/>
        <v/>
      </c>
      <c r="O1018" s="110" t="str">
        <f t="shared" si="152"/>
        <v/>
      </c>
      <c r="P1018" s="110" t="str">
        <f t="shared" si="152"/>
        <v/>
      </c>
      <c r="Q1018" s="110" t="str">
        <f t="shared" si="152"/>
        <v/>
      </c>
      <c r="R1018" s="105" t="str">
        <f t="shared" si="152"/>
        <v/>
      </c>
      <c r="S1018" s="105"/>
      <c r="T1018" s="103" t="s">
        <v>30</v>
      </c>
      <c r="U1018" s="103" t="s">
        <v>1620</v>
      </c>
      <c r="V1018" s="103" t="s">
        <v>1621</v>
      </c>
    </row>
    <row r="1019" spans="1:22" ht="13.5">
      <c r="A1019" s="102">
        <v>45626.340925243057</v>
      </c>
      <c r="B1019" s="103" t="s">
        <v>90</v>
      </c>
      <c r="C1019" s="104" t="str">
        <f t="shared" si="150"/>
        <v>×</v>
      </c>
      <c r="D1019" s="104" t="str">
        <f t="shared" si="150"/>
        <v>×</v>
      </c>
      <c r="E1019" s="104" t="str">
        <f t="shared" si="150"/>
        <v>○</v>
      </c>
      <c r="F1019" s="104" t="str">
        <f t="shared" si="150"/>
        <v>×</v>
      </c>
      <c r="G1019" s="103" t="s">
        <v>20</v>
      </c>
      <c r="H1019" s="105"/>
      <c r="I1019" s="105"/>
      <c r="J1019" s="103" t="s">
        <v>21</v>
      </c>
      <c r="K1019" s="103" t="s">
        <v>16</v>
      </c>
      <c r="L1019" s="103" t="s">
        <v>68</v>
      </c>
      <c r="M1019" s="108" t="str">
        <f t="shared" si="152"/>
        <v/>
      </c>
      <c r="N1019" s="108" t="str">
        <f t="shared" si="152"/>
        <v/>
      </c>
      <c r="O1019" s="108" t="str">
        <f t="shared" si="152"/>
        <v/>
      </c>
      <c r="P1019" s="108" t="str">
        <f t="shared" si="152"/>
        <v/>
      </c>
      <c r="Q1019" s="108" t="str">
        <f t="shared" si="152"/>
        <v>○</v>
      </c>
      <c r="R1019" s="103" t="str">
        <f t="shared" si="152"/>
        <v/>
      </c>
      <c r="S1019" s="103" t="s">
        <v>426</v>
      </c>
      <c r="T1019" s="103" t="s">
        <v>30</v>
      </c>
      <c r="U1019" s="103" t="s">
        <v>427</v>
      </c>
      <c r="V1019" s="105"/>
    </row>
    <row r="1020" spans="1:22" ht="13.5">
      <c r="A1020" s="102">
        <v>45628.84051469907</v>
      </c>
      <c r="B1020" s="103" t="s">
        <v>19</v>
      </c>
      <c r="C1020" s="104" t="str">
        <f t="shared" si="150"/>
        <v>×</v>
      </c>
      <c r="D1020" s="104" t="str">
        <f t="shared" si="150"/>
        <v>○</v>
      </c>
      <c r="E1020" s="104" t="str">
        <f t="shared" si="150"/>
        <v>×</v>
      </c>
      <c r="F1020" s="104" t="str">
        <f t="shared" si="150"/>
        <v>×</v>
      </c>
      <c r="G1020" s="103" t="s">
        <v>20</v>
      </c>
      <c r="H1020" s="105"/>
      <c r="I1020" s="105"/>
      <c r="J1020" s="103" t="s">
        <v>58</v>
      </c>
      <c r="K1020" s="103" t="s">
        <v>16</v>
      </c>
      <c r="L1020" s="103" t="s">
        <v>355</v>
      </c>
      <c r="M1020" s="108" t="str">
        <f t="shared" si="152"/>
        <v/>
      </c>
      <c r="N1020" s="108" t="str">
        <f t="shared" si="152"/>
        <v>○</v>
      </c>
      <c r="O1020" s="108" t="str">
        <f t="shared" si="152"/>
        <v/>
      </c>
      <c r="P1020" s="108" t="str">
        <f t="shared" si="152"/>
        <v>○</v>
      </c>
      <c r="Q1020" s="108" t="str">
        <f t="shared" si="152"/>
        <v>○</v>
      </c>
      <c r="R1020" s="103" t="str">
        <f t="shared" si="152"/>
        <v/>
      </c>
      <c r="S1020" s="105"/>
      <c r="T1020" s="103" t="s">
        <v>24</v>
      </c>
      <c r="U1020" s="103" t="s">
        <v>1136</v>
      </c>
      <c r="V1020" s="105"/>
    </row>
    <row r="1021" spans="1:22" ht="13.5">
      <c r="A1021" s="102">
        <v>45626.399039872689</v>
      </c>
      <c r="B1021" s="103" t="s">
        <v>49</v>
      </c>
      <c r="C1021" s="104" t="str">
        <f t="shared" si="150"/>
        <v>×</v>
      </c>
      <c r="D1021" s="104" t="str">
        <f t="shared" si="150"/>
        <v>○</v>
      </c>
      <c r="E1021" s="104" t="str">
        <f t="shared" si="150"/>
        <v>×</v>
      </c>
      <c r="F1021" s="104" t="str">
        <f t="shared" si="150"/>
        <v>×</v>
      </c>
      <c r="G1021" s="103" t="s">
        <v>13</v>
      </c>
      <c r="H1021" s="103" t="s">
        <v>14</v>
      </c>
      <c r="I1021" s="103" t="s">
        <v>508</v>
      </c>
      <c r="J1021" s="105"/>
      <c r="K1021" s="103" t="s">
        <v>34</v>
      </c>
      <c r="L1021" s="105"/>
      <c r="M1021" s="110" t="str">
        <f t="shared" si="152"/>
        <v/>
      </c>
      <c r="N1021" s="110" t="str">
        <f t="shared" si="152"/>
        <v/>
      </c>
      <c r="O1021" s="110" t="str">
        <f t="shared" si="152"/>
        <v/>
      </c>
      <c r="P1021" s="110" t="str">
        <f t="shared" si="152"/>
        <v/>
      </c>
      <c r="Q1021" s="110" t="str">
        <f t="shared" si="152"/>
        <v/>
      </c>
      <c r="R1021" s="105" t="str">
        <f t="shared" si="152"/>
        <v/>
      </c>
      <c r="S1021" s="105"/>
      <c r="T1021" s="103" t="s">
        <v>24</v>
      </c>
      <c r="U1021" s="103" t="s">
        <v>509</v>
      </c>
      <c r="V1021" s="103" t="s">
        <v>510</v>
      </c>
    </row>
    <row r="1022" spans="1:22" ht="13.5">
      <c r="A1022" s="102">
        <v>45631.857544027778</v>
      </c>
      <c r="B1022" s="103" t="s">
        <v>389</v>
      </c>
      <c r="C1022" s="104" t="str">
        <f t="shared" ref="C1022:F1041" si="153">IF(ISERROR(FIND(C$1,$B1022)),"×","○")</f>
        <v>×</v>
      </c>
      <c r="D1022" s="104" t="str">
        <f t="shared" si="153"/>
        <v>○</v>
      </c>
      <c r="E1022" s="104" t="str">
        <f t="shared" si="153"/>
        <v>×</v>
      </c>
      <c r="F1022" s="104" t="str">
        <f t="shared" si="153"/>
        <v>×</v>
      </c>
      <c r="G1022" s="103" t="s">
        <v>20</v>
      </c>
      <c r="H1022" s="105"/>
      <c r="I1022" s="105"/>
      <c r="J1022" s="103" t="s">
        <v>186</v>
      </c>
      <c r="K1022" s="103" t="s">
        <v>16</v>
      </c>
      <c r="L1022" s="103" t="s">
        <v>68</v>
      </c>
      <c r="M1022" s="108" t="str">
        <f t="shared" ref="M1022:R1031" si="154">IF(ISERROR(SEARCH(M$1,$L1022)),"","○")</f>
        <v/>
      </c>
      <c r="N1022" s="108" t="str">
        <f t="shared" si="154"/>
        <v/>
      </c>
      <c r="O1022" s="108" t="str">
        <f t="shared" si="154"/>
        <v/>
      </c>
      <c r="P1022" s="108" t="str">
        <f t="shared" si="154"/>
        <v/>
      </c>
      <c r="Q1022" s="108" t="str">
        <f t="shared" si="154"/>
        <v>○</v>
      </c>
      <c r="R1022" s="103" t="str">
        <f t="shared" si="154"/>
        <v/>
      </c>
      <c r="S1022" s="103" t="s">
        <v>1788</v>
      </c>
      <c r="T1022" s="103" t="s">
        <v>1789</v>
      </c>
      <c r="U1022" s="103" t="s">
        <v>1790</v>
      </c>
      <c r="V1022" s="103" t="s">
        <v>1791</v>
      </c>
    </row>
    <row r="1023" spans="1:22" ht="13.5">
      <c r="A1023" s="102">
        <v>45628.019082199069</v>
      </c>
      <c r="B1023" s="103" t="s">
        <v>315</v>
      </c>
      <c r="C1023" s="104" t="str">
        <f t="shared" si="153"/>
        <v>×</v>
      </c>
      <c r="D1023" s="104" t="str">
        <f t="shared" si="153"/>
        <v>○</v>
      </c>
      <c r="E1023" s="104" t="str">
        <f t="shared" si="153"/>
        <v>×</v>
      </c>
      <c r="F1023" s="104" t="str">
        <f t="shared" si="153"/>
        <v>×</v>
      </c>
      <c r="G1023" s="103" t="s">
        <v>13</v>
      </c>
      <c r="H1023" s="103" t="s">
        <v>27</v>
      </c>
      <c r="I1023" s="103" t="s">
        <v>847</v>
      </c>
      <c r="J1023" s="105"/>
      <c r="K1023" s="103" t="s">
        <v>34</v>
      </c>
      <c r="L1023" s="105"/>
      <c r="M1023" s="110" t="str">
        <f t="shared" si="154"/>
        <v/>
      </c>
      <c r="N1023" s="110" t="str">
        <f t="shared" si="154"/>
        <v/>
      </c>
      <c r="O1023" s="110" t="str">
        <f t="shared" si="154"/>
        <v/>
      </c>
      <c r="P1023" s="110" t="str">
        <f t="shared" si="154"/>
        <v/>
      </c>
      <c r="Q1023" s="110" t="str">
        <f t="shared" si="154"/>
        <v/>
      </c>
      <c r="R1023" s="105" t="str">
        <f t="shared" si="154"/>
        <v/>
      </c>
      <c r="S1023" s="105"/>
      <c r="T1023" s="103" t="s">
        <v>35</v>
      </c>
      <c r="U1023" s="103" t="s">
        <v>848</v>
      </c>
      <c r="V1023" s="105"/>
    </row>
    <row r="1024" spans="1:22" ht="13.5">
      <c r="A1024" s="102">
        <v>45633.432668113426</v>
      </c>
      <c r="B1024" s="103" t="s">
        <v>1868</v>
      </c>
      <c r="C1024" s="104" t="str">
        <f t="shared" si="153"/>
        <v>×</v>
      </c>
      <c r="D1024" s="104" t="str">
        <f t="shared" si="153"/>
        <v>○</v>
      </c>
      <c r="E1024" s="104" t="str">
        <f t="shared" si="153"/>
        <v>○</v>
      </c>
      <c r="F1024" s="104" t="str">
        <f t="shared" si="153"/>
        <v>○</v>
      </c>
      <c r="G1024" s="103" t="s">
        <v>20</v>
      </c>
      <c r="H1024" s="105"/>
      <c r="I1024" s="105"/>
      <c r="J1024" s="103" t="s">
        <v>38</v>
      </c>
      <c r="K1024" s="103" t="s">
        <v>16</v>
      </c>
      <c r="L1024" s="103" t="s">
        <v>88</v>
      </c>
      <c r="M1024" s="108" t="str">
        <f t="shared" si="154"/>
        <v/>
      </c>
      <c r="N1024" s="108" t="str">
        <f t="shared" si="154"/>
        <v>○</v>
      </c>
      <c r="O1024" s="108" t="str">
        <f t="shared" si="154"/>
        <v/>
      </c>
      <c r="P1024" s="108" t="str">
        <f t="shared" si="154"/>
        <v/>
      </c>
      <c r="Q1024" s="108" t="str">
        <f t="shared" si="154"/>
        <v>○</v>
      </c>
      <c r="R1024" s="103" t="str">
        <f t="shared" si="154"/>
        <v/>
      </c>
      <c r="S1024" s="103" t="s">
        <v>1869</v>
      </c>
      <c r="T1024" s="103" t="s">
        <v>24</v>
      </c>
      <c r="U1024" s="103" t="s">
        <v>1870</v>
      </c>
      <c r="V1024" s="103" t="s">
        <v>1871</v>
      </c>
    </row>
    <row r="1025" spans="1:22" ht="40.5">
      <c r="A1025" s="106">
        <v>45621.464692094909</v>
      </c>
      <c r="B1025" s="104" t="s">
        <v>52</v>
      </c>
      <c r="C1025" s="104" t="str">
        <f t="shared" si="153"/>
        <v>○</v>
      </c>
      <c r="D1025" s="104" t="str">
        <f t="shared" si="153"/>
        <v>○</v>
      </c>
      <c r="E1025" s="104" t="str">
        <f t="shared" si="153"/>
        <v>×</v>
      </c>
      <c r="F1025" s="104" t="str">
        <f t="shared" si="153"/>
        <v>×</v>
      </c>
      <c r="G1025" s="104" t="s">
        <v>20</v>
      </c>
      <c r="H1025" s="104"/>
      <c r="I1025" s="104"/>
      <c r="J1025" s="104" t="s">
        <v>38</v>
      </c>
      <c r="K1025" s="104" t="s">
        <v>16</v>
      </c>
      <c r="L1025" s="104" t="s">
        <v>39</v>
      </c>
      <c r="M1025" s="108" t="str">
        <f t="shared" si="154"/>
        <v/>
      </c>
      <c r="N1025" s="109" t="str">
        <f t="shared" si="154"/>
        <v>○</v>
      </c>
      <c r="O1025" s="109" t="str">
        <f t="shared" si="154"/>
        <v/>
      </c>
      <c r="P1025" s="109" t="str">
        <f t="shared" si="154"/>
        <v/>
      </c>
      <c r="Q1025" s="109" t="str">
        <f t="shared" si="154"/>
        <v/>
      </c>
      <c r="R1025" s="104" t="str">
        <f t="shared" si="154"/>
        <v/>
      </c>
      <c r="S1025" s="104"/>
      <c r="T1025" s="104" t="s">
        <v>53</v>
      </c>
      <c r="U1025" s="104" t="s">
        <v>54</v>
      </c>
      <c r="V1025" s="104"/>
    </row>
    <row r="1026" spans="1:22" ht="13.5">
      <c r="A1026" s="102">
        <v>45625.673195219904</v>
      </c>
      <c r="B1026" s="103" t="s">
        <v>185</v>
      </c>
      <c r="C1026" s="104" t="str">
        <f t="shared" si="153"/>
        <v>×</v>
      </c>
      <c r="D1026" s="104" t="str">
        <f t="shared" si="153"/>
        <v>○</v>
      </c>
      <c r="E1026" s="104" t="str">
        <f t="shared" si="153"/>
        <v>○</v>
      </c>
      <c r="F1026" s="104" t="str">
        <f t="shared" si="153"/>
        <v>×</v>
      </c>
      <c r="G1026" s="103" t="s">
        <v>20</v>
      </c>
      <c r="H1026" s="105"/>
      <c r="I1026" s="105"/>
      <c r="J1026" s="103" t="s">
        <v>21</v>
      </c>
      <c r="K1026" s="103" t="s">
        <v>16</v>
      </c>
      <c r="L1026" s="103" t="s">
        <v>88</v>
      </c>
      <c r="M1026" s="108" t="str">
        <f t="shared" si="154"/>
        <v/>
      </c>
      <c r="N1026" s="108" t="str">
        <f t="shared" si="154"/>
        <v>○</v>
      </c>
      <c r="O1026" s="108" t="str">
        <f t="shared" si="154"/>
        <v/>
      </c>
      <c r="P1026" s="108" t="str">
        <f t="shared" si="154"/>
        <v/>
      </c>
      <c r="Q1026" s="108" t="str">
        <f t="shared" si="154"/>
        <v>○</v>
      </c>
      <c r="R1026" s="103" t="str">
        <f t="shared" si="154"/>
        <v/>
      </c>
      <c r="S1026" s="103" t="s">
        <v>195</v>
      </c>
      <c r="T1026" s="103" t="s">
        <v>30</v>
      </c>
      <c r="U1026" s="103" t="s">
        <v>54</v>
      </c>
      <c r="V1026" s="103" t="s">
        <v>196</v>
      </c>
    </row>
    <row r="1027" spans="1:22" ht="13.5">
      <c r="A1027" s="102">
        <v>45625.766366238429</v>
      </c>
      <c r="B1027" s="103" t="s">
        <v>90</v>
      </c>
      <c r="C1027" s="104" t="str">
        <f t="shared" si="153"/>
        <v>×</v>
      </c>
      <c r="D1027" s="104" t="str">
        <f t="shared" si="153"/>
        <v>×</v>
      </c>
      <c r="E1027" s="104" t="str">
        <f t="shared" si="153"/>
        <v>○</v>
      </c>
      <c r="F1027" s="104" t="str">
        <f t="shared" si="153"/>
        <v>×</v>
      </c>
      <c r="G1027" s="103" t="s">
        <v>20</v>
      </c>
      <c r="H1027" s="105"/>
      <c r="I1027" s="105"/>
      <c r="J1027" s="103" t="s">
        <v>251</v>
      </c>
      <c r="K1027" s="103" t="s">
        <v>16</v>
      </c>
      <c r="L1027" s="103" t="s">
        <v>22</v>
      </c>
      <c r="M1027" s="108" t="str">
        <f t="shared" si="154"/>
        <v/>
      </c>
      <c r="N1027" s="108" t="str">
        <f t="shared" si="154"/>
        <v/>
      </c>
      <c r="O1027" s="108" t="str">
        <f t="shared" si="154"/>
        <v>○</v>
      </c>
      <c r="P1027" s="108" t="str">
        <f t="shared" si="154"/>
        <v>○</v>
      </c>
      <c r="Q1027" s="108" t="str">
        <f t="shared" si="154"/>
        <v/>
      </c>
      <c r="R1027" s="103" t="str">
        <f t="shared" si="154"/>
        <v/>
      </c>
      <c r="S1027" s="103" t="s">
        <v>252</v>
      </c>
      <c r="T1027" s="103" t="s">
        <v>253</v>
      </c>
      <c r="U1027" s="103" t="s">
        <v>54</v>
      </c>
      <c r="V1027" s="103" t="s">
        <v>254</v>
      </c>
    </row>
    <row r="1028" spans="1:22" ht="13.5">
      <c r="A1028" s="102">
        <v>45625.872897233799</v>
      </c>
      <c r="B1028" s="103" t="s">
        <v>334</v>
      </c>
      <c r="C1028" s="104" t="str">
        <f t="shared" si="153"/>
        <v>×</v>
      </c>
      <c r="D1028" s="104" t="str">
        <f t="shared" si="153"/>
        <v>○</v>
      </c>
      <c r="E1028" s="104" t="str">
        <f t="shared" si="153"/>
        <v>○</v>
      </c>
      <c r="F1028" s="104" t="str">
        <f t="shared" si="153"/>
        <v>○</v>
      </c>
      <c r="G1028" s="103" t="s">
        <v>20</v>
      </c>
      <c r="H1028" s="105"/>
      <c r="I1028" s="105"/>
      <c r="J1028" s="103" t="s">
        <v>21</v>
      </c>
      <c r="K1028" s="103" t="s">
        <v>16</v>
      </c>
      <c r="L1028" s="103" t="s">
        <v>335</v>
      </c>
      <c r="M1028" s="108" t="str">
        <f t="shared" si="154"/>
        <v/>
      </c>
      <c r="N1028" s="108" t="str">
        <f t="shared" si="154"/>
        <v>○</v>
      </c>
      <c r="O1028" s="108" t="str">
        <f t="shared" si="154"/>
        <v/>
      </c>
      <c r="P1028" s="108" t="str">
        <f t="shared" si="154"/>
        <v/>
      </c>
      <c r="Q1028" s="108" t="str">
        <f t="shared" si="154"/>
        <v/>
      </c>
      <c r="R1028" s="103" t="str">
        <f t="shared" si="154"/>
        <v/>
      </c>
      <c r="S1028" s="105"/>
      <c r="T1028" s="103" t="s">
        <v>30</v>
      </c>
      <c r="U1028" s="103" t="s">
        <v>54</v>
      </c>
      <c r="V1028" s="103" t="s">
        <v>336</v>
      </c>
    </row>
    <row r="1029" spans="1:22" ht="13.5">
      <c r="A1029" s="102">
        <v>45626.398107384259</v>
      </c>
      <c r="B1029" s="103" t="s">
        <v>442</v>
      </c>
      <c r="C1029" s="104" t="str">
        <f t="shared" si="153"/>
        <v>×</v>
      </c>
      <c r="D1029" s="104" t="str">
        <f t="shared" si="153"/>
        <v>○</v>
      </c>
      <c r="E1029" s="104" t="str">
        <f t="shared" si="153"/>
        <v>○</v>
      </c>
      <c r="F1029" s="104" t="str">
        <f t="shared" si="153"/>
        <v>×</v>
      </c>
      <c r="G1029" s="103" t="s">
        <v>13</v>
      </c>
      <c r="H1029" s="103" t="s">
        <v>77</v>
      </c>
      <c r="I1029" s="103" t="s">
        <v>506</v>
      </c>
      <c r="J1029" s="105"/>
      <c r="K1029" s="103" t="s">
        <v>16</v>
      </c>
      <c r="L1029" s="103" t="s">
        <v>507</v>
      </c>
      <c r="M1029" s="108" t="str">
        <f t="shared" si="154"/>
        <v/>
      </c>
      <c r="N1029" s="108" t="str">
        <f t="shared" si="154"/>
        <v/>
      </c>
      <c r="O1029" s="108" t="str">
        <f t="shared" si="154"/>
        <v/>
      </c>
      <c r="P1029" s="108" t="str">
        <f t="shared" si="154"/>
        <v/>
      </c>
      <c r="Q1029" s="108" t="str">
        <f t="shared" si="154"/>
        <v/>
      </c>
      <c r="R1029" s="103" t="str">
        <f t="shared" si="154"/>
        <v/>
      </c>
      <c r="S1029" s="105"/>
      <c r="T1029" s="103" t="s">
        <v>61</v>
      </c>
      <c r="U1029" s="103" t="s">
        <v>54</v>
      </c>
      <c r="V1029" s="105"/>
    </row>
    <row r="1030" spans="1:22" ht="13.5">
      <c r="A1030" s="102">
        <v>45628.675966122682</v>
      </c>
      <c r="B1030" s="103" t="s">
        <v>227</v>
      </c>
      <c r="C1030" s="104" t="str">
        <f t="shared" si="153"/>
        <v>×</v>
      </c>
      <c r="D1030" s="104" t="str">
        <f t="shared" si="153"/>
        <v>○</v>
      </c>
      <c r="E1030" s="104" t="str">
        <f t="shared" si="153"/>
        <v>×</v>
      </c>
      <c r="F1030" s="104" t="str">
        <f t="shared" si="153"/>
        <v>×</v>
      </c>
      <c r="G1030" s="103" t="s">
        <v>13</v>
      </c>
      <c r="H1030" s="103" t="s">
        <v>32</v>
      </c>
      <c r="I1030" s="103" t="s">
        <v>956</v>
      </c>
      <c r="J1030" s="105"/>
      <c r="K1030" s="103" t="s">
        <v>34</v>
      </c>
      <c r="L1030" s="105"/>
      <c r="M1030" s="110" t="str">
        <f t="shared" si="154"/>
        <v/>
      </c>
      <c r="N1030" s="110" t="str">
        <f t="shared" si="154"/>
        <v/>
      </c>
      <c r="O1030" s="110" t="str">
        <f t="shared" si="154"/>
        <v/>
      </c>
      <c r="P1030" s="110" t="str">
        <f t="shared" si="154"/>
        <v/>
      </c>
      <c r="Q1030" s="110" t="str">
        <f t="shared" si="154"/>
        <v/>
      </c>
      <c r="R1030" s="105" t="str">
        <f t="shared" si="154"/>
        <v/>
      </c>
      <c r="S1030" s="105"/>
      <c r="T1030" s="103" t="s">
        <v>30</v>
      </c>
      <c r="U1030" s="103" t="s">
        <v>54</v>
      </c>
      <c r="V1030" s="103" t="s">
        <v>957</v>
      </c>
    </row>
    <row r="1031" spans="1:22" ht="13.5">
      <c r="A1031" s="102">
        <v>45628.956601087964</v>
      </c>
      <c r="B1031" s="103" t="s">
        <v>1281</v>
      </c>
      <c r="C1031" s="104" t="str">
        <f t="shared" si="153"/>
        <v>×</v>
      </c>
      <c r="D1031" s="104" t="str">
        <f t="shared" si="153"/>
        <v>○</v>
      </c>
      <c r="E1031" s="104" t="str">
        <f t="shared" si="153"/>
        <v>○</v>
      </c>
      <c r="F1031" s="104" t="str">
        <f t="shared" si="153"/>
        <v>○</v>
      </c>
      <c r="G1031" s="103" t="s">
        <v>20</v>
      </c>
      <c r="H1031" s="105"/>
      <c r="I1031" s="105"/>
      <c r="J1031" s="103" t="s">
        <v>21</v>
      </c>
      <c r="K1031" s="103" t="s">
        <v>16</v>
      </c>
      <c r="L1031" s="103" t="s">
        <v>88</v>
      </c>
      <c r="M1031" s="108" t="str">
        <f t="shared" si="154"/>
        <v/>
      </c>
      <c r="N1031" s="108" t="str">
        <f t="shared" si="154"/>
        <v>○</v>
      </c>
      <c r="O1031" s="108" t="str">
        <f t="shared" si="154"/>
        <v/>
      </c>
      <c r="P1031" s="108" t="str">
        <f t="shared" si="154"/>
        <v/>
      </c>
      <c r="Q1031" s="108" t="str">
        <f t="shared" si="154"/>
        <v>○</v>
      </c>
      <c r="R1031" s="103" t="str">
        <f t="shared" si="154"/>
        <v/>
      </c>
      <c r="S1031" s="103" t="s">
        <v>1282</v>
      </c>
      <c r="T1031" s="103" t="s">
        <v>30</v>
      </c>
      <c r="U1031" s="103" t="s">
        <v>54</v>
      </c>
      <c r="V1031" s="105"/>
    </row>
    <row r="1032" spans="1:22" ht="13.5">
      <c r="A1032" s="102">
        <v>45629.298883611111</v>
      </c>
      <c r="B1032" s="103" t="s">
        <v>389</v>
      </c>
      <c r="C1032" s="104" t="str">
        <f t="shared" si="153"/>
        <v>×</v>
      </c>
      <c r="D1032" s="104" t="str">
        <f t="shared" si="153"/>
        <v>○</v>
      </c>
      <c r="E1032" s="104" t="str">
        <f t="shared" si="153"/>
        <v>×</v>
      </c>
      <c r="F1032" s="104" t="str">
        <f t="shared" si="153"/>
        <v>×</v>
      </c>
      <c r="G1032" s="103" t="s">
        <v>20</v>
      </c>
      <c r="H1032" s="105"/>
      <c r="I1032" s="105"/>
      <c r="J1032" s="103" t="s">
        <v>21</v>
      </c>
      <c r="K1032" s="103" t="s">
        <v>16</v>
      </c>
      <c r="L1032" s="103" t="s">
        <v>59</v>
      </c>
      <c r="M1032" s="108" t="str">
        <f t="shared" ref="M1032:R1041" si="155">IF(ISERROR(SEARCH(M$1,$L1032)),"","○")</f>
        <v/>
      </c>
      <c r="N1032" s="108" t="str">
        <f t="shared" si="155"/>
        <v/>
      </c>
      <c r="O1032" s="108" t="str">
        <f t="shared" si="155"/>
        <v/>
      </c>
      <c r="P1032" s="108" t="str">
        <f t="shared" si="155"/>
        <v>○</v>
      </c>
      <c r="Q1032" s="108" t="str">
        <f t="shared" si="155"/>
        <v/>
      </c>
      <c r="R1032" s="103" t="str">
        <f t="shared" si="155"/>
        <v/>
      </c>
      <c r="S1032" s="103" t="s">
        <v>1332</v>
      </c>
      <c r="T1032" s="103" t="s">
        <v>30</v>
      </c>
      <c r="U1032" s="103" t="s">
        <v>54</v>
      </c>
      <c r="V1032" s="103" t="s">
        <v>1333</v>
      </c>
    </row>
    <row r="1033" spans="1:22" ht="13.5">
      <c r="A1033" s="102">
        <v>45630.36373809028</v>
      </c>
      <c r="B1033" s="103" t="s">
        <v>93</v>
      </c>
      <c r="C1033" s="104" t="str">
        <f t="shared" si="153"/>
        <v>×</v>
      </c>
      <c r="D1033" s="104" t="str">
        <f t="shared" si="153"/>
        <v>×</v>
      </c>
      <c r="E1033" s="104" t="str">
        <f t="shared" si="153"/>
        <v>○</v>
      </c>
      <c r="F1033" s="104" t="str">
        <f t="shared" si="153"/>
        <v>×</v>
      </c>
      <c r="G1033" s="103" t="s">
        <v>20</v>
      </c>
      <c r="H1033" s="105"/>
      <c r="I1033" s="105"/>
      <c r="J1033" s="103" t="s">
        <v>58</v>
      </c>
      <c r="K1033" s="103" t="s">
        <v>16</v>
      </c>
      <c r="L1033" s="103" t="s">
        <v>272</v>
      </c>
      <c r="M1033" s="108" t="str">
        <f t="shared" si="155"/>
        <v/>
      </c>
      <c r="N1033" s="108" t="str">
        <f t="shared" si="155"/>
        <v/>
      </c>
      <c r="O1033" s="108" t="str">
        <f t="shared" si="155"/>
        <v/>
      </c>
      <c r="P1033" s="108" t="str">
        <f t="shared" si="155"/>
        <v/>
      </c>
      <c r="Q1033" s="108" t="str">
        <f t="shared" si="155"/>
        <v>○</v>
      </c>
      <c r="R1033" s="103" t="str">
        <f t="shared" si="155"/>
        <v/>
      </c>
      <c r="S1033" s="103" t="s">
        <v>1606</v>
      </c>
      <c r="T1033" s="103" t="s">
        <v>35</v>
      </c>
      <c r="U1033" s="103" t="s">
        <v>54</v>
      </c>
      <c r="V1033" s="105"/>
    </row>
    <row r="1034" spans="1:22" ht="13.5">
      <c r="A1034" s="102">
        <v>45631.869673587964</v>
      </c>
      <c r="B1034" s="103" t="s">
        <v>164</v>
      </c>
      <c r="C1034" s="104" t="str">
        <f t="shared" si="153"/>
        <v>×</v>
      </c>
      <c r="D1034" s="104" t="str">
        <f t="shared" si="153"/>
        <v>○</v>
      </c>
      <c r="E1034" s="104" t="str">
        <f t="shared" si="153"/>
        <v>×</v>
      </c>
      <c r="F1034" s="104" t="str">
        <f t="shared" si="153"/>
        <v>×</v>
      </c>
      <c r="G1034" s="103" t="s">
        <v>20</v>
      </c>
      <c r="H1034" s="105"/>
      <c r="I1034" s="105"/>
      <c r="J1034" s="103" t="s">
        <v>38</v>
      </c>
      <c r="K1034" s="103" t="s">
        <v>16</v>
      </c>
      <c r="L1034" s="103" t="s">
        <v>39</v>
      </c>
      <c r="M1034" s="108" t="str">
        <f t="shared" si="155"/>
        <v/>
      </c>
      <c r="N1034" s="108" t="str">
        <f t="shared" si="155"/>
        <v>○</v>
      </c>
      <c r="O1034" s="108" t="str">
        <f t="shared" si="155"/>
        <v/>
      </c>
      <c r="P1034" s="108" t="str">
        <f t="shared" si="155"/>
        <v/>
      </c>
      <c r="Q1034" s="108" t="str">
        <f t="shared" si="155"/>
        <v/>
      </c>
      <c r="R1034" s="103" t="str">
        <f t="shared" si="155"/>
        <v/>
      </c>
      <c r="S1034" s="105"/>
      <c r="T1034" s="103" t="s">
        <v>1794</v>
      </c>
      <c r="U1034" s="103" t="s">
        <v>54</v>
      </c>
      <c r="V1034" s="105"/>
    </row>
    <row r="1035" spans="1:22" ht="13.5">
      <c r="A1035" s="102">
        <v>45627.815134039352</v>
      </c>
      <c r="B1035" s="103" t="s">
        <v>140</v>
      </c>
      <c r="C1035" s="104" t="str">
        <f t="shared" si="153"/>
        <v>×</v>
      </c>
      <c r="D1035" s="104" t="str">
        <f t="shared" si="153"/>
        <v>○</v>
      </c>
      <c r="E1035" s="104" t="str">
        <f t="shared" si="153"/>
        <v>○</v>
      </c>
      <c r="F1035" s="104" t="str">
        <f t="shared" si="153"/>
        <v>×</v>
      </c>
      <c r="G1035" s="103" t="s">
        <v>20</v>
      </c>
      <c r="H1035" s="105"/>
      <c r="I1035" s="105"/>
      <c r="J1035" s="103" t="s">
        <v>21</v>
      </c>
      <c r="K1035" s="103" t="s">
        <v>16</v>
      </c>
      <c r="L1035" s="103" t="s">
        <v>68</v>
      </c>
      <c r="M1035" s="108" t="str">
        <f t="shared" si="155"/>
        <v/>
      </c>
      <c r="N1035" s="108" t="str">
        <f t="shared" si="155"/>
        <v/>
      </c>
      <c r="O1035" s="108" t="str">
        <f t="shared" si="155"/>
        <v/>
      </c>
      <c r="P1035" s="108" t="str">
        <f t="shared" si="155"/>
        <v/>
      </c>
      <c r="Q1035" s="108" t="str">
        <f t="shared" si="155"/>
        <v>○</v>
      </c>
      <c r="R1035" s="103" t="str">
        <f t="shared" si="155"/>
        <v/>
      </c>
      <c r="S1035" s="103" t="s">
        <v>764</v>
      </c>
      <c r="T1035" s="103" t="s">
        <v>30</v>
      </c>
      <c r="U1035" s="103" t="s">
        <v>765</v>
      </c>
      <c r="V1035" s="103" t="s">
        <v>766</v>
      </c>
    </row>
    <row r="1036" spans="1:22" ht="13.5">
      <c r="A1036" s="102">
        <v>45629.416508773153</v>
      </c>
      <c r="B1036" s="103" t="s">
        <v>140</v>
      </c>
      <c r="C1036" s="104" t="str">
        <f t="shared" si="153"/>
        <v>×</v>
      </c>
      <c r="D1036" s="104" t="str">
        <f t="shared" si="153"/>
        <v>○</v>
      </c>
      <c r="E1036" s="104" t="str">
        <f t="shared" si="153"/>
        <v>○</v>
      </c>
      <c r="F1036" s="104" t="str">
        <f t="shared" si="153"/>
        <v>×</v>
      </c>
      <c r="G1036" s="103" t="s">
        <v>20</v>
      </c>
      <c r="H1036" s="105"/>
      <c r="I1036" s="105"/>
      <c r="J1036" s="103" t="s">
        <v>58</v>
      </c>
      <c r="K1036" s="103" t="s">
        <v>16</v>
      </c>
      <c r="L1036" s="103" t="s">
        <v>88</v>
      </c>
      <c r="M1036" s="108" t="str">
        <f t="shared" si="155"/>
        <v/>
      </c>
      <c r="N1036" s="108" t="str">
        <f t="shared" si="155"/>
        <v>○</v>
      </c>
      <c r="O1036" s="108" t="str">
        <f t="shared" si="155"/>
        <v/>
      </c>
      <c r="P1036" s="108" t="str">
        <f t="shared" si="155"/>
        <v/>
      </c>
      <c r="Q1036" s="108" t="str">
        <f t="shared" si="155"/>
        <v>○</v>
      </c>
      <c r="R1036" s="103" t="str">
        <f t="shared" si="155"/>
        <v/>
      </c>
      <c r="S1036" s="105"/>
      <c r="T1036" s="103" t="s">
        <v>30</v>
      </c>
      <c r="U1036" s="103" t="s">
        <v>1374</v>
      </c>
      <c r="V1036" s="103" t="s">
        <v>1375</v>
      </c>
    </row>
    <row r="1037" spans="1:22" ht="13.5">
      <c r="A1037" s="102">
        <v>45628.297037314813</v>
      </c>
      <c r="B1037" s="103" t="s">
        <v>317</v>
      </c>
      <c r="C1037" s="104" t="str">
        <f t="shared" si="153"/>
        <v>×</v>
      </c>
      <c r="D1037" s="104" t="str">
        <f t="shared" si="153"/>
        <v>○</v>
      </c>
      <c r="E1037" s="104" t="str">
        <f t="shared" si="153"/>
        <v>×</v>
      </c>
      <c r="F1037" s="104" t="str">
        <f t="shared" si="153"/>
        <v>×</v>
      </c>
      <c r="G1037" s="103" t="s">
        <v>13</v>
      </c>
      <c r="H1037" s="103" t="s">
        <v>27</v>
      </c>
      <c r="I1037" s="103" t="s">
        <v>857</v>
      </c>
      <c r="J1037" s="105"/>
      <c r="K1037" s="103" t="s">
        <v>34</v>
      </c>
      <c r="L1037" s="105"/>
      <c r="M1037" s="110" t="str">
        <f t="shared" si="155"/>
        <v/>
      </c>
      <c r="N1037" s="110" t="str">
        <f t="shared" si="155"/>
        <v/>
      </c>
      <c r="O1037" s="110" t="str">
        <f t="shared" si="155"/>
        <v/>
      </c>
      <c r="P1037" s="110" t="str">
        <f t="shared" si="155"/>
        <v/>
      </c>
      <c r="Q1037" s="110" t="str">
        <f t="shared" si="155"/>
        <v/>
      </c>
      <c r="R1037" s="105" t="str">
        <f t="shared" si="155"/>
        <v/>
      </c>
      <c r="S1037" s="105"/>
      <c r="T1037" s="103" t="s">
        <v>35</v>
      </c>
      <c r="U1037" s="103" t="s">
        <v>858</v>
      </c>
      <c r="V1037" s="103" t="s">
        <v>859</v>
      </c>
    </row>
    <row r="1038" spans="1:22" ht="13.5">
      <c r="A1038" s="102">
        <v>45626.8765943287</v>
      </c>
      <c r="B1038" s="103" t="s">
        <v>407</v>
      </c>
      <c r="C1038" s="104" t="str">
        <f t="shared" si="153"/>
        <v>×</v>
      </c>
      <c r="D1038" s="104" t="str">
        <f t="shared" si="153"/>
        <v>○</v>
      </c>
      <c r="E1038" s="104" t="str">
        <f t="shared" si="153"/>
        <v>○</v>
      </c>
      <c r="F1038" s="104" t="str">
        <f t="shared" si="153"/>
        <v>×</v>
      </c>
      <c r="G1038" s="103" t="s">
        <v>20</v>
      </c>
      <c r="H1038" s="105"/>
      <c r="I1038" s="105"/>
      <c r="J1038" s="103" t="s">
        <v>58</v>
      </c>
      <c r="K1038" s="103" t="s">
        <v>16</v>
      </c>
      <c r="L1038" s="103" t="s">
        <v>88</v>
      </c>
      <c r="M1038" s="108" t="str">
        <f t="shared" si="155"/>
        <v/>
      </c>
      <c r="N1038" s="108" t="str">
        <f t="shared" si="155"/>
        <v>○</v>
      </c>
      <c r="O1038" s="108" t="str">
        <f t="shared" si="155"/>
        <v/>
      </c>
      <c r="P1038" s="108" t="str">
        <f t="shared" si="155"/>
        <v/>
      </c>
      <c r="Q1038" s="108" t="str">
        <f t="shared" si="155"/>
        <v>○</v>
      </c>
      <c r="R1038" s="103" t="str">
        <f t="shared" si="155"/>
        <v/>
      </c>
      <c r="S1038" s="103" t="s">
        <v>620</v>
      </c>
      <c r="T1038" s="103" t="s">
        <v>30</v>
      </c>
      <c r="U1038" s="103" t="s">
        <v>621</v>
      </c>
      <c r="V1038" s="103" t="s">
        <v>622</v>
      </c>
    </row>
    <row r="1039" spans="1:22" ht="13.5">
      <c r="A1039" s="102">
        <v>45633.667787893515</v>
      </c>
      <c r="B1039" s="103" t="s">
        <v>429</v>
      </c>
      <c r="C1039" s="104" t="str">
        <f t="shared" si="153"/>
        <v>×</v>
      </c>
      <c r="D1039" s="104" t="str">
        <f t="shared" si="153"/>
        <v>×</v>
      </c>
      <c r="E1039" s="104" t="str">
        <f t="shared" si="153"/>
        <v>○</v>
      </c>
      <c r="F1039" s="104" t="str">
        <f t="shared" si="153"/>
        <v>○</v>
      </c>
      <c r="G1039" s="103" t="s">
        <v>20</v>
      </c>
      <c r="H1039" s="105"/>
      <c r="I1039" s="105"/>
      <c r="J1039" s="103" t="s">
        <v>1884</v>
      </c>
      <c r="K1039" s="103" t="s">
        <v>16</v>
      </c>
      <c r="L1039" s="103" t="s">
        <v>107</v>
      </c>
      <c r="M1039" s="108" t="str">
        <f t="shared" si="155"/>
        <v/>
      </c>
      <c r="N1039" s="108" t="str">
        <f t="shared" si="155"/>
        <v/>
      </c>
      <c r="O1039" s="108" t="str">
        <f t="shared" si="155"/>
        <v>○</v>
      </c>
      <c r="P1039" s="108" t="str">
        <f t="shared" si="155"/>
        <v/>
      </c>
      <c r="Q1039" s="108" t="str">
        <f t="shared" si="155"/>
        <v/>
      </c>
      <c r="R1039" s="103" t="str">
        <f t="shared" si="155"/>
        <v/>
      </c>
      <c r="S1039" s="105"/>
      <c r="T1039" s="103" t="s">
        <v>1885</v>
      </c>
      <c r="U1039" s="103" t="s">
        <v>1886</v>
      </c>
      <c r="V1039" s="103" t="s">
        <v>1887</v>
      </c>
    </row>
    <row r="1040" spans="1:22" ht="13.5">
      <c r="A1040" s="102">
        <v>45626.600160682865</v>
      </c>
      <c r="B1040" s="103" t="s">
        <v>164</v>
      </c>
      <c r="C1040" s="104" t="str">
        <f t="shared" si="153"/>
        <v>×</v>
      </c>
      <c r="D1040" s="104" t="str">
        <f t="shared" si="153"/>
        <v>○</v>
      </c>
      <c r="E1040" s="104" t="str">
        <f t="shared" si="153"/>
        <v>×</v>
      </c>
      <c r="F1040" s="104" t="str">
        <f t="shared" si="153"/>
        <v>×</v>
      </c>
      <c r="G1040" s="103" t="s">
        <v>20</v>
      </c>
      <c r="H1040" s="105"/>
      <c r="I1040" s="105"/>
      <c r="J1040" s="103" t="s">
        <v>58</v>
      </c>
      <c r="K1040" s="103" t="s">
        <v>16</v>
      </c>
      <c r="L1040" s="103" t="s">
        <v>59</v>
      </c>
      <c r="M1040" s="108" t="str">
        <f t="shared" si="155"/>
        <v/>
      </c>
      <c r="N1040" s="108" t="str">
        <f t="shared" si="155"/>
        <v/>
      </c>
      <c r="O1040" s="108" t="str">
        <f t="shared" si="155"/>
        <v/>
      </c>
      <c r="P1040" s="108" t="str">
        <f t="shared" si="155"/>
        <v>○</v>
      </c>
      <c r="Q1040" s="108" t="str">
        <f t="shared" si="155"/>
        <v/>
      </c>
      <c r="R1040" s="103" t="str">
        <f t="shared" si="155"/>
        <v/>
      </c>
      <c r="S1040" s="103" t="s">
        <v>571</v>
      </c>
      <c r="T1040" s="103" t="s">
        <v>30</v>
      </c>
      <c r="U1040" s="103" t="s">
        <v>572</v>
      </c>
      <c r="V1040" s="105"/>
    </row>
    <row r="1041" spans="1:22" ht="13.5">
      <c r="A1041" s="102">
        <v>45629.63669230324</v>
      </c>
      <c r="B1041" s="103" t="s">
        <v>1391</v>
      </c>
      <c r="C1041" s="104" t="str">
        <f t="shared" si="153"/>
        <v>○</v>
      </c>
      <c r="D1041" s="104" t="str">
        <f t="shared" si="153"/>
        <v>○</v>
      </c>
      <c r="E1041" s="104" t="str">
        <f t="shared" si="153"/>
        <v>○</v>
      </c>
      <c r="F1041" s="104" t="str">
        <f t="shared" si="153"/>
        <v>×</v>
      </c>
      <c r="G1041" s="103" t="s">
        <v>20</v>
      </c>
      <c r="H1041" s="105"/>
      <c r="I1041" s="105"/>
      <c r="J1041" s="103" t="s">
        <v>58</v>
      </c>
      <c r="K1041" s="103" t="s">
        <v>16</v>
      </c>
      <c r="L1041" s="103" t="s">
        <v>1392</v>
      </c>
      <c r="M1041" s="108" t="str">
        <f t="shared" si="155"/>
        <v/>
      </c>
      <c r="N1041" s="108" t="str">
        <f t="shared" si="155"/>
        <v/>
      </c>
      <c r="O1041" s="108" t="str">
        <f t="shared" si="155"/>
        <v/>
      </c>
      <c r="P1041" s="108" t="str">
        <f t="shared" si="155"/>
        <v/>
      </c>
      <c r="Q1041" s="108" t="str">
        <f t="shared" si="155"/>
        <v/>
      </c>
      <c r="R1041" s="103" t="str">
        <f t="shared" si="155"/>
        <v/>
      </c>
      <c r="S1041" s="105"/>
      <c r="T1041" s="103" t="s">
        <v>1393</v>
      </c>
      <c r="U1041" s="103" t="s">
        <v>1394</v>
      </c>
      <c r="V1041" s="103" t="s">
        <v>1395</v>
      </c>
    </row>
    <row r="1042" spans="1:22" ht="13.5">
      <c r="A1042" s="102">
        <v>45628.885073067126</v>
      </c>
      <c r="B1042" s="103" t="s">
        <v>108</v>
      </c>
      <c r="C1042" s="104" t="str">
        <f t="shared" ref="C1042:F1061" si="156">IF(ISERROR(FIND(C$1,$B1042)),"×","○")</f>
        <v>×</v>
      </c>
      <c r="D1042" s="104" t="str">
        <f t="shared" si="156"/>
        <v>○</v>
      </c>
      <c r="E1042" s="104" t="str">
        <f t="shared" si="156"/>
        <v>○</v>
      </c>
      <c r="F1042" s="104" t="str">
        <f t="shared" si="156"/>
        <v>×</v>
      </c>
      <c r="G1042" s="103" t="s">
        <v>20</v>
      </c>
      <c r="H1042" s="105"/>
      <c r="I1042" s="105"/>
      <c r="J1042" s="103" t="s">
        <v>1187</v>
      </c>
      <c r="K1042" s="103" t="s">
        <v>16</v>
      </c>
      <c r="L1042" s="103" t="s">
        <v>39</v>
      </c>
      <c r="M1042" s="108" t="str">
        <f t="shared" ref="M1042:R1051" si="157">IF(ISERROR(SEARCH(M$1,$L1042)),"","○")</f>
        <v/>
      </c>
      <c r="N1042" s="108" t="str">
        <f t="shared" si="157"/>
        <v>○</v>
      </c>
      <c r="O1042" s="108" t="str">
        <f t="shared" si="157"/>
        <v/>
      </c>
      <c r="P1042" s="108" t="str">
        <f t="shared" si="157"/>
        <v/>
      </c>
      <c r="Q1042" s="108" t="str">
        <f t="shared" si="157"/>
        <v/>
      </c>
      <c r="R1042" s="103" t="str">
        <f t="shared" si="157"/>
        <v/>
      </c>
      <c r="S1042" s="105"/>
      <c r="T1042" s="103" t="s">
        <v>24</v>
      </c>
      <c r="U1042" s="103" t="s">
        <v>1188</v>
      </c>
      <c r="V1042" s="103" t="s">
        <v>1189</v>
      </c>
    </row>
    <row r="1043" spans="1:22" ht="13.5">
      <c r="A1043" s="102">
        <v>45628.920213472222</v>
      </c>
      <c r="B1043" s="103" t="s">
        <v>49</v>
      </c>
      <c r="C1043" s="104" t="str">
        <f t="shared" si="156"/>
        <v>×</v>
      </c>
      <c r="D1043" s="104" t="str">
        <f t="shared" si="156"/>
        <v>○</v>
      </c>
      <c r="E1043" s="104" t="str">
        <f t="shared" si="156"/>
        <v>×</v>
      </c>
      <c r="F1043" s="104" t="str">
        <f t="shared" si="156"/>
        <v>×</v>
      </c>
      <c r="G1043" s="103" t="s">
        <v>20</v>
      </c>
      <c r="H1043" s="105"/>
      <c r="I1043" s="105"/>
      <c r="J1043" s="103" t="s">
        <v>38</v>
      </c>
      <c r="K1043" s="103" t="s">
        <v>16</v>
      </c>
      <c r="L1043" s="103" t="s">
        <v>1257</v>
      </c>
      <c r="M1043" s="108" t="str">
        <f t="shared" si="157"/>
        <v/>
      </c>
      <c r="N1043" s="108" t="str">
        <f t="shared" si="157"/>
        <v/>
      </c>
      <c r="O1043" s="108" t="str">
        <f t="shared" si="157"/>
        <v/>
      </c>
      <c r="P1043" s="108" t="str">
        <f t="shared" si="157"/>
        <v/>
      </c>
      <c r="Q1043" s="108" t="str">
        <f t="shared" si="157"/>
        <v>○</v>
      </c>
      <c r="R1043" s="103" t="str">
        <f t="shared" si="157"/>
        <v/>
      </c>
      <c r="S1043" s="103" t="s">
        <v>1258</v>
      </c>
      <c r="T1043" s="103" t="s">
        <v>24</v>
      </c>
      <c r="U1043" s="103" t="s">
        <v>1188</v>
      </c>
      <c r="V1043" s="103" t="s">
        <v>1259</v>
      </c>
    </row>
    <row r="1044" spans="1:22" ht="13.5">
      <c r="A1044" s="102">
        <v>45629.861234293981</v>
      </c>
      <c r="B1044" s="103" t="s">
        <v>108</v>
      </c>
      <c r="C1044" s="104" t="str">
        <f t="shared" si="156"/>
        <v>×</v>
      </c>
      <c r="D1044" s="104" t="str">
        <f t="shared" si="156"/>
        <v>○</v>
      </c>
      <c r="E1044" s="104" t="str">
        <f t="shared" si="156"/>
        <v>○</v>
      </c>
      <c r="F1044" s="104" t="str">
        <f t="shared" si="156"/>
        <v>×</v>
      </c>
      <c r="G1044" s="103" t="s">
        <v>20</v>
      </c>
      <c r="H1044" s="105"/>
      <c r="I1044" s="105"/>
      <c r="J1044" s="103" t="s">
        <v>58</v>
      </c>
      <c r="K1044" s="103" t="s">
        <v>16</v>
      </c>
      <c r="L1044" s="103" t="s">
        <v>68</v>
      </c>
      <c r="M1044" s="108" t="str">
        <f t="shared" si="157"/>
        <v/>
      </c>
      <c r="N1044" s="108" t="str">
        <f t="shared" si="157"/>
        <v/>
      </c>
      <c r="O1044" s="108" t="str">
        <f t="shared" si="157"/>
        <v/>
      </c>
      <c r="P1044" s="108" t="str">
        <f t="shared" si="157"/>
        <v/>
      </c>
      <c r="Q1044" s="108" t="str">
        <f t="shared" si="157"/>
        <v>○</v>
      </c>
      <c r="R1044" s="103" t="str">
        <f t="shared" si="157"/>
        <v/>
      </c>
      <c r="S1044" s="103" t="s">
        <v>1497</v>
      </c>
      <c r="T1044" s="103" t="s">
        <v>24</v>
      </c>
      <c r="U1044" s="103" t="s">
        <v>1188</v>
      </c>
      <c r="V1044" s="103" t="s">
        <v>1498</v>
      </c>
    </row>
    <row r="1045" spans="1:22" ht="13.5">
      <c r="A1045" s="102">
        <v>45627.770005868057</v>
      </c>
      <c r="B1045" s="103" t="s">
        <v>181</v>
      </c>
      <c r="C1045" s="104" t="str">
        <f t="shared" si="156"/>
        <v>×</v>
      </c>
      <c r="D1045" s="104" t="str">
        <f t="shared" si="156"/>
        <v>○</v>
      </c>
      <c r="E1045" s="104" t="str">
        <f t="shared" si="156"/>
        <v>×</v>
      </c>
      <c r="F1045" s="104" t="str">
        <f t="shared" si="156"/>
        <v>×</v>
      </c>
      <c r="G1045" s="103" t="s">
        <v>20</v>
      </c>
      <c r="H1045" s="105"/>
      <c r="I1045" s="105"/>
      <c r="J1045" s="103" t="s">
        <v>58</v>
      </c>
      <c r="K1045" s="103" t="s">
        <v>16</v>
      </c>
      <c r="L1045" s="103" t="s">
        <v>255</v>
      </c>
      <c r="M1045" s="108" t="str">
        <f t="shared" si="157"/>
        <v/>
      </c>
      <c r="N1045" s="108" t="str">
        <f t="shared" si="157"/>
        <v>○</v>
      </c>
      <c r="O1045" s="108" t="str">
        <f t="shared" si="157"/>
        <v/>
      </c>
      <c r="P1045" s="108" t="str">
        <f t="shared" si="157"/>
        <v>○</v>
      </c>
      <c r="Q1045" s="108" t="str">
        <f t="shared" si="157"/>
        <v/>
      </c>
      <c r="R1045" s="103" t="str">
        <f t="shared" si="157"/>
        <v/>
      </c>
      <c r="S1045" s="103" t="s">
        <v>727</v>
      </c>
      <c r="T1045" s="103" t="s">
        <v>24</v>
      </c>
      <c r="U1045" s="103" t="s">
        <v>728</v>
      </c>
      <c r="V1045" s="103" t="s">
        <v>729</v>
      </c>
    </row>
    <row r="1046" spans="1:22" ht="13.5">
      <c r="A1046" s="102">
        <v>45628.779679282408</v>
      </c>
      <c r="B1046" s="103" t="s">
        <v>788</v>
      </c>
      <c r="C1046" s="104" t="str">
        <f t="shared" si="156"/>
        <v>○</v>
      </c>
      <c r="D1046" s="104" t="str">
        <f t="shared" si="156"/>
        <v>○</v>
      </c>
      <c r="E1046" s="104" t="str">
        <f t="shared" si="156"/>
        <v>×</v>
      </c>
      <c r="F1046" s="104" t="str">
        <f t="shared" si="156"/>
        <v>×</v>
      </c>
      <c r="G1046" s="103" t="s">
        <v>20</v>
      </c>
      <c r="H1046" s="105"/>
      <c r="I1046" s="105"/>
      <c r="J1046" s="103" t="s">
        <v>38</v>
      </c>
      <c r="K1046" s="103" t="s">
        <v>16</v>
      </c>
      <c r="L1046" s="103" t="s">
        <v>355</v>
      </c>
      <c r="M1046" s="108" t="str">
        <f t="shared" si="157"/>
        <v/>
      </c>
      <c r="N1046" s="108" t="str">
        <f t="shared" si="157"/>
        <v>○</v>
      </c>
      <c r="O1046" s="108" t="str">
        <f t="shared" si="157"/>
        <v/>
      </c>
      <c r="P1046" s="108" t="str">
        <f t="shared" si="157"/>
        <v>○</v>
      </c>
      <c r="Q1046" s="108" t="str">
        <f t="shared" si="157"/>
        <v>○</v>
      </c>
      <c r="R1046" s="103" t="str">
        <f t="shared" si="157"/>
        <v/>
      </c>
      <c r="S1046" s="103" t="s">
        <v>1056</v>
      </c>
      <c r="T1046" s="103" t="s">
        <v>24</v>
      </c>
      <c r="U1046" s="103" t="s">
        <v>1057</v>
      </c>
      <c r="V1046" s="103" t="s">
        <v>1058</v>
      </c>
    </row>
    <row r="1047" spans="1:22" ht="13.5">
      <c r="A1047" s="102">
        <v>45632.892965995372</v>
      </c>
      <c r="B1047" s="103" t="s">
        <v>199</v>
      </c>
      <c r="C1047" s="104" t="str">
        <f t="shared" si="156"/>
        <v>×</v>
      </c>
      <c r="D1047" s="104" t="str">
        <f t="shared" si="156"/>
        <v>○</v>
      </c>
      <c r="E1047" s="104" t="str">
        <f t="shared" si="156"/>
        <v>×</v>
      </c>
      <c r="F1047" s="104" t="str">
        <f t="shared" si="156"/>
        <v>×</v>
      </c>
      <c r="G1047" s="103" t="s">
        <v>20</v>
      </c>
      <c r="H1047" s="105"/>
      <c r="I1047" s="105"/>
      <c r="J1047" s="103" t="s">
        <v>58</v>
      </c>
      <c r="K1047" s="103" t="s">
        <v>16</v>
      </c>
      <c r="L1047" s="103" t="s">
        <v>255</v>
      </c>
      <c r="M1047" s="108" t="str">
        <f t="shared" si="157"/>
        <v/>
      </c>
      <c r="N1047" s="108" t="str">
        <f t="shared" si="157"/>
        <v>○</v>
      </c>
      <c r="O1047" s="108" t="str">
        <f t="shared" si="157"/>
        <v/>
      </c>
      <c r="P1047" s="108" t="str">
        <f t="shared" si="157"/>
        <v>○</v>
      </c>
      <c r="Q1047" s="108" t="str">
        <f t="shared" si="157"/>
        <v/>
      </c>
      <c r="R1047" s="103" t="str">
        <f t="shared" si="157"/>
        <v/>
      </c>
      <c r="S1047" s="103" t="s">
        <v>1851</v>
      </c>
      <c r="T1047" s="103" t="s">
        <v>1852</v>
      </c>
      <c r="U1047" s="103" t="s">
        <v>1057</v>
      </c>
      <c r="V1047" s="103" t="s">
        <v>1853</v>
      </c>
    </row>
    <row r="1048" spans="1:22" ht="13.5">
      <c r="A1048" s="102">
        <v>45626.400337592597</v>
      </c>
      <c r="B1048" s="103" t="s">
        <v>117</v>
      </c>
      <c r="C1048" s="104" t="str">
        <f t="shared" si="156"/>
        <v>×</v>
      </c>
      <c r="D1048" s="104" t="str">
        <f t="shared" si="156"/>
        <v>×</v>
      </c>
      <c r="E1048" s="104" t="str">
        <f t="shared" si="156"/>
        <v>○</v>
      </c>
      <c r="F1048" s="104" t="str">
        <f t="shared" si="156"/>
        <v>○</v>
      </c>
      <c r="G1048" s="103" t="s">
        <v>20</v>
      </c>
      <c r="H1048" s="105"/>
      <c r="I1048" s="105"/>
      <c r="J1048" s="103" t="s">
        <v>58</v>
      </c>
      <c r="K1048" s="103" t="s">
        <v>16</v>
      </c>
      <c r="L1048" s="103" t="s">
        <v>39</v>
      </c>
      <c r="M1048" s="108" t="str">
        <f t="shared" si="157"/>
        <v/>
      </c>
      <c r="N1048" s="108" t="str">
        <f t="shared" si="157"/>
        <v>○</v>
      </c>
      <c r="O1048" s="108" t="str">
        <f t="shared" si="157"/>
        <v/>
      </c>
      <c r="P1048" s="108" t="str">
        <f t="shared" si="157"/>
        <v/>
      </c>
      <c r="Q1048" s="108" t="str">
        <f t="shared" si="157"/>
        <v/>
      </c>
      <c r="R1048" s="103" t="str">
        <f t="shared" si="157"/>
        <v/>
      </c>
      <c r="S1048" s="105"/>
      <c r="T1048" s="103" t="s">
        <v>30</v>
      </c>
      <c r="U1048" s="103" t="s">
        <v>511</v>
      </c>
      <c r="V1048" s="103" t="s">
        <v>512</v>
      </c>
    </row>
    <row r="1049" spans="1:22" ht="13.5">
      <c r="A1049" s="102">
        <v>45628.560838923615</v>
      </c>
      <c r="B1049" s="103" t="s">
        <v>19</v>
      </c>
      <c r="C1049" s="104" t="str">
        <f t="shared" si="156"/>
        <v>×</v>
      </c>
      <c r="D1049" s="104" t="str">
        <f t="shared" si="156"/>
        <v>○</v>
      </c>
      <c r="E1049" s="104" t="str">
        <f t="shared" si="156"/>
        <v>×</v>
      </c>
      <c r="F1049" s="104" t="str">
        <f t="shared" si="156"/>
        <v>×</v>
      </c>
      <c r="G1049" s="103" t="s">
        <v>20</v>
      </c>
      <c r="H1049" s="105"/>
      <c r="I1049" s="105"/>
      <c r="J1049" s="103" t="s">
        <v>58</v>
      </c>
      <c r="K1049" s="103" t="s">
        <v>16</v>
      </c>
      <c r="L1049" s="103" t="s">
        <v>59</v>
      </c>
      <c r="M1049" s="108" t="str">
        <f t="shared" si="157"/>
        <v/>
      </c>
      <c r="N1049" s="108" t="str">
        <f t="shared" si="157"/>
        <v/>
      </c>
      <c r="O1049" s="108" t="str">
        <f t="shared" si="157"/>
        <v/>
      </c>
      <c r="P1049" s="108" t="str">
        <f t="shared" si="157"/>
        <v>○</v>
      </c>
      <c r="Q1049" s="108" t="str">
        <f t="shared" si="157"/>
        <v/>
      </c>
      <c r="R1049" s="103" t="str">
        <f t="shared" si="157"/>
        <v/>
      </c>
      <c r="S1049" s="103" t="s">
        <v>911</v>
      </c>
      <c r="T1049" s="103" t="s">
        <v>912</v>
      </c>
      <c r="U1049" s="103" t="s">
        <v>511</v>
      </c>
      <c r="V1049" s="103" t="s">
        <v>913</v>
      </c>
    </row>
    <row r="1050" spans="1:22" ht="13.5">
      <c r="A1050" s="102">
        <v>45628.850474594903</v>
      </c>
      <c r="B1050" s="103" t="s">
        <v>181</v>
      </c>
      <c r="C1050" s="104" t="str">
        <f t="shared" si="156"/>
        <v>×</v>
      </c>
      <c r="D1050" s="104" t="str">
        <f t="shared" si="156"/>
        <v>○</v>
      </c>
      <c r="E1050" s="104" t="str">
        <f t="shared" si="156"/>
        <v>×</v>
      </c>
      <c r="F1050" s="104" t="str">
        <f t="shared" si="156"/>
        <v>×</v>
      </c>
      <c r="G1050" s="103" t="s">
        <v>20</v>
      </c>
      <c r="H1050" s="105"/>
      <c r="I1050" s="105"/>
      <c r="J1050" s="103" t="s">
        <v>21</v>
      </c>
      <c r="K1050" s="103" t="s">
        <v>16</v>
      </c>
      <c r="L1050" s="103" t="s">
        <v>88</v>
      </c>
      <c r="M1050" s="108" t="str">
        <f t="shared" si="157"/>
        <v/>
      </c>
      <c r="N1050" s="108" t="str">
        <f t="shared" si="157"/>
        <v>○</v>
      </c>
      <c r="O1050" s="108" t="str">
        <f t="shared" si="157"/>
        <v/>
      </c>
      <c r="P1050" s="108" t="str">
        <f t="shared" si="157"/>
        <v/>
      </c>
      <c r="Q1050" s="108" t="str">
        <f t="shared" si="157"/>
        <v>○</v>
      </c>
      <c r="R1050" s="103" t="str">
        <f t="shared" si="157"/>
        <v/>
      </c>
      <c r="S1050" s="103" t="s">
        <v>1151</v>
      </c>
      <c r="T1050" s="103" t="s">
        <v>24</v>
      </c>
      <c r="U1050" s="103" t="s">
        <v>511</v>
      </c>
      <c r="V1050" s="103" t="s">
        <v>1152</v>
      </c>
    </row>
    <row r="1051" spans="1:22" ht="13.5">
      <c r="A1051" s="102">
        <v>45627.788631909723</v>
      </c>
      <c r="B1051" s="103" t="s">
        <v>93</v>
      </c>
      <c r="C1051" s="104" t="str">
        <f t="shared" si="156"/>
        <v>×</v>
      </c>
      <c r="D1051" s="104" t="str">
        <f t="shared" si="156"/>
        <v>×</v>
      </c>
      <c r="E1051" s="104" t="str">
        <f t="shared" si="156"/>
        <v>○</v>
      </c>
      <c r="F1051" s="104" t="str">
        <f t="shared" si="156"/>
        <v>×</v>
      </c>
      <c r="G1051" s="103" t="s">
        <v>20</v>
      </c>
      <c r="H1051" s="105"/>
      <c r="I1051" s="105"/>
      <c r="J1051" s="103" t="s">
        <v>118</v>
      </c>
      <c r="K1051" s="103" t="s">
        <v>16</v>
      </c>
      <c r="L1051" s="103" t="s">
        <v>739</v>
      </c>
      <c r="M1051" s="108" t="str">
        <f t="shared" si="157"/>
        <v/>
      </c>
      <c r="N1051" s="108" t="str">
        <f t="shared" si="157"/>
        <v>○</v>
      </c>
      <c r="O1051" s="108" t="str">
        <f t="shared" si="157"/>
        <v/>
      </c>
      <c r="P1051" s="108" t="str">
        <f t="shared" si="157"/>
        <v/>
      </c>
      <c r="Q1051" s="108" t="str">
        <f t="shared" si="157"/>
        <v/>
      </c>
      <c r="R1051" s="103" t="str">
        <f t="shared" si="157"/>
        <v/>
      </c>
      <c r="S1051" s="105"/>
      <c r="T1051" s="103" t="s">
        <v>740</v>
      </c>
      <c r="U1051" s="103" t="s">
        <v>741</v>
      </c>
      <c r="V1051" s="103" t="s">
        <v>742</v>
      </c>
    </row>
    <row r="1052" spans="1:22" ht="13.5">
      <c r="A1052" s="102">
        <v>45629.890848842595</v>
      </c>
      <c r="B1052" s="103" t="s">
        <v>1061</v>
      </c>
      <c r="C1052" s="104" t="str">
        <f t="shared" si="156"/>
        <v>×</v>
      </c>
      <c r="D1052" s="104" t="str">
        <f t="shared" si="156"/>
        <v>○</v>
      </c>
      <c r="E1052" s="104" t="str">
        <f t="shared" si="156"/>
        <v>○</v>
      </c>
      <c r="F1052" s="104" t="str">
        <f t="shared" si="156"/>
        <v>×</v>
      </c>
      <c r="G1052" s="103" t="s">
        <v>20</v>
      </c>
      <c r="H1052" s="105"/>
      <c r="I1052" s="105"/>
      <c r="J1052" s="103" t="s">
        <v>21</v>
      </c>
      <c r="K1052" s="103" t="s">
        <v>16</v>
      </c>
      <c r="L1052" s="103" t="s">
        <v>59</v>
      </c>
      <c r="M1052" s="108" t="str">
        <f t="shared" ref="M1052:R1061" si="158">IF(ISERROR(SEARCH(M$1,$L1052)),"","○")</f>
        <v/>
      </c>
      <c r="N1052" s="108" t="str">
        <f t="shared" si="158"/>
        <v/>
      </c>
      <c r="O1052" s="108" t="str">
        <f t="shared" si="158"/>
        <v/>
      </c>
      <c r="P1052" s="108" t="str">
        <f t="shared" si="158"/>
        <v>○</v>
      </c>
      <c r="Q1052" s="108" t="str">
        <f t="shared" si="158"/>
        <v/>
      </c>
      <c r="R1052" s="103" t="str">
        <f t="shared" si="158"/>
        <v/>
      </c>
      <c r="S1052" s="103" t="s">
        <v>1522</v>
      </c>
      <c r="T1052" s="103" t="s">
        <v>24</v>
      </c>
      <c r="U1052" s="103" t="s">
        <v>741</v>
      </c>
      <c r="V1052" s="103" t="s">
        <v>1523</v>
      </c>
    </row>
    <row r="1053" spans="1:22" ht="13.5">
      <c r="A1053" s="102">
        <v>45625.927693252313</v>
      </c>
      <c r="B1053" s="103" t="s">
        <v>71</v>
      </c>
      <c r="C1053" s="104" t="str">
        <f t="shared" si="156"/>
        <v>×</v>
      </c>
      <c r="D1053" s="104" t="str">
        <f t="shared" si="156"/>
        <v>○</v>
      </c>
      <c r="E1053" s="104" t="str">
        <f t="shared" si="156"/>
        <v>○</v>
      </c>
      <c r="F1053" s="104" t="str">
        <f t="shared" si="156"/>
        <v>×</v>
      </c>
      <c r="G1053" s="103" t="s">
        <v>20</v>
      </c>
      <c r="H1053" s="105"/>
      <c r="I1053" s="105"/>
      <c r="J1053" s="103" t="s">
        <v>58</v>
      </c>
      <c r="K1053" s="103" t="s">
        <v>16</v>
      </c>
      <c r="L1053" s="103" t="s">
        <v>39</v>
      </c>
      <c r="M1053" s="108" t="str">
        <f t="shared" si="158"/>
        <v/>
      </c>
      <c r="N1053" s="108" t="str">
        <f t="shared" si="158"/>
        <v>○</v>
      </c>
      <c r="O1053" s="108" t="str">
        <f t="shared" si="158"/>
        <v/>
      </c>
      <c r="P1053" s="108" t="str">
        <f t="shared" si="158"/>
        <v/>
      </c>
      <c r="Q1053" s="108" t="str">
        <f t="shared" si="158"/>
        <v/>
      </c>
      <c r="R1053" s="103" t="str">
        <f t="shared" si="158"/>
        <v/>
      </c>
      <c r="S1053" s="105"/>
      <c r="T1053" s="103" t="s">
        <v>364</v>
      </c>
      <c r="U1053" s="103" t="s">
        <v>364</v>
      </c>
      <c r="V1053" s="105"/>
    </row>
    <row r="1054" spans="1:22" ht="13.5">
      <c r="A1054" s="102">
        <v>45626.734469120369</v>
      </c>
      <c r="B1054" s="103" t="s">
        <v>64</v>
      </c>
      <c r="C1054" s="104" t="str">
        <f t="shared" si="156"/>
        <v>○</v>
      </c>
      <c r="D1054" s="104" t="str">
        <f t="shared" si="156"/>
        <v>○</v>
      </c>
      <c r="E1054" s="104" t="str">
        <f t="shared" si="156"/>
        <v>×</v>
      </c>
      <c r="F1054" s="104" t="str">
        <f t="shared" si="156"/>
        <v>×</v>
      </c>
      <c r="G1054" s="103" t="s">
        <v>20</v>
      </c>
      <c r="H1054" s="105"/>
      <c r="I1054" s="105"/>
      <c r="J1054" s="103" t="s">
        <v>38</v>
      </c>
      <c r="K1054" s="103" t="s">
        <v>16</v>
      </c>
      <c r="L1054" s="103" t="s">
        <v>88</v>
      </c>
      <c r="M1054" s="108" t="str">
        <f t="shared" si="158"/>
        <v/>
      </c>
      <c r="N1054" s="108" t="str">
        <f t="shared" si="158"/>
        <v>○</v>
      </c>
      <c r="O1054" s="108" t="str">
        <f t="shared" si="158"/>
        <v/>
      </c>
      <c r="P1054" s="108" t="str">
        <f t="shared" si="158"/>
        <v/>
      </c>
      <c r="Q1054" s="108" t="str">
        <f t="shared" si="158"/>
        <v>○</v>
      </c>
      <c r="R1054" s="103" t="str">
        <f t="shared" si="158"/>
        <v/>
      </c>
      <c r="S1054" s="103" t="s">
        <v>591</v>
      </c>
      <c r="T1054" s="103" t="s">
        <v>24</v>
      </c>
      <c r="U1054" s="103" t="s">
        <v>592</v>
      </c>
      <c r="V1054" s="103" t="s">
        <v>593</v>
      </c>
    </row>
    <row r="1055" spans="1:22" ht="13.5">
      <c r="A1055" s="102">
        <v>45628.441932268513</v>
      </c>
      <c r="B1055" s="103" t="s">
        <v>19</v>
      </c>
      <c r="C1055" s="104" t="str">
        <f t="shared" si="156"/>
        <v>×</v>
      </c>
      <c r="D1055" s="104" t="str">
        <f t="shared" si="156"/>
        <v>○</v>
      </c>
      <c r="E1055" s="104" t="str">
        <f t="shared" si="156"/>
        <v>×</v>
      </c>
      <c r="F1055" s="104" t="str">
        <f t="shared" si="156"/>
        <v>×</v>
      </c>
      <c r="G1055" s="103" t="s">
        <v>20</v>
      </c>
      <c r="H1055" s="105"/>
      <c r="I1055" s="105"/>
      <c r="J1055" s="103" t="s">
        <v>58</v>
      </c>
      <c r="K1055" s="103" t="s">
        <v>16</v>
      </c>
      <c r="L1055" s="103" t="s">
        <v>39</v>
      </c>
      <c r="M1055" s="108" t="str">
        <f t="shared" si="158"/>
        <v/>
      </c>
      <c r="N1055" s="108" t="str">
        <f t="shared" si="158"/>
        <v>○</v>
      </c>
      <c r="O1055" s="108" t="str">
        <f t="shared" si="158"/>
        <v/>
      </c>
      <c r="P1055" s="108" t="str">
        <f t="shared" si="158"/>
        <v/>
      </c>
      <c r="Q1055" s="108" t="str">
        <f t="shared" si="158"/>
        <v/>
      </c>
      <c r="R1055" s="103" t="str">
        <f t="shared" si="158"/>
        <v/>
      </c>
      <c r="S1055" s="105"/>
      <c r="T1055" s="103" t="s">
        <v>30</v>
      </c>
      <c r="U1055" s="103" t="s">
        <v>903</v>
      </c>
      <c r="V1055" s="103" t="s">
        <v>904</v>
      </c>
    </row>
    <row r="1056" spans="1:22" ht="13.5">
      <c r="A1056" s="102">
        <v>45628.893986539348</v>
      </c>
      <c r="B1056" s="103" t="s">
        <v>57</v>
      </c>
      <c r="C1056" s="104" t="str">
        <f t="shared" si="156"/>
        <v>×</v>
      </c>
      <c r="D1056" s="104" t="str">
        <f t="shared" si="156"/>
        <v>○</v>
      </c>
      <c r="E1056" s="104" t="str">
        <f t="shared" si="156"/>
        <v>×</v>
      </c>
      <c r="F1056" s="104" t="str">
        <f t="shared" si="156"/>
        <v>×</v>
      </c>
      <c r="G1056" s="103" t="s">
        <v>20</v>
      </c>
      <c r="H1056" s="105"/>
      <c r="I1056" s="105"/>
      <c r="J1056" s="103" t="s">
        <v>58</v>
      </c>
      <c r="K1056" s="103" t="s">
        <v>16</v>
      </c>
      <c r="L1056" s="103" t="s">
        <v>68</v>
      </c>
      <c r="M1056" s="108" t="str">
        <f t="shared" si="158"/>
        <v/>
      </c>
      <c r="N1056" s="108" t="str">
        <f t="shared" si="158"/>
        <v/>
      </c>
      <c r="O1056" s="108" t="str">
        <f t="shared" si="158"/>
        <v/>
      </c>
      <c r="P1056" s="108" t="str">
        <f t="shared" si="158"/>
        <v/>
      </c>
      <c r="Q1056" s="108" t="str">
        <f t="shared" si="158"/>
        <v>○</v>
      </c>
      <c r="R1056" s="103" t="str">
        <f t="shared" si="158"/>
        <v/>
      </c>
      <c r="S1056" s="103" t="s">
        <v>1206</v>
      </c>
      <c r="T1056" s="103" t="s">
        <v>24</v>
      </c>
      <c r="U1056" s="103" t="s">
        <v>903</v>
      </c>
      <c r="V1056" s="103" t="s">
        <v>1207</v>
      </c>
    </row>
    <row r="1057" spans="1:22" ht="13.5">
      <c r="A1057" s="102">
        <v>45635.344816967598</v>
      </c>
      <c r="B1057" s="103" t="s">
        <v>788</v>
      </c>
      <c r="C1057" s="104" t="str">
        <f t="shared" si="156"/>
        <v>○</v>
      </c>
      <c r="D1057" s="104" t="str">
        <f t="shared" si="156"/>
        <v>○</v>
      </c>
      <c r="E1057" s="104" t="str">
        <f t="shared" si="156"/>
        <v>×</v>
      </c>
      <c r="F1057" s="104" t="str">
        <f t="shared" si="156"/>
        <v>×</v>
      </c>
      <c r="G1057" s="103" t="s">
        <v>20</v>
      </c>
      <c r="H1057" s="105"/>
      <c r="I1057" s="105"/>
      <c r="J1057" s="103" t="s">
        <v>58</v>
      </c>
      <c r="K1057" s="103" t="s">
        <v>16</v>
      </c>
      <c r="L1057" s="103" t="s">
        <v>88</v>
      </c>
      <c r="M1057" s="108" t="str">
        <f t="shared" si="158"/>
        <v/>
      </c>
      <c r="N1057" s="108" t="str">
        <f t="shared" si="158"/>
        <v>○</v>
      </c>
      <c r="O1057" s="108" t="str">
        <f t="shared" si="158"/>
        <v/>
      </c>
      <c r="P1057" s="108" t="str">
        <f t="shared" si="158"/>
        <v/>
      </c>
      <c r="Q1057" s="108" t="str">
        <f t="shared" si="158"/>
        <v>○</v>
      </c>
      <c r="R1057" s="103" t="str">
        <f t="shared" si="158"/>
        <v/>
      </c>
      <c r="S1057" s="105"/>
      <c r="T1057" s="103" t="s">
        <v>24</v>
      </c>
      <c r="U1057" s="103" t="s">
        <v>903</v>
      </c>
      <c r="V1057" s="105"/>
    </row>
    <row r="1058" spans="1:22" ht="13.5">
      <c r="A1058" s="102">
        <v>45628.913655358796</v>
      </c>
      <c r="B1058" s="103" t="s">
        <v>41</v>
      </c>
      <c r="C1058" s="104" t="str">
        <f t="shared" si="156"/>
        <v>×</v>
      </c>
      <c r="D1058" s="104" t="str">
        <f t="shared" si="156"/>
        <v>○</v>
      </c>
      <c r="E1058" s="104" t="str">
        <f t="shared" si="156"/>
        <v>×</v>
      </c>
      <c r="F1058" s="104" t="str">
        <f t="shared" si="156"/>
        <v>×</v>
      </c>
      <c r="G1058" s="103" t="s">
        <v>20</v>
      </c>
      <c r="H1058" s="105"/>
      <c r="I1058" s="105"/>
      <c r="J1058" s="103" t="s">
        <v>38</v>
      </c>
      <c r="K1058" s="103" t="s">
        <v>16</v>
      </c>
      <c r="L1058" s="103" t="s">
        <v>39</v>
      </c>
      <c r="M1058" s="108" t="str">
        <f t="shared" si="158"/>
        <v/>
      </c>
      <c r="N1058" s="108" t="str">
        <f t="shared" si="158"/>
        <v>○</v>
      </c>
      <c r="O1058" s="108" t="str">
        <f t="shared" si="158"/>
        <v/>
      </c>
      <c r="P1058" s="108" t="str">
        <f t="shared" si="158"/>
        <v/>
      </c>
      <c r="Q1058" s="108" t="str">
        <f t="shared" si="158"/>
        <v/>
      </c>
      <c r="R1058" s="103" t="str">
        <f t="shared" si="158"/>
        <v/>
      </c>
      <c r="S1058" s="105"/>
      <c r="T1058" s="103" t="s">
        <v>30</v>
      </c>
      <c r="U1058" s="103" t="s">
        <v>1247</v>
      </c>
      <c r="V1058" s="103" t="s">
        <v>1248</v>
      </c>
    </row>
    <row r="1059" spans="1:22" ht="13.5">
      <c r="A1059" s="102">
        <v>45625.789640925927</v>
      </c>
      <c r="B1059" s="103" t="s">
        <v>105</v>
      </c>
      <c r="C1059" s="104" t="str">
        <f t="shared" si="156"/>
        <v>×</v>
      </c>
      <c r="D1059" s="104" t="str">
        <f t="shared" si="156"/>
        <v>×</v>
      </c>
      <c r="E1059" s="104" t="str">
        <f t="shared" si="156"/>
        <v>○</v>
      </c>
      <c r="F1059" s="104" t="str">
        <f t="shared" si="156"/>
        <v>×</v>
      </c>
      <c r="G1059" s="103" t="s">
        <v>20</v>
      </c>
      <c r="H1059" s="105"/>
      <c r="I1059" s="105"/>
      <c r="J1059" s="103" t="s">
        <v>58</v>
      </c>
      <c r="K1059" s="103" t="s">
        <v>16</v>
      </c>
      <c r="L1059" s="103" t="s">
        <v>39</v>
      </c>
      <c r="M1059" s="108" t="str">
        <f t="shared" si="158"/>
        <v/>
      </c>
      <c r="N1059" s="108" t="str">
        <f t="shared" si="158"/>
        <v>○</v>
      </c>
      <c r="O1059" s="108" t="str">
        <f t="shared" si="158"/>
        <v/>
      </c>
      <c r="P1059" s="108" t="str">
        <f t="shared" si="158"/>
        <v/>
      </c>
      <c r="Q1059" s="108" t="str">
        <f t="shared" si="158"/>
        <v/>
      </c>
      <c r="R1059" s="103" t="str">
        <f t="shared" si="158"/>
        <v/>
      </c>
      <c r="S1059" s="103" t="s">
        <v>276</v>
      </c>
      <c r="T1059" s="103" t="s">
        <v>30</v>
      </c>
      <c r="U1059" s="103" t="s">
        <v>277</v>
      </c>
      <c r="V1059" s="103" t="s">
        <v>278</v>
      </c>
    </row>
    <row r="1060" spans="1:22" ht="13.5">
      <c r="A1060" s="102">
        <v>45630.502750636573</v>
      </c>
      <c r="B1060" s="103" t="s">
        <v>547</v>
      </c>
      <c r="C1060" s="104" t="str">
        <f t="shared" si="156"/>
        <v>×</v>
      </c>
      <c r="D1060" s="104" t="str">
        <f t="shared" si="156"/>
        <v>○</v>
      </c>
      <c r="E1060" s="104" t="str">
        <f t="shared" si="156"/>
        <v>○</v>
      </c>
      <c r="F1060" s="104" t="str">
        <f t="shared" si="156"/>
        <v>○</v>
      </c>
      <c r="G1060" s="103" t="s">
        <v>20</v>
      </c>
      <c r="H1060" s="105"/>
      <c r="I1060" s="105"/>
      <c r="J1060" s="103" t="s">
        <v>58</v>
      </c>
      <c r="K1060" s="103" t="s">
        <v>16</v>
      </c>
      <c r="L1060" s="103" t="s">
        <v>112</v>
      </c>
      <c r="M1060" s="108" t="str">
        <f t="shared" si="158"/>
        <v/>
      </c>
      <c r="N1060" s="108" t="str">
        <f t="shared" si="158"/>
        <v/>
      </c>
      <c r="O1060" s="108" t="str">
        <f t="shared" si="158"/>
        <v>○</v>
      </c>
      <c r="P1060" s="108" t="str">
        <f t="shared" si="158"/>
        <v>○</v>
      </c>
      <c r="Q1060" s="108" t="str">
        <f t="shared" si="158"/>
        <v>○</v>
      </c>
      <c r="R1060" s="103" t="str">
        <f t="shared" si="158"/>
        <v/>
      </c>
      <c r="S1060" s="103" t="s">
        <v>1622</v>
      </c>
      <c r="T1060" s="103" t="s">
        <v>30</v>
      </c>
      <c r="U1060" s="103" t="s">
        <v>277</v>
      </c>
      <c r="V1060" s="105"/>
    </row>
    <row r="1061" spans="1:22" ht="13.5">
      <c r="A1061" s="102">
        <v>45635.894272731486</v>
      </c>
      <c r="B1061" s="103" t="s">
        <v>347</v>
      </c>
      <c r="C1061" s="104" t="str">
        <f t="shared" si="156"/>
        <v>×</v>
      </c>
      <c r="D1061" s="104" t="str">
        <f t="shared" si="156"/>
        <v>○</v>
      </c>
      <c r="E1061" s="104" t="str">
        <f t="shared" si="156"/>
        <v>○</v>
      </c>
      <c r="F1061" s="104" t="str">
        <f t="shared" si="156"/>
        <v>×</v>
      </c>
      <c r="G1061" s="103" t="s">
        <v>20</v>
      </c>
      <c r="H1061" s="105"/>
      <c r="I1061" s="105"/>
      <c r="J1061" s="103" t="s">
        <v>1998</v>
      </c>
      <c r="K1061" s="103" t="s">
        <v>34</v>
      </c>
      <c r="L1061" s="105"/>
      <c r="M1061" s="110" t="str">
        <f t="shared" si="158"/>
        <v/>
      </c>
      <c r="N1061" s="110" t="str">
        <f t="shared" si="158"/>
        <v/>
      </c>
      <c r="O1061" s="110" t="str">
        <f t="shared" si="158"/>
        <v/>
      </c>
      <c r="P1061" s="110" t="str">
        <f t="shared" si="158"/>
        <v/>
      </c>
      <c r="Q1061" s="110" t="str">
        <f t="shared" si="158"/>
        <v/>
      </c>
      <c r="R1061" s="105" t="str">
        <f t="shared" si="158"/>
        <v/>
      </c>
      <c r="S1061" s="105"/>
      <c r="T1061" s="103" t="s">
        <v>61</v>
      </c>
      <c r="U1061" s="103" t="s">
        <v>277</v>
      </c>
      <c r="V1061" s="103" t="s">
        <v>1999</v>
      </c>
    </row>
    <row r="1062" spans="1:22" ht="13.5">
      <c r="A1062" s="102">
        <v>45627.934209988423</v>
      </c>
      <c r="B1062" s="103" t="s">
        <v>817</v>
      </c>
      <c r="C1062" s="104" t="str">
        <f t="shared" ref="C1062:F1081" si="159">IF(ISERROR(FIND(C$1,$B1062)),"×","○")</f>
        <v>×</v>
      </c>
      <c r="D1062" s="104" t="str">
        <f t="shared" si="159"/>
        <v>○</v>
      </c>
      <c r="E1062" s="104" t="str">
        <f t="shared" si="159"/>
        <v>○</v>
      </c>
      <c r="F1062" s="104" t="str">
        <f t="shared" si="159"/>
        <v>×</v>
      </c>
      <c r="G1062" s="103" t="s">
        <v>13</v>
      </c>
      <c r="H1062" s="103" t="s">
        <v>77</v>
      </c>
      <c r="I1062" s="103" t="s">
        <v>414</v>
      </c>
      <c r="J1062" s="105"/>
      <c r="K1062" s="103" t="s">
        <v>34</v>
      </c>
      <c r="L1062" s="105"/>
      <c r="M1062" s="110" t="str">
        <f t="shared" ref="M1062:R1071" si="160">IF(ISERROR(SEARCH(M$1,$L1062)),"","○")</f>
        <v/>
      </c>
      <c r="N1062" s="110" t="str">
        <f t="shared" si="160"/>
        <v/>
      </c>
      <c r="O1062" s="110" t="str">
        <f t="shared" si="160"/>
        <v/>
      </c>
      <c r="P1062" s="110" t="str">
        <f t="shared" si="160"/>
        <v/>
      </c>
      <c r="Q1062" s="110" t="str">
        <f t="shared" si="160"/>
        <v/>
      </c>
      <c r="R1062" s="105" t="str">
        <f t="shared" si="160"/>
        <v/>
      </c>
      <c r="S1062" s="105"/>
      <c r="T1062" s="103" t="s">
        <v>24</v>
      </c>
      <c r="U1062" s="103" t="s">
        <v>818</v>
      </c>
      <c r="V1062" s="103" t="s">
        <v>819</v>
      </c>
    </row>
    <row r="1063" spans="1:22" ht="13.5">
      <c r="A1063" s="102">
        <v>45627.786335127312</v>
      </c>
      <c r="B1063" s="103" t="s">
        <v>547</v>
      </c>
      <c r="C1063" s="104" t="str">
        <f t="shared" si="159"/>
        <v>×</v>
      </c>
      <c r="D1063" s="104" t="str">
        <f t="shared" si="159"/>
        <v>○</v>
      </c>
      <c r="E1063" s="104" t="str">
        <f t="shared" si="159"/>
        <v>○</v>
      </c>
      <c r="F1063" s="104" t="str">
        <f t="shared" si="159"/>
        <v>○</v>
      </c>
      <c r="G1063" s="103" t="s">
        <v>20</v>
      </c>
      <c r="H1063" s="105"/>
      <c r="I1063" s="105"/>
      <c r="J1063" s="103" t="s">
        <v>58</v>
      </c>
      <c r="K1063" s="103" t="s">
        <v>16</v>
      </c>
      <c r="L1063" s="103" t="s">
        <v>88</v>
      </c>
      <c r="M1063" s="108" t="str">
        <f t="shared" si="160"/>
        <v/>
      </c>
      <c r="N1063" s="108" t="str">
        <f t="shared" si="160"/>
        <v>○</v>
      </c>
      <c r="O1063" s="108" t="str">
        <f t="shared" si="160"/>
        <v/>
      </c>
      <c r="P1063" s="108" t="str">
        <f t="shared" si="160"/>
        <v/>
      </c>
      <c r="Q1063" s="108" t="str">
        <f t="shared" si="160"/>
        <v>○</v>
      </c>
      <c r="R1063" s="103" t="str">
        <f t="shared" si="160"/>
        <v/>
      </c>
      <c r="S1063" s="105"/>
      <c r="T1063" s="103" t="s">
        <v>30</v>
      </c>
      <c r="U1063" s="103" t="s">
        <v>737</v>
      </c>
      <c r="V1063" s="103" t="s">
        <v>738</v>
      </c>
    </row>
    <row r="1064" spans="1:22" ht="13.5">
      <c r="A1064" s="102">
        <v>45628.914203032407</v>
      </c>
      <c r="B1064" s="103" t="s">
        <v>288</v>
      </c>
      <c r="C1064" s="104" t="str">
        <f t="shared" si="159"/>
        <v>×</v>
      </c>
      <c r="D1064" s="104" t="str">
        <f t="shared" si="159"/>
        <v>○</v>
      </c>
      <c r="E1064" s="104" t="str">
        <f t="shared" si="159"/>
        <v>○</v>
      </c>
      <c r="F1064" s="104" t="str">
        <f t="shared" si="159"/>
        <v>×</v>
      </c>
      <c r="G1064" s="103" t="s">
        <v>20</v>
      </c>
      <c r="H1064" s="105"/>
      <c r="I1064" s="105"/>
      <c r="J1064" s="103" t="s">
        <v>58</v>
      </c>
      <c r="K1064" s="103" t="s">
        <v>16</v>
      </c>
      <c r="L1064" s="103" t="s">
        <v>39</v>
      </c>
      <c r="M1064" s="108" t="str">
        <f t="shared" si="160"/>
        <v/>
      </c>
      <c r="N1064" s="108" t="str">
        <f t="shared" si="160"/>
        <v>○</v>
      </c>
      <c r="O1064" s="108" t="str">
        <f t="shared" si="160"/>
        <v/>
      </c>
      <c r="P1064" s="108" t="str">
        <f t="shared" si="160"/>
        <v/>
      </c>
      <c r="Q1064" s="108" t="str">
        <f t="shared" si="160"/>
        <v/>
      </c>
      <c r="R1064" s="103" t="str">
        <f t="shared" si="160"/>
        <v/>
      </c>
      <c r="S1064" s="105"/>
      <c r="T1064" s="103" t="s">
        <v>1251</v>
      </c>
      <c r="U1064" s="103" t="s">
        <v>1252</v>
      </c>
      <c r="V1064" s="105"/>
    </row>
    <row r="1065" spans="1:22" ht="13.5">
      <c r="A1065" s="102">
        <v>45631.021243530093</v>
      </c>
      <c r="B1065" s="103" t="s">
        <v>49</v>
      </c>
      <c r="C1065" s="104" t="str">
        <f t="shared" si="159"/>
        <v>×</v>
      </c>
      <c r="D1065" s="104" t="str">
        <f t="shared" si="159"/>
        <v>○</v>
      </c>
      <c r="E1065" s="104" t="str">
        <f t="shared" si="159"/>
        <v>×</v>
      </c>
      <c r="F1065" s="104" t="str">
        <f t="shared" si="159"/>
        <v>×</v>
      </c>
      <c r="G1065" s="103" t="s">
        <v>20</v>
      </c>
      <c r="H1065" s="105"/>
      <c r="I1065" s="105"/>
      <c r="J1065" s="103" t="s">
        <v>21</v>
      </c>
      <c r="K1065" s="103" t="s">
        <v>16</v>
      </c>
      <c r="L1065" s="103" t="s">
        <v>39</v>
      </c>
      <c r="M1065" s="108" t="str">
        <f t="shared" si="160"/>
        <v/>
      </c>
      <c r="N1065" s="108" t="str">
        <f t="shared" si="160"/>
        <v>○</v>
      </c>
      <c r="O1065" s="108" t="str">
        <f t="shared" si="160"/>
        <v/>
      </c>
      <c r="P1065" s="108" t="str">
        <f t="shared" si="160"/>
        <v/>
      </c>
      <c r="Q1065" s="108" t="str">
        <f t="shared" si="160"/>
        <v/>
      </c>
      <c r="R1065" s="103" t="str">
        <f t="shared" si="160"/>
        <v/>
      </c>
      <c r="S1065" s="105"/>
      <c r="T1065" s="103" t="s">
        <v>30</v>
      </c>
      <c r="U1065" s="103" t="s">
        <v>1727</v>
      </c>
      <c r="V1065" s="103" t="s">
        <v>1728</v>
      </c>
    </row>
    <row r="1066" spans="1:22" ht="13.5">
      <c r="A1066" s="102">
        <v>45625.886306307875</v>
      </c>
      <c r="B1066" s="103" t="s">
        <v>343</v>
      </c>
      <c r="C1066" s="104" t="str">
        <f t="shared" si="159"/>
        <v>×</v>
      </c>
      <c r="D1066" s="104" t="str">
        <f t="shared" si="159"/>
        <v>○</v>
      </c>
      <c r="E1066" s="104" t="str">
        <f t="shared" si="159"/>
        <v>○</v>
      </c>
      <c r="F1066" s="104" t="str">
        <f t="shared" si="159"/>
        <v>×</v>
      </c>
      <c r="G1066" s="103" t="s">
        <v>13</v>
      </c>
      <c r="H1066" s="103" t="s">
        <v>77</v>
      </c>
      <c r="I1066" s="103" t="s">
        <v>344</v>
      </c>
      <c r="J1066" s="105"/>
      <c r="K1066" s="103" t="s">
        <v>34</v>
      </c>
      <c r="L1066" s="105"/>
      <c r="M1066" s="110" t="str">
        <f t="shared" si="160"/>
        <v/>
      </c>
      <c r="N1066" s="110" t="str">
        <f t="shared" si="160"/>
        <v/>
      </c>
      <c r="O1066" s="110" t="str">
        <f t="shared" si="160"/>
        <v/>
      </c>
      <c r="P1066" s="110" t="str">
        <f t="shared" si="160"/>
        <v/>
      </c>
      <c r="Q1066" s="110" t="str">
        <f t="shared" si="160"/>
        <v/>
      </c>
      <c r="R1066" s="105" t="str">
        <f t="shared" si="160"/>
        <v/>
      </c>
      <c r="S1066" s="105"/>
      <c r="T1066" s="103" t="s">
        <v>30</v>
      </c>
      <c r="U1066" s="103" t="s">
        <v>345</v>
      </c>
      <c r="V1066" s="103" t="s">
        <v>346</v>
      </c>
    </row>
    <row r="1067" spans="1:22" ht="13.5">
      <c r="A1067" s="102">
        <v>45629.840086400465</v>
      </c>
      <c r="B1067" s="103" t="s">
        <v>188</v>
      </c>
      <c r="C1067" s="104" t="str">
        <f t="shared" si="159"/>
        <v>×</v>
      </c>
      <c r="D1067" s="104" t="str">
        <f t="shared" si="159"/>
        <v>○</v>
      </c>
      <c r="E1067" s="104" t="str">
        <f t="shared" si="159"/>
        <v>×</v>
      </c>
      <c r="F1067" s="104" t="str">
        <f t="shared" si="159"/>
        <v>×</v>
      </c>
      <c r="G1067" s="103" t="s">
        <v>20</v>
      </c>
      <c r="H1067" s="105"/>
      <c r="I1067" s="105"/>
      <c r="J1067" s="103" t="s">
        <v>38</v>
      </c>
      <c r="K1067" s="103" t="s">
        <v>16</v>
      </c>
      <c r="L1067" s="103" t="s">
        <v>355</v>
      </c>
      <c r="M1067" s="108" t="str">
        <f t="shared" si="160"/>
        <v/>
      </c>
      <c r="N1067" s="108" t="str">
        <f t="shared" si="160"/>
        <v>○</v>
      </c>
      <c r="O1067" s="108" t="str">
        <f t="shared" si="160"/>
        <v/>
      </c>
      <c r="P1067" s="108" t="str">
        <f t="shared" si="160"/>
        <v>○</v>
      </c>
      <c r="Q1067" s="108" t="str">
        <f t="shared" si="160"/>
        <v>○</v>
      </c>
      <c r="R1067" s="103" t="str">
        <f t="shared" si="160"/>
        <v/>
      </c>
      <c r="S1067" s="103" t="s">
        <v>1481</v>
      </c>
      <c r="T1067" s="103" t="s">
        <v>24</v>
      </c>
      <c r="U1067" s="103" t="s">
        <v>1482</v>
      </c>
      <c r="V1067" s="103" t="s">
        <v>1483</v>
      </c>
    </row>
    <row r="1068" spans="1:22" ht="13.5">
      <c r="A1068" s="102">
        <v>45630.36440943287</v>
      </c>
      <c r="B1068" s="103" t="s">
        <v>49</v>
      </c>
      <c r="C1068" s="104" t="str">
        <f t="shared" si="159"/>
        <v>×</v>
      </c>
      <c r="D1068" s="104" t="str">
        <f t="shared" si="159"/>
        <v>○</v>
      </c>
      <c r="E1068" s="104" t="str">
        <f t="shared" si="159"/>
        <v>×</v>
      </c>
      <c r="F1068" s="104" t="str">
        <f t="shared" si="159"/>
        <v>×</v>
      </c>
      <c r="G1068" s="103" t="s">
        <v>13</v>
      </c>
      <c r="H1068" s="103" t="s">
        <v>77</v>
      </c>
      <c r="I1068" s="103" t="s">
        <v>1607</v>
      </c>
      <c r="J1068" s="105"/>
      <c r="K1068" s="103" t="s">
        <v>34</v>
      </c>
      <c r="L1068" s="105"/>
      <c r="M1068" s="110" t="str">
        <f t="shared" si="160"/>
        <v/>
      </c>
      <c r="N1068" s="110" t="str">
        <f t="shared" si="160"/>
        <v/>
      </c>
      <c r="O1068" s="110" t="str">
        <f t="shared" si="160"/>
        <v/>
      </c>
      <c r="P1068" s="110" t="str">
        <f t="shared" si="160"/>
        <v/>
      </c>
      <c r="Q1068" s="110" t="str">
        <f t="shared" si="160"/>
        <v/>
      </c>
      <c r="R1068" s="105" t="str">
        <f t="shared" si="160"/>
        <v/>
      </c>
      <c r="S1068" s="105"/>
      <c r="T1068" s="103" t="s">
        <v>1608</v>
      </c>
      <c r="U1068" s="103" t="s">
        <v>1608</v>
      </c>
      <c r="V1068" s="103" t="s">
        <v>1609</v>
      </c>
    </row>
    <row r="1069" spans="1:22" ht="13.5">
      <c r="A1069" s="102">
        <v>45629.839054282405</v>
      </c>
      <c r="B1069" s="103" t="s">
        <v>389</v>
      </c>
      <c r="C1069" s="104" t="str">
        <f t="shared" si="159"/>
        <v>×</v>
      </c>
      <c r="D1069" s="104" t="str">
        <f t="shared" si="159"/>
        <v>○</v>
      </c>
      <c r="E1069" s="104" t="str">
        <f t="shared" si="159"/>
        <v>×</v>
      </c>
      <c r="F1069" s="104" t="str">
        <f t="shared" si="159"/>
        <v>×</v>
      </c>
      <c r="G1069" s="103" t="s">
        <v>20</v>
      </c>
      <c r="H1069" s="105"/>
      <c r="I1069" s="105"/>
      <c r="J1069" s="103" t="s">
        <v>21</v>
      </c>
      <c r="K1069" s="103" t="s">
        <v>16</v>
      </c>
      <c r="L1069" s="103" t="s">
        <v>88</v>
      </c>
      <c r="M1069" s="108" t="str">
        <f t="shared" si="160"/>
        <v/>
      </c>
      <c r="N1069" s="108" t="str">
        <f t="shared" si="160"/>
        <v>○</v>
      </c>
      <c r="O1069" s="108" t="str">
        <f t="shared" si="160"/>
        <v/>
      </c>
      <c r="P1069" s="108" t="str">
        <f t="shared" si="160"/>
        <v/>
      </c>
      <c r="Q1069" s="108" t="str">
        <f t="shared" si="160"/>
        <v>○</v>
      </c>
      <c r="R1069" s="103" t="str">
        <f t="shared" si="160"/>
        <v/>
      </c>
      <c r="S1069" s="103" t="s">
        <v>1478</v>
      </c>
      <c r="T1069" s="103" t="s">
        <v>1479</v>
      </c>
      <c r="U1069" s="103" t="s">
        <v>1479</v>
      </c>
      <c r="V1069" s="103" t="s">
        <v>1480</v>
      </c>
    </row>
    <row r="1070" spans="1:22" ht="13.5">
      <c r="A1070" s="102">
        <v>45628.917988182875</v>
      </c>
      <c r="B1070" s="103" t="s">
        <v>49</v>
      </c>
      <c r="C1070" s="104" t="str">
        <f t="shared" si="159"/>
        <v>×</v>
      </c>
      <c r="D1070" s="104" t="str">
        <f t="shared" si="159"/>
        <v>○</v>
      </c>
      <c r="E1070" s="104" t="str">
        <f t="shared" si="159"/>
        <v>×</v>
      </c>
      <c r="F1070" s="104" t="str">
        <f t="shared" si="159"/>
        <v>×</v>
      </c>
      <c r="G1070" s="103" t="s">
        <v>20</v>
      </c>
      <c r="H1070" s="105"/>
      <c r="I1070" s="105"/>
      <c r="J1070" s="103" t="s">
        <v>21</v>
      </c>
      <c r="K1070" s="103" t="s">
        <v>16</v>
      </c>
      <c r="L1070" s="103" t="s">
        <v>189</v>
      </c>
      <c r="M1070" s="108" t="str">
        <f t="shared" si="160"/>
        <v/>
      </c>
      <c r="N1070" s="108" t="str">
        <f t="shared" si="160"/>
        <v/>
      </c>
      <c r="O1070" s="108" t="str">
        <f t="shared" si="160"/>
        <v/>
      </c>
      <c r="P1070" s="108" t="str">
        <f t="shared" si="160"/>
        <v>○</v>
      </c>
      <c r="Q1070" s="108" t="str">
        <f t="shared" si="160"/>
        <v>○</v>
      </c>
      <c r="R1070" s="103" t="str">
        <f t="shared" si="160"/>
        <v/>
      </c>
      <c r="S1070" s="103" t="s">
        <v>1253</v>
      </c>
      <c r="T1070" s="103" t="s">
        <v>30</v>
      </c>
      <c r="U1070" s="103" t="s">
        <v>1254</v>
      </c>
      <c r="V1070" s="103" t="s">
        <v>1255</v>
      </c>
    </row>
    <row r="1071" spans="1:22" ht="13.5">
      <c r="A1071" s="102">
        <v>45626.392849444441</v>
      </c>
      <c r="B1071" s="103" t="s">
        <v>93</v>
      </c>
      <c r="C1071" s="104" t="str">
        <f t="shared" si="159"/>
        <v>×</v>
      </c>
      <c r="D1071" s="104" t="str">
        <f t="shared" si="159"/>
        <v>×</v>
      </c>
      <c r="E1071" s="104" t="str">
        <f t="shared" si="159"/>
        <v>○</v>
      </c>
      <c r="F1071" s="104" t="str">
        <f t="shared" si="159"/>
        <v>×</v>
      </c>
      <c r="G1071" s="103" t="s">
        <v>20</v>
      </c>
      <c r="H1071" s="105"/>
      <c r="I1071" s="105"/>
      <c r="J1071" s="103" t="s">
        <v>58</v>
      </c>
      <c r="K1071" s="103" t="s">
        <v>16</v>
      </c>
      <c r="L1071" s="103" t="s">
        <v>88</v>
      </c>
      <c r="M1071" s="108" t="str">
        <f t="shared" si="160"/>
        <v/>
      </c>
      <c r="N1071" s="108" t="str">
        <f t="shared" si="160"/>
        <v>○</v>
      </c>
      <c r="O1071" s="108" t="str">
        <f t="shared" si="160"/>
        <v/>
      </c>
      <c r="P1071" s="108" t="str">
        <f t="shared" si="160"/>
        <v/>
      </c>
      <c r="Q1071" s="108" t="str">
        <f t="shared" si="160"/>
        <v>○</v>
      </c>
      <c r="R1071" s="103" t="str">
        <f t="shared" si="160"/>
        <v/>
      </c>
      <c r="S1071" s="103" t="s">
        <v>500</v>
      </c>
      <c r="T1071" s="103" t="s">
        <v>30</v>
      </c>
      <c r="U1071" s="103" t="s">
        <v>501</v>
      </c>
      <c r="V1071" s="103" t="s">
        <v>502</v>
      </c>
    </row>
    <row r="1072" spans="1:22" ht="13.5">
      <c r="A1072" s="102">
        <v>45626.533060682872</v>
      </c>
      <c r="B1072" s="103" t="s">
        <v>93</v>
      </c>
      <c r="C1072" s="104" t="str">
        <f t="shared" si="159"/>
        <v>×</v>
      </c>
      <c r="D1072" s="104" t="str">
        <f t="shared" si="159"/>
        <v>×</v>
      </c>
      <c r="E1072" s="104" t="str">
        <f t="shared" si="159"/>
        <v>○</v>
      </c>
      <c r="F1072" s="104" t="str">
        <f t="shared" si="159"/>
        <v>×</v>
      </c>
      <c r="G1072" s="103" t="s">
        <v>13</v>
      </c>
      <c r="H1072" s="103" t="s">
        <v>47</v>
      </c>
      <c r="I1072" s="103" t="s">
        <v>560</v>
      </c>
      <c r="J1072" s="105"/>
      <c r="K1072" s="103" t="s">
        <v>16</v>
      </c>
      <c r="L1072" s="103" t="s">
        <v>22</v>
      </c>
      <c r="M1072" s="108" t="str">
        <f t="shared" ref="M1072:R1081" si="161">IF(ISERROR(SEARCH(M$1,$L1072)),"","○")</f>
        <v/>
      </c>
      <c r="N1072" s="108" t="str">
        <f t="shared" si="161"/>
        <v/>
      </c>
      <c r="O1072" s="108" t="str">
        <f t="shared" si="161"/>
        <v>○</v>
      </c>
      <c r="P1072" s="108" t="str">
        <f t="shared" si="161"/>
        <v>○</v>
      </c>
      <c r="Q1072" s="108" t="str">
        <f t="shared" si="161"/>
        <v/>
      </c>
      <c r="R1072" s="103" t="str">
        <f t="shared" si="161"/>
        <v/>
      </c>
      <c r="S1072" s="103" t="s">
        <v>561</v>
      </c>
      <c r="T1072" s="103" t="s">
        <v>24</v>
      </c>
      <c r="U1072" s="103" t="s">
        <v>562</v>
      </c>
      <c r="V1072" s="103" t="s">
        <v>563</v>
      </c>
    </row>
    <row r="1073" spans="1:22" ht="13.5">
      <c r="A1073" s="102">
        <v>45628.731000983797</v>
      </c>
      <c r="B1073" s="103" t="s">
        <v>990</v>
      </c>
      <c r="C1073" s="104" t="str">
        <f t="shared" si="159"/>
        <v>○</v>
      </c>
      <c r="D1073" s="104" t="str">
        <f t="shared" si="159"/>
        <v>○</v>
      </c>
      <c r="E1073" s="104" t="str">
        <f t="shared" si="159"/>
        <v>○</v>
      </c>
      <c r="F1073" s="104" t="str">
        <f t="shared" si="159"/>
        <v>×</v>
      </c>
      <c r="G1073" s="103" t="s">
        <v>20</v>
      </c>
      <c r="H1073" s="105"/>
      <c r="I1073" s="105"/>
      <c r="J1073" s="103" t="s">
        <v>58</v>
      </c>
      <c r="K1073" s="103" t="s">
        <v>16</v>
      </c>
      <c r="L1073" s="103" t="s">
        <v>991</v>
      </c>
      <c r="M1073" s="108" t="str">
        <f t="shared" si="161"/>
        <v/>
      </c>
      <c r="N1073" s="108" t="str">
        <f t="shared" si="161"/>
        <v/>
      </c>
      <c r="O1073" s="108" t="str">
        <f t="shared" si="161"/>
        <v/>
      </c>
      <c r="P1073" s="108" t="str">
        <f t="shared" si="161"/>
        <v/>
      </c>
      <c r="Q1073" s="108" t="str">
        <f t="shared" si="161"/>
        <v/>
      </c>
      <c r="R1073" s="103" t="str">
        <f t="shared" si="161"/>
        <v/>
      </c>
      <c r="S1073" s="103" t="s">
        <v>992</v>
      </c>
      <c r="T1073" s="103" t="s">
        <v>993</v>
      </c>
      <c r="U1073" s="103" t="s">
        <v>994</v>
      </c>
      <c r="V1073" s="103" t="s">
        <v>995</v>
      </c>
    </row>
    <row r="1074" spans="1:22" ht="13.5">
      <c r="A1074" s="102">
        <v>45628.80426380787</v>
      </c>
      <c r="B1074" s="103" t="s">
        <v>164</v>
      </c>
      <c r="C1074" s="104" t="str">
        <f t="shared" si="159"/>
        <v>×</v>
      </c>
      <c r="D1074" s="104" t="str">
        <f t="shared" si="159"/>
        <v>○</v>
      </c>
      <c r="E1074" s="104" t="str">
        <f t="shared" si="159"/>
        <v>×</v>
      </c>
      <c r="F1074" s="104" t="str">
        <f t="shared" si="159"/>
        <v>×</v>
      </c>
      <c r="G1074" s="103" t="s">
        <v>20</v>
      </c>
      <c r="H1074" s="105"/>
      <c r="I1074" s="105"/>
      <c r="J1074" s="103" t="s">
        <v>38</v>
      </c>
      <c r="K1074" s="103" t="s">
        <v>16</v>
      </c>
      <c r="L1074" s="103" t="s">
        <v>59</v>
      </c>
      <c r="M1074" s="108" t="str">
        <f t="shared" si="161"/>
        <v/>
      </c>
      <c r="N1074" s="108" t="str">
        <f t="shared" si="161"/>
        <v/>
      </c>
      <c r="O1074" s="108" t="str">
        <f t="shared" si="161"/>
        <v/>
      </c>
      <c r="P1074" s="108" t="str">
        <f t="shared" si="161"/>
        <v>○</v>
      </c>
      <c r="Q1074" s="108" t="str">
        <f t="shared" si="161"/>
        <v/>
      </c>
      <c r="R1074" s="103" t="str">
        <f t="shared" si="161"/>
        <v/>
      </c>
      <c r="S1074" s="103" t="s">
        <v>1071</v>
      </c>
      <c r="T1074" s="103" t="s">
        <v>24</v>
      </c>
      <c r="U1074" s="103" t="s">
        <v>1072</v>
      </c>
      <c r="V1074" s="103" t="s">
        <v>1073</v>
      </c>
    </row>
    <row r="1075" spans="1:22" ht="13.5">
      <c r="A1075" s="102">
        <v>45625.952102777781</v>
      </c>
      <c r="B1075" s="103" t="s">
        <v>41</v>
      </c>
      <c r="C1075" s="104" t="str">
        <f t="shared" si="159"/>
        <v>×</v>
      </c>
      <c r="D1075" s="104" t="str">
        <f t="shared" si="159"/>
        <v>○</v>
      </c>
      <c r="E1075" s="104" t="str">
        <f t="shared" si="159"/>
        <v>×</v>
      </c>
      <c r="F1075" s="104" t="str">
        <f t="shared" si="159"/>
        <v>×</v>
      </c>
      <c r="G1075" s="103" t="s">
        <v>13</v>
      </c>
      <c r="H1075" s="103" t="s">
        <v>27</v>
      </c>
      <c r="I1075" s="103" t="s">
        <v>376</v>
      </c>
      <c r="J1075" s="105"/>
      <c r="K1075" s="103" t="s">
        <v>34</v>
      </c>
      <c r="L1075" s="105"/>
      <c r="M1075" s="110" t="str">
        <f t="shared" si="161"/>
        <v/>
      </c>
      <c r="N1075" s="110" t="str">
        <f t="shared" si="161"/>
        <v/>
      </c>
      <c r="O1075" s="110" t="str">
        <f t="shared" si="161"/>
        <v/>
      </c>
      <c r="P1075" s="110" t="str">
        <f t="shared" si="161"/>
        <v/>
      </c>
      <c r="Q1075" s="110" t="str">
        <f t="shared" si="161"/>
        <v/>
      </c>
      <c r="R1075" s="105" t="str">
        <f t="shared" si="161"/>
        <v/>
      </c>
      <c r="S1075" s="105"/>
      <c r="T1075" s="103" t="s">
        <v>24</v>
      </c>
      <c r="U1075" s="103" t="s">
        <v>377</v>
      </c>
      <c r="V1075" s="103" t="s">
        <v>378</v>
      </c>
    </row>
    <row r="1076" spans="1:22" ht="13.5">
      <c r="A1076" s="102">
        <v>45629.7116846875</v>
      </c>
      <c r="B1076" s="103" t="s">
        <v>57</v>
      </c>
      <c r="C1076" s="104" t="str">
        <f t="shared" si="159"/>
        <v>×</v>
      </c>
      <c r="D1076" s="104" t="str">
        <f t="shared" si="159"/>
        <v>○</v>
      </c>
      <c r="E1076" s="104" t="str">
        <f t="shared" si="159"/>
        <v>×</v>
      </c>
      <c r="F1076" s="104" t="str">
        <f t="shared" si="159"/>
        <v>×</v>
      </c>
      <c r="G1076" s="103" t="s">
        <v>20</v>
      </c>
      <c r="H1076" s="105"/>
      <c r="I1076" s="105"/>
      <c r="J1076" s="103" t="s">
        <v>21</v>
      </c>
      <c r="K1076" s="103" t="s">
        <v>16</v>
      </c>
      <c r="L1076" s="103" t="s">
        <v>59</v>
      </c>
      <c r="M1076" s="108" t="str">
        <f t="shared" si="161"/>
        <v/>
      </c>
      <c r="N1076" s="108" t="str">
        <f t="shared" si="161"/>
        <v/>
      </c>
      <c r="O1076" s="108" t="str">
        <f t="shared" si="161"/>
        <v/>
      </c>
      <c r="P1076" s="108" t="str">
        <f t="shared" si="161"/>
        <v>○</v>
      </c>
      <c r="Q1076" s="108" t="str">
        <f t="shared" si="161"/>
        <v/>
      </c>
      <c r="R1076" s="103" t="str">
        <f t="shared" si="161"/>
        <v/>
      </c>
      <c r="S1076" s="103" t="s">
        <v>1412</v>
      </c>
      <c r="T1076" s="103" t="s">
        <v>1413</v>
      </c>
      <c r="U1076" s="103" t="s">
        <v>1414</v>
      </c>
      <c r="V1076" s="103" t="s">
        <v>1415</v>
      </c>
    </row>
    <row r="1077" spans="1:22" ht="13.5">
      <c r="A1077" s="102">
        <v>45628.901081678239</v>
      </c>
      <c r="B1077" s="103" t="s">
        <v>788</v>
      </c>
      <c r="C1077" s="104" t="str">
        <f t="shared" si="159"/>
        <v>○</v>
      </c>
      <c r="D1077" s="104" t="str">
        <f t="shared" si="159"/>
        <v>○</v>
      </c>
      <c r="E1077" s="104" t="str">
        <f t="shared" si="159"/>
        <v>×</v>
      </c>
      <c r="F1077" s="104" t="str">
        <f t="shared" si="159"/>
        <v>×</v>
      </c>
      <c r="G1077" s="103" t="s">
        <v>20</v>
      </c>
      <c r="H1077" s="105"/>
      <c r="I1077" s="105"/>
      <c r="J1077" s="103" t="s">
        <v>21</v>
      </c>
      <c r="K1077" s="103" t="s">
        <v>16</v>
      </c>
      <c r="L1077" s="103" t="s">
        <v>59</v>
      </c>
      <c r="M1077" s="108" t="str">
        <f t="shared" si="161"/>
        <v/>
      </c>
      <c r="N1077" s="108" t="str">
        <f t="shared" si="161"/>
        <v/>
      </c>
      <c r="O1077" s="108" t="str">
        <f t="shared" si="161"/>
        <v/>
      </c>
      <c r="P1077" s="108" t="str">
        <f t="shared" si="161"/>
        <v>○</v>
      </c>
      <c r="Q1077" s="108" t="str">
        <f t="shared" si="161"/>
        <v/>
      </c>
      <c r="R1077" s="103" t="str">
        <f t="shared" si="161"/>
        <v/>
      </c>
      <c r="S1077" s="103" t="s">
        <v>1218</v>
      </c>
      <c r="T1077" s="103" t="s">
        <v>24</v>
      </c>
      <c r="U1077" s="103" t="s">
        <v>1219</v>
      </c>
      <c r="V1077" s="105"/>
    </row>
    <row r="1078" spans="1:22" ht="13.5">
      <c r="A1078" s="102">
        <v>45628.522645798614</v>
      </c>
      <c r="B1078" s="103" t="s">
        <v>649</v>
      </c>
      <c r="C1078" s="104" t="str">
        <f t="shared" si="159"/>
        <v>×</v>
      </c>
      <c r="D1078" s="104" t="str">
        <f t="shared" si="159"/>
        <v>○</v>
      </c>
      <c r="E1078" s="104" t="str">
        <f t="shared" si="159"/>
        <v>○</v>
      </c>
      <c r="F1078" s="104" t="str">
        <f t="shared" si="159"/>
        <v>×</v>
      </c>
      <c r="G1078" s="103" t="s">
        <v>13</v>
      </c>
      <c r="H1078" s="103" t="s">
        <v>77</v>
      </c>
      <c r="I1078" s="103" t="s">
        <v>905</v>
      </c>
      <c r="J1078" s="105"/>
      <c r="K1078" s="103" t="s">
        <v>34</v>
      </c>
      <c r="L1078" s="105"/>
      <c r="M1078" s="110" t="str">
        <f t="shared" si="161"/>
        <v/>
      </c>
      <c r="N1078" s="110" t="str">
        <f t="shared" si="161"/>
        <v/>
      </c>
      <c r="O1078" s="110" t="str">
        <f t="shared" si="161"/>
        <v/>
      </c>
      <c r="P1078" s="110" t="str">
        <f t="shared" si="161"/>
        <v/>
      </c>
      <c r="Q1078" s="110" t="str">
        <f t="shared" si="161"/>
        <v/>
      </c>
      <c r="R1078" s="105" t="str">
        <f t="shared" si="161"/>
        <v/>
      </c>
      <c r="S1078" s="105"/>
      <c r="T1078" s="103" t="s">
        <v>35</v>
      </c>
      <c r="U1078" s="103" t="s">
        <v>906</v>
      </c>
      <c r="V1078" s="103" t="s">
        <v>907</v>
      </c>
    </row>
    <row r="1079" spans="1:22" ht="13.5">
      <c r="A1079" s="102">
        <v>45634.702866643522</v>
      </c>
      <c r="B1079" s="103" t="s">
        <v>57</v>
      </c>
      <c r="C1079" s="104" t="str">
        <f t="shared" si="159"/>
        <v>×</v>
      </c>
      <c r="D1079" s="104" t="str">
        <f t="shared" si="159"/>
        <v>○</v>
      </c>
      <c r="E1079" s="104" t="str">
        <f t="shared" si="159"/>
        <v>×</v>
      </c>
      <c r="F1079" s="104" t="str">
        <f t="shared" si="159"/>
        <v>×</v>
      </c>
      <c r="G1079" s="103" t="s">
        <v>13</v>
      </c>
      <c r="H1079" s="103" t="s">
        <v>77</v>
      </c>
      <c r="I1079" s="103" t="s">
        <v>1936</v>
      </c>
      <c r="J1079" s="105"/>
      <c r="K1079" s="103" t="s">
        <v>34</v>
      </c>
      <c r="L1079" s="105"/>
      <c r="M1079" s="110" t="str">
        <f t="shared" si="161"/>
        <v/>
      </c>
      <c r="N1079" s="110" t="str">
        <f t="shared" si="161"/>
        <v/>
      </c>
      <c r="O1079" s="110" t="str">
        <f t="shared" si="161"/>
        <v/>
      </c>
      <c r="P1079" s="110" t="str">
        <f t="shared" si="161"/>
        <v/>
      </c>
      <c r="Q1079" s="110" t="str">
        <f t="shared" si="161"/>
        <v/>
      </c>
      <c r="R1079" s="105" t="str">
        <f t="shared" si="161"/>
        <v/>
      </c>
      <c r="S1079" s="105"/>
      <c r="T1079" s="103" t="s">
        <v>24</v>
      </c>
      <c r="U1079" s="103" t="s">
        <v>1937</v>
      </c>
      <c r="V1079" s="103" t="s">
        <v>1938</v>
      </c>
    </row>
    <row r="1080" spans="1:22" ht="13.5">
      <c r="A1080" s="102">
        <v>45629.315167349538</v>
      </c>
      <c r="B1080" s="103" t="s">
        <v>57</v>
      </c>
      <c r="C1080" s="104" t="str">
        <f t="shared" si="159"/>
        <v>×</v>
      </c>
      <c r="D1080" s="104" t="str">
        <f t="shared" si="159"/>
        <v>○</v>
      </c>
      <c r="E1080" s="104" t="str">
        <f t="shared" si="159"/>
        <v>×</v>
      </c>
      <c r="F1080" s="104" t="str">
        <f t="shared" si="159"/>
        <v>×</v>
      </c>
      <c r="G1080" s="103" t="s">
        <v>13</v>
      </c>
      <c r="H1080" s="103" t="s">
        <v>32</v>
      </c>
      <c r="I1080" s="103" t="s">
        <v>1347</v>
      </c>
      <c r="J1080" s="105"/>
      <c r="K1080" s="103" t="s">
        <v>34</v>
      </c>
      <c r="L1080" s="105"/>
      <c r="M1080" s="110" t="str">
        <f t="shared" si="161"/>
        <v/>
      </c>
      <c r="N1080" s="110" t="str">
        <f t="shared" si="161"/>
        <v/>
      </c>
      <c r="O1080" s="110" t="str">
        <f t="shared" si="161"/>
        <v/>
      </c>
      <c r="P1080" s="110" t="str">
        <f t="shared" si="161"/>
        <v/>
      </c>
      <c r="Q1080" s="110" t="str">
        <f t="shared" si="161"/>
        <v/>
      </c>
      <c r="R1080" s="105" t="str">
        <f t="shared" si="161"/>
        <v/>
      </c>
      <c r="S1080" s="105"/>
      <c r="T1080" s="103" t="s">
        <v>30</v>
      </c>
      <c r="U1080" s="103" t="s">
        <v>1348</v>
      </c>
      <c r="V1080" s="103" t="s">
        <v>1349</v>
      </c>
    </row>
    <row r="1081" spans="1:22" ht="13.5">
      <c r="A1081" s="102">
        <v>45625.795449756944</v>
      </c>
      <c r="B1081" s="103" t="s">
        <v>19</v>
      </c>
      <c r="C1081" s="104" t="str">
        <f t="shared" si="159"/>
        <v>×</v>
      </c>
      <c r="D1081" s="104" t="str">
        <f t="shared" si="159"/>
        <v>○</v>
      </c>
      <c r="E1081" s="104" t="str">
        <f t="shared" si="159"/>
        <v>×</v>
      </c>
      <c r="F1081" s="104" t="str">
        <f t="shared" si="159"/>
        <v>×</v>
      </c>
      <c r="G1081" s="103" t="s">
        <v>20</v>
      </c>
      <c r="H1081" s="105"/>
      <c r="I1081" s="105"/>
      <c r="J1081" s="103" t="s">
        <v>58</v>
      </c>
      <c r="K1081" s="103" t="s">
        <v>16</v>
      </c>
      <c r="L1081" s="103" t="s">
        <v>255</v>
      </c>
      <c r="M1081" s="108" t="str">
        <f t="shared" si="161"/>
        <v/>
      </c>
      <c r="N1081" s="108" t="str">
        <f t="shared" si="161"/>
        <v>○</v>
      </c>
      <c r="O1081" s="108" t="str">
        <f t="shared" si="161"/>
        <v/>
      </c>
      <c r="P1081" s="108" t="str">
        <f t="shared" si="161"/>
        <v>○</v>
      </c>
      <c r="Q1081" s="108" t="str">
        <f t="shared" si="161"/>
        <v/>
      </c>
      <c r="R1081" s="103" t="str">
        <f t="shared" si="161"/>
        <v/>
      </c>
      <c r="S1081" s="103" t="s">
        <v>285</v>
      </c>
      <c r="T1081" s="103" t="s">
        <v>24</v>
      </c>
      <c r="U1081" s="103" t="s">
        <v>286</v>
      </c>
      <c r="V1081" s="103" t="s">
        <v>287</v>
      </c>
    </row>
    <row r="1082" spans="1:22" ht="13.5">
      <c r="A1082" s="102">
        <v>45628.904032662038</v>
      </c>
      <c r="B1082" s="103" t="s">
        <v>638</v>
      </c>
      <c r="C1082" s="104" t="str">
        <f t="shared" ref="C1082:F1088" si="162">IF(ISERROR(FIND(C$1,$B1082)),"×","○")</f>
        <v>×</v>
      </c>
      <c r="D1082" s="104" t="str">
        <f t="shared" si="162"/>
        <v>○</v>
      </c>
      <c r="E1082" s="104" t="str">
        <f t="shared" si="162"/>
        <v>○</v>
      </c>
      <c r="F1082" s="104" t="str">
        <f t="shared" si="162"/>
        <v>×</v>
      </c>
      <c r="G1082" s="103" t="s">
        <v>20</v>
      </c>
      <c r="H1082" s="105"/>
      <c r="I1082" s="105"/>
      <c r="J1082" s="103" t="s">
        <v>1229</v>
      </c>
      <c r="K1082" s="103" t="s">
        <v>16</v>
      </c>
      <c r="L1082" s="103" t="s">
        <v>279</v>
      </c>
      <c r="M1082" s="108" t="str">
        <f t="shared" ref="M1082:R1088" si="163">IF(ISERROR(SEARCH(M$1,$L1082)),"","○")</f>
        <v/>
      </c>
      <c r="N1082" s="108" t="str">
        <f t="shared" si="163"/>
        <v>○</v>
      </c>
      <c r="O1082" s="108" t="str">
        <f t="shared" si="163"/>
        <v>○</v>
      </c>
      <c r="P1082" s="108" t="str">
        <f t="shared" si="163"/>
        <v/>
      </c>
      <c r="Q1082" s="108" t="str">
        <f t="shared" si="163"/>
        <v/>
      </c>
      <c r="R1082" s="103" t="str">
        <f t="shared" si="163"/>
        <v/>
      </c>
      <c r="S1082" s="105"/>
      <c r="T1082" s="103" t="s">
        <v>24</v>
      </c>
      <c r="U1082" s="103" t="s">
        <v>1230</v>
      </c>
      <c r="V1082" s="103" t="s">
        <v>1231</v>
      </c>
    </row>
    <row r="1083" spans="1:22" ht="13.5">
      <c r="A1083" s="102">
        <v>45628.668488055555</v>
      </c>
      <c r="B1083" s="103" t="s">
        <v>49</v>
      </c>
      <c r="C1083" s="104" t="str">
        <f t="shared" si="162"/>
        <v>×</v>
      </c>
      <c r="D1083" s="104" t="str">
        <f t="shared" si="162"/>
        <v>○</v>
      </c>
      <c r="E1083" s="104" t="str">
        <f t="shared" si="162"/>
        <v>×</v>
      </c>
      <c r="F1083" s="104" t="str">
        <f t="shared" si="162"/>
        <v>×</v>
      </c>
      <c r="G1083" s="103" t="s">
        <v>13</v>
      </c>
      <c r="H1083" s="103" t="s">
        <v>77</v>
      </c>
      <c r="I1083" s="103" t="s">
        <v>922</v>
      </c>
      <c r="J1083" s="105"/>
      <c r="K1083" s="103" t="s">
        <v>16</v>
      </c>
      <c r="L1083" s="103" t="s">
        <v>945</v>
      </c>
      <c r="M1083" s="108" t="str">
        <f t="shared" si="163"/>
        <v/>
      </c>
      <c r="N1083" s="108" t="str">
        <f t="shared" si="163"/>
        <v/>
      </c>
      <c r="O1083" s="108" t="str">
        <f t="shared" si="163"/>
        <v/>
      </c>
      <c r="P1083" s="108" t="str">
        <f t="shared" si="163"/>
        <v/>
      </c>
      <c r="Q1083" s="108" t="str">
        <f t="shared" si="163"/>
        <v/>
      </c>
      <c r="R1083" s="103" t="str">
        <f t="shared" si="163"/>
        <v/>
      </c>
      <c r="S1083" s="105"/>
      <c r="T1083" s="103" t="s">
        <v>946</v>
      </c>
      <c r="U1083" s="103" t="s">
        <v>947</v>
      </c>
      <c r="V1083" s="103" t="s">
        <v>948</v>
      </c>
    </row>
    <row r="1084" spans="1:22" ht="13.5">
      <c r="A1084" s="102">
        <v>45628.844313692127</v>
      </c>
      <c r="B1084" s="103" t="s">
        <v>164</v>
      </c>
      <c r="C1084" s="104" t="str">
        <f t="shared" si="162"/>
        <v>×</v>
      </c>
      <c r="D1084" s="104" t="str">
        <f t="shared" si="162"/>
        <v>○</v>
      </c>
      <c r="E1084" s="104" t="str">
        <f t="shared" si="162"/>
        <v>×</v>
      </c>
      <c r="F1084" s="104" t="str">
        <f t="shared" si="162"/>
        <v>×</v>
      </c>
      <c r="G1084" s="103" t="s">
        <v>20</v>
      </c>
      <c r="H1084" s="105"/>
      <c r="I1084" s="105"/>
      <c r="J1084" s="103" t="s">
        <v>21</v>
      </c>
      <c r="K1084" s="103" t="s">
        <v>16</v>
      </c>
      <c r="L1084" s="103" t="s">
        <v>88</v>
      </c>
      <c r="M1084" s="108" t="str">
        <f t="shared" si="163"/>
        <v/>
      </c>
      <c r="N1084" s="108" t="str">
        <f t="shared" si="163"/>
        <v>○</v>
      </c>
      <c r="O1084" s="108" t="str">
        <f t="shared" si="163"/>
        <v/>
      </c>
      <c r="P1084" s="108" t="str">
        <f t="shared" si="163"/>
        <v/>
      </c>
      <c r="Q1084" s="108" t="str">
        <f t="shared" si="163"/>
        <v>○</v>
      </c>
      <c r="R1084" s="103" t="str">
        <f t="shared" si="163"/>
        <v/>
      </c>
      <c r="S1084" s="103" t="s">
        <v>1146</v>
      </c>
      <c r="T1084" s="103" t="s">
        <v>30</v>
      </c>
      <c r="U1084" s="103" t="s">
        <v>1147</v>
      </c>
      <c r="V1084" s="105"/>
    </row>
    <row r="1085" spans="1:22" ht="13.5">
      <c r="A1085" s="102">
        <v>45628.346332002315</v>
      </c>
      <c r="B1085" s="103" t="s">
        <v>649</v>
      </c>
      <c r="C1085" s="104" t="str">
        <f t="shared" si="162"/>
        <v>×</v>
      </c>
      <c r="D1085" s="104" t="str">
        <f t="shared" si="162"/>
        <v>○</v>
      </c>
      <c r="E1085" s="104" t="str">
        <f t="shared" si="162"/>
        <v>○</v>
      </c>
      <c r="F1085" s="104" t="str">
        <f t="shared" si="162"/>
        <v>×</v>
      </c>
      <c r="G1085" s="103" t="s">
        <v>20</v>
      </c>
      <c r="H1085" s="105"/>
      <c r="I1085" s="105"/>
      <c r="J1085" s="103" t="s">
        <v>21</v>
      </c>
      <c r="K1085" s="103" t="s">
        <v>16</v>
      </c>
      <c r="L1085" s="103" t="s">
        <v>886</v>
      </c>
      <c r="M1085" s="108" t="str">
        <f t="shared" si="163"/>
        <v/>
      </c>
      <c r="N1085" s="108" t="str">
        <f t="shared" si="163"/>
        <v/>
      </c>
      <c r="O1085" s="108" t="str">
        <f t="shared" si="163"/>
        <v/>
      </c>
      <c r="P1085" s="108" t="str">
        <f t="shared" si="163"/>
        <v/>
      </c>
      <c r="Q1085" s="108" t="str">
        <f t="shared" si="163"/>
        <v/>
      </c>
      <c r="R1085" s="103" t="str">
        <f t="shared" si="163"/>
        <v/>
      </c>
      <c r="S1085" s="105"/>
      <c r="T1085" s="103" t="s">
        <v>30</v>
      </c>
      <c r="U1085" s="103" t="s">
        <v>887</v>
      </c>
      <c r="V1085" s="105"/>
    </row>
    <row r="1086" spans="1:22" ht="13.5">
      <c r="A1086" s="102">
        <v>45628.997547638894</v>
      </c>
      <c r="B1086" s="103" t="s">
        <v>649</v>
      </c>
      <c r="C1086" s="104" t="str">
        <f t="shared" si="162"/>
        <v>×</v>
      </c>
      <c r="D1086" s="104" t="str">
        <f t="shared" si="162"/>
        <v>○</v>
      </c>
      <c r="E1086" s="104" t="str">
        <f t="shared" si="162"/>
        <v>○</v>
      </c>
      <c r="F1086" s="104" t="str">
        <f t="shared" si="162"/>
        <v>×</v>
      </c>
      <c r="G1086" s="103" t="s">
        <v>20</v>
      </c>
      <c r="H1086" s="105"/>
      <c r="I1086" s="105"/>
      <c r="J1086" s="103" t="s">
        <v>58</v>
      </c>
      <c r="K1086" s="103" t="s">
        <v>16</v>
      </c>
      <c r="L1086" s="103" t="s">
        <v>39</v>
      </c>
      <c r="M1086" s="108" t="str">
        <f t="shared" si="163"/>
        <v/>
      </c>
      <c r="N1086" s="108" t="str">
        <f t="shared" si="163"/>
        <v>○</v>
      </c>
      <c r="O1086" s="108" t="str">
        <f t="shared" si="163"/>
        <v/>
      </c>
      <c r="P1086" s="108" t="str">
        <f t="shared" si="163"/>
        <v/>
      </c>
      <c r="Q1086" s="108" t="str">
        <f t="shared" si="163"/>
        <v/>
      </c>
      <c r="R1086" s="103" t="str">
        <f t="shared" si="163"/>
        <v/>
      </c>
      <c r="S1086" s="105"/>
      <c r="T1086" s="103" t="s">
        <v>30</v>
      </c>
      <c r="U1086" s="103" t="s">
        <v>1297</v>
      </c>
      <c r="V1086" s="105"/>
    </row>
    <row r="1087" spans="1:22" ht="13.5">
      <c r="A1087" s="102">
        <v>45633.690167881941</v>
      </c>
      <c r="B1087" s="103" t="s">
        <v>41</v>
      </c>
      <c r="C1087" s="104" t="str">
        <f t="shared" si="162"/>
        <v>×</v>
      </c>
      <c r="D1087" s="104" t="str">
        <f t="shared" si="162"/>
        <v>○</v>
      </c>
      <c r="E1087" s="104" t="str">
        <f t="shared" si="162"/>
        <v>×</v>
      </c>
      <c r="F1087" s="104" t="str">
        <f t="shared" si="162"/>
        <v>×</v>
      </c>
      <c r="G1087" s="103" t="s">
        <v>13</v>
      </c>
      <c r="H1087" s="103" t="s">
        <v>77</v>
      </c>
      <c r="I1087" s="103" t="s">
        <v>1888</v>
      </c>
      <c r="J1087" s="105"/>
      <c r="K1087" s="103" t="s">
        <v>34</v>
      </c>
      <c r="L1087" s="105"/>
      <c r="M1087" s="110" t="str">
        <f t="shared" si="163"/>
        <v/>
      </c>
      <c r="N1087" s="110" t="str">
        <f t="shared" si="163"/>
        <v/>
      </c>
      <c r="O1087" s="110" t="str">
        <f t="shared" si="163"/>
        <v/>
      </c>
      <c r="P1087" s="110" t="str">
        <f t="shared" si="163"/>
        <v/>
      </c>
      <c r="Q1087" s="110" t="str">
        <f t="shared" si="163"/>
        <v/>
      </c>
      <c r="R1087" s="105" t="str">
        <f t="shared" si="163"/>
        <v/>
      </c>
      <c r="S1087" s="105"/>
      <c r="T1087" s="103" t="s">
        <v>30</v>
      </c>
      <c r="U1087" s="103" t="s">
        <v>1889</v>
      </c>
      <c r="V1087" s="103" t="s">
        <v>1890</v>
      </c>
    </row>
    <row r="1088" spans="1:22" ht="13.5">
      <c r="A1088" s="102">
        <v>45626.782910000002</v>
      </c>
      <c r="B1088" s="103" t="s">
        <v>49</v>
      </c>
      <c r="C1088" s="104" t="str">
        <f t="shared" si="162"/>
        <v>×</v>
      </c>
      <c r="D1088" s="104" t="str">
        <f t="shared" si="162"/>
        <v>○</v>
      </c>
      <c r="E1088" s="104" t="str">
        <f t="shared" si="162"/>
        <v>×</v>
      </c>
      <c r="F1088" s="104" t="str">
        <f t="shared" si="162"/>
        <v>×</v>
      </c>
      <c r="G1088" s="103" t="s">
        <v>20</v>
      </c>
      <c r="H1088" s="105"/>
      <c r="I1088" s="105"/>
      <c r="J1088" s="103" t="s">
        <v>38</v>
      </c>
      <c r="K1088" s="103" t="s">
        <v>16</v>
      </c>
      <c r="L1088" s="103" t="s">
        <v>88</v>
      </c>
      <c r="M1088" s="108" t="str">
        <f t="shared" si="163"/>
        <v/>
      </c>
      <c r="N1088" s="108" t="str">
        <f t="shared" si="163"/>
        <v>○</v>
      </c>
      <c r="O1088" s="108" t="str">
        <f t="shared" si="163"/>
        <v/>
      </c>
      <c r="P1088" s="108" t="str">
        <f t="shared" si="163"/>
        <v/>
      </c>
      <c r="Q1088" s="108" t="str">
        <f t="shared" si="163"/>
        <v>○</v>
      </c>
      <c r="R1088" s="103" t="str">
        <f t="shared" si="163"/>
        <v/>
      </c>
      <c r="S1088" s="103" t="s">
        <v>605</v>
      </c>
      <c r="T1088" s="103" t="s">
        <v>606</v>
      </c>
      <c r="U1088" s="103" t="s">
        <v>607</v>
      </c>
      <c r="V1088" s="103" t="s">
        <v>608</v>
      </c>
    </row>
    <row r="1089" spans="1:25" ht="13.5">
      <c r="A1089" s="100"/>
      <c r="B1089" s="100"/>
      <c r="C1089" s="100"/>
      <c r="D1089" s="100"/>
      <c r="E1089" s="100"/>
      <c r="F1089" s="100"/>
      <c r="G1089" s="100"/>
      <c r="H1089" s="100"/>
      <c r="I1089" s="100"/>
      <c r="J1089" s="100"/>
      <c r="K1089" s="100"/>
      <c r="L1089" s="100"/>
      <c r="M1089" s="100"/>
      <c r="N1089" s="100"/>
      <c r="O1089" s="100"/>
      <c r="P1089" s="100"/>
      <c r="Q1089" s="100"/>
      <c r="R1089" s="100"/>
      <c r="S1089" s="101"/>
      <c r="T1089" s="101"/>
      <c r="U1089" s="100"/>
      <c r="V1089" s="100"/>
      <c r="W1089" s="100"/>
      <c r="X1089" s="100"/>
      <c r="Y1089" s="100"/>
    </row>
    <row r="1090" spans="1:25" ht="13.5">
      <c r="A1090" s="100"/>
      <c r="B1090" s="100"/>
      <c r="C1090" s="100"/>
      <c r="D1090" s="100"/>
      <c r="E1090" s="100"/>
      <c r="F1090" s="100"/>
      <c r="G1090" s="100"/>
      <c r="H1090" s="100"/>
      <c r="I1090" s="100"/>
      <c r="J1090" s="100"/>
      <c r="K1090" s="100"/>
      <c r="L1090" s="100"/>
      <c r="M1090" s="100"/>
      <c r="N1090" s="100"/>
      <c r="O1090" s="100"/>
      <c r="P1090" s="100"/>
      <c r="Q1090" s="100"/>
      <c r="R1090" s="100"/>
      <c r="S1090" s="101"/>
      <c r="T1090" s="101"/>
      <c r="U1090" s="100"/>
      <c r="V1090" s="100"/>
      <c r="W1090" s="100"/>
      <c r="X1090" s="100"/>
      <c r="Y1090" s="100"/>
    </row>
    <row r="1091" spans="1:25" ht="13.5">
      <c r="A1091" s="100"/>
      <c r="B1091" s="100"/>
      <c r="C1091" s="100"/>
      <c r="D1091" s="100"/>
      <c r="E1091" s="100"/>
      <c r="F1091" s="100"/>
      <c r="G1091" s="100"/>
      <c r="H1091" s="100"/>
      <c r="I1091" s="100"/>
      <c r="J1091" s="100"/>
      <c r="K1091" s="100"/>
      <c r="L1091" s="100"/>
      <c r="M1091" s="100"/>
      <c r="N1091" s="100"/>
      <c r="O1091" s="100"/>
      <c r="P1091" s="100"/>
      <c r="Q1091" s="100"/>
      <c r="R1091" s="100"/>
      <c r="S1091" s="101"/>
      <c r="T1091" s="101"/>
      <c r="U1091" s="100"/>
      <c r="V1091" s="100"/>
      <c r="W1091" s="100"/>
      <c r="X1091" s="100"/>
      <c r="Y1091" s="100"/>
    </row>
    <row r="1092" spans="1:25" ht="13.5">
      <c r="A1092" s="100"/>
      <c r="B1092" s="100"/>
      <c r="C1092" s="100"/>
      <c r="D1092" s="100"/>
      <c r="E1092" s="100"/>
      <c r="F1092" s="100"/>
      <c r="G1092" s="100"/>
      <c r="H1092" s="100"/>
      <c r="I1092" s="100"/>
      <c r="J1092" s="100"/>
      <c r="K1092" s="100"/>
      <c r="L1092" s="100"/>
      <c r="M1092" s="100"/>
      <c r="N1092" s="100"/>
      <c r="O1092" s="100"/>
      <c r="P1092" s="100"/>
      <c r="Q1092" s="100"/>
      <c r="R1092" s="100"/>
      <c r="S1092" s="101"/>
      <c r="T1092" s="101"/>
      <c r="U1092" s="100"/>
      <c r="V1092" s="100"/>
      <c r="W1092" s="100"/>
      <c r="X1092" s="100"/>
      <c r="Y1092" s="100"/>
    </row>
    <row r="1093" spans="1:25" ht="13.5">
      <c r="A1093" s="100"/>
      <c r="B1093" s="100"/>
      <c r="C1093" s="100"/>
      <c r="D1093" s="100"/>
      <c r="E1093" s="100"/>
      <c r="F1093" s="100"/>
      <c r="G1093" s="100"/>
      <c r="H1093" s="100"/>
      <c r="I1093" s="100"/>
      <c r="J1093" s="100"/>
      <c r="K1093" s="100"/>
      <c r="L1093" s="100"/>
      <c r="M1093" s="100"/>
      <c r="N1093" s="100"/>
      <c r="O1093" s="100"/>
      <c r="P1093" s="100"/>
      <c r="Q1093" s="100"/>
      <c r="R1093" s="100"/>
      <c r="S1093" s="101"/>
      <c r="T1093" s="101"/>
      <c r="U1093" s="100"/>
      <c r="V1093" s="100"/>
      <c r="W1093" s="100"/>
      <c r="X1093" s="100"/>
      <c r="Y1093" s="100"/>
    </row>
    <row r="1094" spans="1:25" ht="13.5">
      <c r="A1094" s="100"/>
      <c r="B1094" s="100"/>
      <c r="C1094" s="100"/>
      <c r="D1094" s="100"/>
      <c r="E1094" s="100"/>
      <c r="F1094" s="100"/>
      <c r="G1094" s="100"/>
      <c r="H1094" s="100"/>
      <c r="I1094" s="100"/>
      <c r="J1094" s="100"/>
      <c r="K1094" s="100"/>
      <c r="L1094" s="100"/>
      <c r="M1094" s="100"/>
      <c r="N1094" s="100"/>
      <c r="O1094" s="100"/>
      <c r="P1094" s="100"/>
      <c r="Q1094" s="100"/>
      <c r="R1094" s="100"/>
      <c r="S1094" s="101"/>
      <c r="T1094" s="101"/>
      <c r="U1094" s="100"/>
      <c r="V1094" s="100"/>
      <c r="W1094" s="100"/>
      <c r="X1094" s="100"/>
      <c r="Y1094" s="100"/>
    </row>
    <row r="1095" spans="1:25" ht="13.5">
      <c r="A1095" s="100"/>
      <c r="B1095" s="100"/>
      <c r="C1095" s="100"/>
      <c r="D1095" s="100"/>
      <c r="E1095" s="100"/>
      <c r="F1095" s="100"/>
      <c r="G1095" s="100"/>
      <c r="H1095" s="100"/>
      <c r="I1095" s="100"/>
      <c r="J1095" s="100"/>
      <c r="K1095" s="100"/>
      <c r="L1095" s="100"/>
      <c r="M1095" s="100"/>
      <c r="N1095" s="100"/>
      <c r="O1095" s="100"/>
      <c r="P1095" s="100"/>
      <c r="Q1095" s="100"/>
      <c r="R1095" s="100"/>
      <c r="S1095" s="101"/>
      <c r="T1095" s="101"/>
      <c r="U1095" s="100"/>
      <c r="V1095" s="100"/>
      <c r="W1095" s="100"/>
      <c r="X1095" s="100"/>
      <c r="Y1095" s="100"/>
    </row>
    <row r="1096" spans="1:25" ht="13.5">
      <c r="A1096" s="100"/>
      <c r="B1096" s="100"/>
      <c r="C1096" s="100"/>
      <c r="D1096" s="100"/>
      <c r="E1096" s="100"/>
      <c r="F1096" s="100"/>
      <c r="G1096" s="100"/>
      <c r="H1096" s="100"/>
      <c r="I1096" s="100"/>
      <c r="J1096" s="100"/>
      <c r="K1096" s="100"/>
      <c r="L1096" s="100"/>
      <c r="M1096" s="100"/>
      <c r="N1096" s="100"/>
      <c r="O1096" s="100"/>
      <c r="P1096" s="100"/>
      <c r="Q1096" s="100"/>
      <c r="R1096" s="100"/>
      <c r="S1096" s="101"/>
      <c r="T1096" s="101"/>
      <c r="U1096" s="100"/>
      <c r="V1096" s="100"/>
      <c r="W1096" s="100"/>
      <c r="X1096" s="100"/>
      <c r="Y1096" s="100"/>
    </row>
    <row r="1097" spans="1:25" ht="13.5">
      <c r="A1097" s="100"/>
      <c r="B1097" s="100"/>
      <c r="C1097" s="100"/>
      <c r="D1097" s="100"/>
      <c r="E1097" s="100"/>
      <c r="F1097" s="100"/>
      <c r="G1097" s="100"/>
      <c r="H1097" s="100"/>
      <c r="I1097" s="100"/>
      <c r="J1097" s="100"/>
      <c r="K1097" s="100"/>
      <c r="L1097" s="100"/>
      <c r="M1097" s="100"/>
      <c r="N1097" s="100"/>
      <c r="O1097" s="100"/>
      <c r="P1097" s="100"/>
      <c r="Q1097" s="100"/>
      <c r="R1097" s="100"/>
      <c r="S1097" s="101"/>
      <c r="T1097" s="101"/>
      <c r="U1097" s="100"/>
      <c r="V1097" s="100"/>
      <c r="W1097" s="100"/>
      <c r="X1097" s="100"/>
      <c r="Y1097" s="100"/>
    </row>
    <row r="1098" spans="1:25" ht="13.5">
      <c r="A1098" s="100"/>
      <c r="B1098" s="100"/>
      <c r="C1098" s="100"/>
      <c r="D1098" s="100"/>
      <c r="E1098" s="100"/>
      <c r="F1098" s="100"/>
      <c r="G1098" s="100"/>
      <c r="H1098" s="100"/>
      <c r="I1098" s="100"/>
      <c r="J1098" s="100"/>
      <c r="K1098" s="100"/>
      <c r="L1098" s="100"/>
      <c r="M1098" s="100"/>
      <c r="N1098" s="100"/>
      <c r="O1098" s="100"/>
      <c r="P1098" s="100"/>
      <c r="Q1098" s="100"/>
      <c r="R1098" s="100"/>
      <c r="S1098" s="101"/>
      <c r="T1098" s="101"/>
      <c r="U1098" s="100"/>
      <c r="V1098" s="100"/>
      <c r="W1098" s="100"/>
      <c r="X1098" s="100"/>
      <c r="Y1098" s="100"/>
    </row>
    <row r="1099" spans="1:25" ht="13.5">
      <c r="A1099" s="100"/>
      <c r="B1099" s="100"/>
      <c r="C1099" s="100"/>
      <c r="D1099" s="100"/>
      <c r="E1099" s="100"/>
      <c r="F1099" s="100"/>
      <c r="G1099" s="100"/>
      <c r="H1099" s="100"/>
      <c r="I1099" s="100"/>
      <c r="J1099" s="100"/>
      <c r="K1099" s="100"/>
      <c r="L1099" s="100"/>
      <c r="M1099" s="100"/>
      <c r="N1099" s="100"/>
      <c r="O1099" s="100"/>
      <c r="P1099" s="100"/>
      <c r="Q1099" s="100"/>
      <c r="R1099" s="100"/>
      <c r="S1099" s="101"/>
      <c r="T1099" s="101"/>
      <c r="U1099" s="100"/>
      <c r="V1099" s="100"/>
      <c r="W1099" s="100"/>
      <c r="X1099" s="100"/>
      <c r="Y1099" s="100"/>
    </row>
    <row r="1100" spans="1:25" ht="13.5">
      <c r="A1100" s="100"/>
      <c r="B1100" s="100"/>
      <c r="C1100" s="100"/>
      <c r="D1100" s="100"/>
      <c r="E1100" s="100"/>
      <c r="F1100" s="100"/>
      <c r="G1100" s="100"/>
      <c r="H1100" s="100"/>
      <c r="I1100" s="100"/>
      <c r="J1100" s="100"/>
      <c r="K1100" s="100"/>
      <c r="L1100" s="100"/>
      <c r="M1100" s="100"/>
      <c r="N1100" s="100"/>
      <c r="O1100" s="100"/>
      <c r="P1100" s="100"/>
      <c r="Q1100" s="100"/>
      <c r="R1100" s="100"/>
      <c r="S1100" s="101"/>
      <c r="T1100" s="101"/>
      <c r="U1100" s="100"/>
      <c r="V1100" s="100"/>
      <c r="W1100" s="100"/>
      <c r="X1100" s="100"/>
      <c r="Y1100" s="100"/>
    </row>
    <row r="1101" spans="1:25" ht="13.5">
      <c r="A1101" s="100"/>
      <c r="B1101" s="100"/>
      <c r="C1101" s="100"/>
      <c r="D1101" s="100"/>
      <c r="E1101" s="100"/>
      <c r="F1101" s="100"/>
      <c r="G1101" s="100"/>
      <c r="H1101" s="100"/>
      <c r="I1101" s="100"/>
      <c r="J1101" s="100"/>
      <c r="K1101" s="100"/>
      <c r="L1101" s="100"/>
      <c r="M1101" s="100"/>
      <c r="N1101" s="100"/>
      <c r="O1101" s="100"/>
      <c r="P1101" s="100"/>
      <c r="Q1101" s="100"/>
      <c r="R1101" s="100"/>
      <c r="S1101" s="101"/>
      <c r="T1101" s="101"/>
      <c r="U1101" s="100"/>
      <c r="V1101" s="100"/>
      <c r="W1101" s="100"/>
      <c r="X1101" s="100"/>
      <c r="Y1101" s="100"/>
    </row>
    <row r="1102" spans="1:25" ht="13.5">
      <c r="A1102" s="100"/>
      <c r="B1102" s="100"/>
      <c r="C1102" s="100"/>
      <c r="D1102" s="100"/>
      <c r="E1102" s="100"/>
      <c r="F1102" s="100"/>
      <c r="G1102" s="100"/>
      <c r="H1102" s="100"/>
      <c r="I1102" s="100"/>
      <c r="J1102" s="100"/>
      <c r="K1102" s="100"/>
      <c r="L1102" s="100"/>
      <c r="M1102" s="100"/>
      <c r="N1102" s="100"/>
      <c r="O1102" s="100"/>
      <c r="P1102" s="100"/>
      <c r="Q1102" s="100"/>
      <c r="R1102" s="100"/>
      <c r="S1102" s="101"/>
      <c r="T1102" s="101"/>
      <c r="U1102" s="100"/>
      <c r="V1102" s="100"/>
      <c r="W1102" s="100"/>
      <c r="X1102" s="100"/>
      <c r="Y1102" s="100"/>
    </row>
    <row r="1103" spans="1:25" ht="13.5">
      <c r="A1103" s="100"/>
      <c r="B1103" s="100"/>
      <c r="C1103" s="100"/>
      <c r="D1103" s="100"/>
      <c r="E1103" s="100"/>
      <c r="F1103" s="100"/>
      <c r="G1103" s="100"/>
      <c r="H1103" s="100"/>
      <c r="I1103" s="100"/>
      <c r="J1103" s="100"/>
      <c r="K1103" s="100"/>
      <c r="L1103" s="100"/>
      <c r="M1103" s="100"/>
      <c r="N1103" s="100"/>
      <c r="O1103" s="100"/>
      <c r="P1103" s="100"/>
      <c r="Q1103" s="100"/>
      <c r="R1103" s="100"/>
      <c r="S1103" s="101"/>
      <c r="T1103" s="101"/>
      <c r="U1103" s="100"/>
      <c r="V1103" s="100"/>
      <c r="W1103" s="100"/>
      <c r="X1103" s="100"/>
      <c r="Y1103" s="100"/>
    </row>
    <row r="1104" spans="1:25" ht="13.5">
      <c r="A1104" s="100"/>
      <c r="B1104" s="100"/>
      <c r="C1104" s="100"/>
      <c r="D1104" s="100"/>
      <c r="E1104" s="100"/>
      <c r="F1104" s="100"/>
      <c r="G1104" s="100"/>
      <c r="H1104" s="100"/>
      <c r="I1104" s="100"/>
      <c r="J1104" s="100"/>
      <c r="K1104" s="100"/>
      <c r="L1104" s="100"/>
      <c r="M1104" s="100"/>
      <c r="N1104" s="100"/>
      <c r="O1104" s="100"/>
      <c r="P1104" s="100"/>
      <c r="Q1104" s="100"/>
      <c r="R1104" s="100"/>
      <c r="S1104" s="101"/>
      <c r="T1104" s="101"/>
      <c r="U1104" s="100"/>
      <c r="V1104" s="100"/>
      <c r="W1104" s="100"/>
      <c r="X1104" s="100"/>
      <c r="Y1104" s="100"/>
    </row>
    <row r="1105" spans="1:25" ht="13.5">
      <c r="A1105" s="100"/>
      <c r="B1105" s="100"/>
      <c r="C1105" s="100"/>
      <c r="D1105" s="100"/>
      <c r="E1105" s="100"/>
      <c r="F1105" s="100"/>
      <c r="G1105" s="100"/>
      <c r="H1105" s="100"/>
      <c r="I1105" s="100"/>
      <c r="J1105" s="100"/>
      <c r="K1105" s="100"/>
      <c r="L1105" s="100"/>
      <c r="M1105" s="100"/>
      <c r="N1105" s="100"/>
      <c r="O1105" s="100"/>
      <c r="P1105" s="100"/>
      <c r="Q1105" s="100"/>
      <c r="R1105" s="100"/>
      <c r="S1105" s="101"/>
      <c r="T1105" s="101"/>
      <c r="U1105" s="100"/>
      <c r="V1105" s="100"/>
      <c r="W1105" s="100"/>
      <c r="X1105" s="100"/>
      <c r="Y1105" s="100"/>
    </row>
    <row r="1106" spans="1:25" ht="13.5">
      <c r="A1106" s="100"/>
      <c r="B1106" s="100"/>
      <c r="C1106" s="100"/>
      <c r="D1106" s="100"/>
      <c r="E1106" s="100"/>
      <c r="F1106" s="100"/>
      <c r="G1106" s="100"/>
      <c r="H1106" s="100"/>
      <c r="I1106" s="100"/>
      <c r="J1106" s="100"/>
      <c r="K1106" s="100"/>
      <c r="L1106" s="100"/>
      <c r="M1106" s="100"/>
      <c r="N1106" s="100"/>
      <c r="O1106" s="100"/>
      <c r="P1106" s="100"/>
      <c r="Q1106" s="100"/>
      <c r="R1106" s="100"/>
      <c r="S1106" s="101"/>
      <c r="T1106" s="101"/>
      <c r="U1106" s="100"/>
      <c r="V1106" s="100"/>
      <c r="W1106" s="100"/>
      <c r="X1106" s="100"/>
      <c r="Y1106" s="100"/>
    </row>
    <row r="1107" spans="1:25" ht="13.5">
      <c r="A1107" s="100"/>
      <c r="B1107" s="100"/>
      <c r="C1107" s="100"/>
      <c r="D1107" s="100"/>
      <c r="E1107" s="100"/>
      <c r="F1107" s="100"/>
      <c r="G1107" s="100"/>
      <c r="H1107" s="100"/>
      <c r="I1107" s="100"/>
      <c r="J1107" s="100"/>
      <c r="K1107" s="100"/>
      <c r="L1107" s="100"/>
      <c r="M1107" s="100"/>
      <c r="N1107" s="100"/>
      <c r="O1107" s="100"/>
      <c r="P1107" s="100"/>
      <c r="Q1107" s="100"/>
      <c r="R1107" s="100"/>
      <c r="S1107" s="101"/>
      <c r="T1107" s="101"/>
      <c r="U1107" s="100"/>
      <c r="V1107" s="100"/>
      <c r="W1107" s="100"/>
      <c r="X1107" s="100"/>
      <c r="Y1107" s="100"/>
    </row>
    <row r="1108" spans="1:25" ht="13.5">
      <c r="A1108" s="100"/>
      <c r="B1108" s="100"/>
      <c r="C1108" s="100"/>
      <c r="D1108" s="100"/>
      <c r="E1108" s="100"/>
      <c r="F1108" s="100"/>
      <c r="G1108" s="100"/>
      <c r="H1108" s="100"/>
      <c r="I1108" s="100"/>
      <c r="J1108" s="100"/>
      <c r="K1108" s="100"/>
      <c r="L1108" s="100"/>
      <c r="M1108" s="100"/>
      <c r="N1108" s="100"/>
      <c r="O1108" s="100"/>
      <c r="P1108" s="100"/>
      <c r="Q1108" s="100"/>
      <c r="R1108" s="100"/>
      <c r="S1108" s="101"/>
      <c r="T1108" s="101"/>
      <c r="U1108" s="100"/>
      <c r="V1108" s="100"/>
      <c r="W1108" s="100"/>
      <c r="X1108" s="100"/>
      <c r="Y1108" s="100"/>
    </row>
    <row r="1109" spans="1:25" ht="13.5">
      <c r="A1109" s="100"/>
      <c r="B1109" s="100"/>
      <c r="C1109" s="100"/>
      <c r="D1109" s="100"/>
      <c r="E1109" s="100"/>
      <c r="F1109" s="100"/>
      <c r="G1109" s="100"/>
      <c r="H1109" s="100"/>
      <c r="I1109" s="100"/>
      <c r="J1109" s="100"/>
      <c r="K1109" s="100"/>
      <c r="L1109" s="100"/>
      <c r="M1109" s="100"/>
      <c r="N1109" s="100"/>
      <c r="O1109" s="100"/>
      <c r="P1109" s="100"/>
      <c r="Q1109" s="100"/>
      <c r="R1109" s="100"/>
      <c r="S1109" s="101"/>
      <c r="T1109" s="101"/>
      <c r="U1109" s="100"/>
      <c r="V1109" s="100"/>
      <c r="W1109" s="100"/>
      <c r="X1109" s="100"/>
      <c r="Y1109" s="100"/>
    </row>
    <row r="1110" spans="1:25" ht="13.5">
      <c r="A1110" s="100"/>
      <c r="B1110" s="100"/>
      <c r="C1110" s="100"/>
      <c r="D1110" s="100"/>
      <c r="E1110" s="100"/>
      <c r="F1110" s="100"/>
      <c r="G1110" s="100"/>
      <c r="H1110" s="100"/>
      <c r="I1110" s="100"/>
      <c r="J1110" s="100"/>
      <c r="K1110" s="100"/>
      <c r="L1110" s="100"/>
      <c r="M1110" s="100"/>
      <c r="N1110" s="100"/>
      <c r="O1110" s="100"/>
      <c r="P1110" s="100"/>
      <c r="Q1110" s="100"/>
      <c r="R1110" s="100"/>
      <c r="S1110" s="101"/>
      <c r="T1110" s="101"/>
      <c r="U1110" s="100"/>
      <c r="V1110" s="100"/>
      <c r="W1110" s="100"/>
      <c r="X1110" s="100"/>
      <c r="Y1110" s="100"/>
    </row>
    <row r="1111" spans="1:25" ht="13.5">
      <c r="A1111" s="100"/>
      <c r="B1111" s="100"/>
      <c r="C1111" s="100"/>
      <c r="D1111" s="100"/>
      <c r="E1111" s="100"/>
      <c r="F1111" s="100"/>
      <c r="G1111" s="100"/>
      <c r="H1111" s="100"/>
      <c r="I1111" s="100"/>
      <c r="J1111" s="100"/>
      <c r="K1111" s="100"/>
      <c r="L1111" s="100"/>
      <c r="M1111" s="100"/>
      <c r="N1111" s="100"/>
      <c r="O1111" s="100"/>
      <c r="P1111" s="100"/>
      <c r="Q1111" s="100"/>
      <c r="R1111" s="100"/>
      <c r="S1111" s="101"/>
      <c r="T1111" s="101"/>
      <c r="U1111" s="100"/>
      <c r="V1111" s="100"/>
      <c r="W1111" s="100"/>
      <c r="X1111" s="100"/>
      <c r="Y1111" s="100"/>
    </row>
    <row r="1112" spans="1:25" ht="13.5">
      <c r="A1112" s="100"/>
      <c r="B1112" s="100"/>
      <c r="C1112" s="100"/>
      <c r="D1112" s="100"/>
      <c r="E1112" s="100"/>
      <c r="F1112" s="100"/>
      <c r="G1112" s="100"/>
      <c r="H1112" s="100"/>
      <c r="I1112" s="100"/>
      <c r="J1112" s="100"/>
      <c r="K1112" s="100"/>
      <c r="L1112" s="100"/>
      <c r="M1112" s="100"/>
      <c r="N1112" s="100"/>
      <c r="O1112" s="100"/>
      <c r="P1112" s="100"/>
      <c r="Q1112" s="100"/>
      <c r="R1112" s="100"/>
      <c r="S1112" s="101"/>
      <c r="T1112" s="101"/>
      <c r="U1112" s="100"/>
      <c r="V1112" s="100"/>
      <c r="W1112" s="100"/>
      <c r="X1112" s="100"/>
      <c r="Y1112" s="100"/>
    </row>
    <row r="1113" spans="1:25" ht="13.5">
      <c r="A1113" s="100"/>
      <c r="B1113" s="100"/>
      <c r="C1113" s="100"/>
      <c r="D1113" s="100"/>
      <c r="E1113" s="100"/>
      <c r="F1113" s="100"/>
      <c r="G1113" s="100"/>
      <c r="H1113" s="100"/>
      <c r="I1113" s="100"/>
      <c r="J1113" s="100"/>
      <c r="K1113" s="100"/>
      <c r="L1113" s="100"/>
      <c r="M1113" s="100"/>
      <c r="N1113" s="100"/>
      <c r="O1113" s="100"/>
      <c r="P1113" s="100"/>
      <c r="Q1113" s="100"/>
      <c r="R1113" s="100"/>
      <c r="S1113" s="101"/>
      <c r="T1113" s="101"/>
      <c r="U1113" s="100"/>
      <c r="V1113" s="100"/>
      <c r="W1113" s="100"/>
      <c r="X1113" s="100"/>
      <c r="Y1113" s="100"/>
    </row>
    <row r="1114" spans="1:25" ht="13.5">
      <c r="A1114" s="100"/>
      <c r="B1114" s="100"/>
      <c r="C1114" s="100"/>
      <c r="D1114" s="100"/>
      <c r="E1114" s="100"/>
      <c r="F1114" s="100"/>
      <c r="G1114" s="100"/>
      <c r="H1114" s="100"/>
      <c r="I1114" s="100"/>
      <c r="J1114" s="100"/>
      <c r="K1114" s="100"/>
      <c r="L1114" s="100"/>
      <c r="M1114" s="100"/>
      <c r="N1114" s="100"/>
      <c r="O1114" s="100"/>
      <c r="P1114" s="100"/>
      <c r="Q1114" s="100"/>
      <c r="R1114" s="100"/>
      <c r="S1114" s="101"/>
      <c r="T1114" s="101"/>
      <c r="U1114" s="100"/>
      <c r="V1114" s="100"/>
      <c r="W1114" s="100"/>
      <c r="X1114" s="100"/>
      <c r="Y1114" s="100"/>
    </row>
    <row r="1115" spans="1:25" ht="13.5">
      <c r="A1115" s="100"/>
      <c r="B1115" s="100"/>
      <c r="C1115" s="100"/>
      <c r="D1115" s="100"/>
      <c r="E1115" s="100"/>
      <c r="F1115" s="100"/>
      <c r="G1115" s="100"/>
      <c r="H1115" s="100"/>
      <c r="I1115" s="100"/>
      <c r="J1115" s="100"/>
      <c r="K1115" s="100"/>
      <c r="L1115" s="100"/>
      <c r="M1115" s="100"/>
      <c r="N1115" s="100"/>
      <c r="O1115" s="100"/>
      <c r="P1115" s="100"/>
      <c r="Q1115" s="100"/>
      <c r="R1115" s="100"/>
      <c r="S1115" s="101"/>
      <c r="T1115" s="101"/>
      <c r="U1115" s="100"/>
      <c r="V1115" s="100"/>
      <c r="W1115" s="100"/>
      <c r="X1115" s="100"/>
      <c r="Y1115" s="100"/>
    </row>
    <row r="1116" spans="1:25" ht="13.5">
      <c r="A1116" s="100"/>
      <c r="B1116" s="100"/>
      <c r="C1116" s="100"/>
      <c r="D1116" s="100"/>
      <c r="E1116" s="100"/>
      <c r="F1116" s="100"/>
      <c r="G1116" s="100"/>
      <c r="H1116" s="100"/>
      <c r="I1116" s="100"/>
      <c r="J1116" s="100"/>
      <c r="K1116" s="100"/>
      <c r="L1116" s="100"/>
      <c r="M1116" s="100"/>
      <c r="N1116" s="100"/>
      <c r="O1116" s="100"/>
      <c r="P1116" s="100"/>
      <c r="Q1116" s="100"/>
      <c r="R1116" s="100"/>
      <c r="S1116" s="101"/>
      <c r="T1116" s="101"/>
      <c r="U1116" s="100"/>
      <c r="V1116" s="100"/>
      <c r="W1116" s="100"/>
      <c r="X1116" s="100"/>
      <c r="Y1116" s="100"/>
    </row>
    <row r="1117" spans="1:25" ht="13.5">
      <c r="A1117" s="100"/>
      <c r="B1117" s="100"/>
      <c r="C1117" s="100"/>
      <c r="D1117" s="100"/>
      <c r="E1117" s="100"/>
      <c r="F1117" s="100"/>
      <c r="G1117" s="100"/>
      <c r="H1117" s="100"/>
      <c r="I1117" s="100"/>
      <c r="J1117" s="100"/>
      <c r="K1117" s="100"/>
      <c r="L1117" s="100"/>
      <c r="M1117" s="100"/>
      <c r="N1117" s="100"/>
      <c r="O1117" s="100"/>
      <c r="P1117" s="100"/>
      <c r="Q1117" s="100"/>
      <c r="R1117" s="100"/>
      <c r="S1117" s="101"/>
      <c r="T1117" s="101"/>
      <c r="U1117" s="100"/>
      <c r="V1117" s="100"/>
      <c r="W1117" s="100"/>
      <c r="X1117" s="100"/>
      <c r="Y1117" s="100"/>
    </row>
    <row r="1118" spans="1:25" ht="13.5">
      <c r="A1118" s="100"/>
      <c r="B1118" s="100"/>
      <c r="C1118" s="100"/>
      <c r="D1118" s="100"/>
      <c r="E1118" s="100"/>
      <c r="F1118" s="100"/>
      <c r="G1118" s="100"/>
      <c r="H1118" s="100"/>
      <c r="I1118" s="100"/>
      <c r="J1118" s="100"/>
      <c r="K1118" s="100"/>
      <c r="L1118" s="100"/>
      <c r="M1118" s="100"/>
      <c r="N1118" s="100"/>
      <c r="O1118" s="100"/>
      <c r="P1118" s="100"/>
      <c r="Q1118" s="100"/>
      <c r="R1118" s="100"/>
      <c r="S1118" s="101"/>
      <c r="T1118" s="101"/>
      <c r="U1118" s="100"/>
      <c r="V1118" s="100"/>
      <c r="W1118" s="100"/>
      <c r="X1118" s="100"/>
      <c r="Y1118" s="100"/>
    </row>
    <row r="1119" spans="1:25" ht="13.5">
      <c r="A1119" s="100"/>
      <c r="B1119" s="100"/>
      <c r="C1119" s="100"/>
      <c r="D1119" s="100"/>
      <c r="E1119" s="100"/>
      <c r="F1119" s="100"/>
      <c r="G1119" s="100"/>
      <c r="H1119" s="100"/>
      <c r="I1119" s="100"/>
      <c r="J1119" s="100"/>
      <c r="K1119" s="100"/>
      <c r="L1119" s="100"/>
      <c r="M1119" s="100"/>
      <c r="N1119" s="100"/>
      <c r="O1119" s="100"/>
      <c r="P1119" s="100"/>
      <c r="Q1119" s="100"/>
      <c r="R1119" s="100"/>
      <c r="S1119" s="101"/>
      <c r="T1119" s="101"/>
      <c r="U1119" s="100"/>
      <c r="V1119" s="100"/>
      <c r="W1119" s="100"/>
      <c r="X1119" s="100"/>
      <c r="Y1119" s="100"/>
    </row>
    <row r="1120" spans="1:25" ht="13.5">
      <c r="A1120" s="100"/>
      <c r="B1120" s="100"/>
      <c r="C1120" s="100"/>
      <c r="D1120" s="100"/>
      <c r="E1120" s="100"/>
      <c r="F1120" s="100"/>
      <c r="G1120" s="100"/>
      <c r="H1120" s="100"/>
      <c r="I1120" s="100"/>
      <c r="J1120" s="100"/>
      <c r="K1120" s="100"/>
      <c r="L1120" s="100"/>
      <c r="M1120" s="100"/>
      <c r="N1120" s="100"/>
      <c r="O1120" s="100"/>
      <c r="P1120" s="100"/>
      <c r="Q1120" s="100"/>
      <c r="R1120" s="100"/>
      <c r="S1120" s="101"/>
      <c r="T1120" s="101"/>
      <c r="U1120" s="100"/>
      <c r="V1120" s="100"/>
      <c r="W1120" s="100"/>
      <c r="X1120" s="100"/>
      <c r="Y1120" s="100"/>
    </row>
    <row r="1121" spans="1:25" ht="13.5">
      <c r="A1121" s="100"/>
      <c r="B1121" s="100"/>
      <c r="C1121" s="100"/>
      <c r="D1121" s="100"/>
      <c r="E1121" s="100"/>
      <c r="F1121" s="100"/>
      <c r="G1121" s="100"/>
      <c r="H1121" s="100"/>
      <c r="I1121" s="100"/>
      <c r="J1121" s="100"/>
      <c r="K1121" s="100"/>
      <c r="L1121" s="100"/>
      <c r="M1121" s="100"/>
      <c r="N1121" s="100"/>
      <c r="O1121" s="100"/>
      <c r="P1121" s="100"/>
      <c r="Q1121" s="100"/>
      <c r="R1121" s="100"/>
      <c r="S1121" s="101"/>
      <c r="T1121" s="101"/>
      <c r="U1121" s="100"/>
      <c r="V1121" s="100"/>
      <c r="W1121" s="100"/>
      <c r="X1121" s="100"/>
      <c r="Y1121" s="100"/>
    </row>
    <row r="1122" spans="1:25" ht="13.5">
      <c r="A1122" s="100"/>
      <c r="B1122" s="100"/>
      <c r="C1122" s="100"/>
      <c r="D1122" s="100"/>
      <c r="E1122" s="100"/>
      <c r="F1122" s="100"/>
      <c r="G1122" s="100"/>
      <c r="H1122" s="100"/>
      <c r="I1122" s="100"/>
      <c r="J1122" s="100"/>
      <c r="K1122" s="100"/>
      <c r="L1122" s="100"/>
      <c r="M1122" s="100"/>
      <c r="N1122" s="100"/>
      <c r="O1122" s="100"/>
      <c r="P1122" s="100"/>
      <c r="Q1122" s="100"/>
      <c r="R1122" s="100"/>
      <c r="S1122" s="101"/>
      <c r="T1122" s="101"/>
      <c r="U1122" s="100"/>
      <c r="V1122" s="100"/>
      <c r="W1122" s="100"/>
      <c r="X1122" s="100"/>
      <c r="Y1122" s="100"/>
    </row>
    <row r="1123" spans="1:25" ht="13.5">
      <c r="A1123" s="100"/>
      <c r="B1123" s="100"/>
      <c r="C1123" s="100"/>
      <c r="D1123" s="100"/>
      <c r="E1123" s="100"/>
      <c r="F1123" s="100"/>
      <c r="G1123" s="100"/>
      <c r="H1123" s="100"/>
      <c r="I1123" s="100"/>
      <c r="J1123" s="100"/>
      <c r="K1123" s="100"/>
      <c r="L1123" s="100"/>
      <c r="M1123" s="100"/>
      <c r="N1123" s="100"/>
      <c r="O1123" s="100"/>
      <c r="P1123" s="100"/>
      <c r="Q1123" s="100"/>
      <c r="R1123" s="100"/>
      <c r="S1123" s="101"/>
      <c r="T1123" s="101"/>
      <c r="U1123" s="100"/>
      <c r="V1123" s="100"/>
      <c r="W1123" s="100"/>
      <c r="X1123" s="100"/>
      <c r="Y1123" s="100"/>
    </row>
    <row r="1124" spans="1:25" ht="13.5">
      <c r="A1124" s="100"/>
      <c r="B1124" s="100"/>
      <c r="C1124" s="100"/>
      <c r="D1124" s="100"/>
      <c r="E1124" s="100"/>
      <c r="F1124" s="100"/>
      <c r="G1124" s="100"/>
      <c r="H1124" s="100"/>
      <c r="I1124" s="100"/>
      <c r="J1124" s="100"/>
      <c r="K1124" s="100"/>
      <c r="L1124" s="100"/>
      <c r="M1124" s="100"/>
      <c r="N1124" s="100"/>
      <c r="O1124" s="100"/>
      <c r="P1124" s="100"/>
      <c r="Q1124" s="100"/>
      <c r="R1124" s="100"/>
      <c r="S1124" s="101"/>
      <c r="T1124" s="101"/>
      <c r="U1124" s="100"/>
      <c r="V1124" s="100"/>
      <c r="W1124" s="100"/>
      <c r="X1124" s="100"/>
      <c r="Y1124" s="100"/>
    </row>
    <row r="1125" spans="1:25" ht="13.5">
      <c r="A1125" s="100"/>
      <c r="B1125" s="100"/>
      <c r="C1125" s="100"/>
      <c r="D1125" s="100"/>
      <c r="E1125" s="100"/>
      <c r="F1125" s="100"/>
      <c r="G1125" s="100"/>
      <c r="H1125" s="100"/>
      <c r="I1125" s="100"/>
      <c r="J1125" s="100"/>
      <c r="K1125" s="100"/>
      <c r="L1125" s="100"/>
      <c r="M1125" s="100"/>
      <c r="N1125" s="100"/>
      <c r="O1125" s="100"/>
      <c r="P1125" s="100"/>
      <c r="Q1125" s="100"/>
      <c r="R1125" s="100"/>
      <c r="S1125" s="101"/>
      <c r="T1125" s="101"/>
      <c r="U1125" s="100"/>
      <c r="V1125" s="100"/>
      <c r="W1125" s="100"/>
      <c r="X1125" s="100"/>
      <c r="Y1125" s="100"/>
    </row>
    <row r="1126" spans="1:25" ht="13.5">
      <c r="A1126" s="100"/>
      <c r="B1126" s="100"/>
      <c r="C1126" s="100"/>
      <c r="D1126" s="100"/>
      <c r="E1126" s="100"/>
      <c r="F1126" s="100"/>
      <c r="G1126" s="100"/>
      <c r="H1126" s="100"/>
      <c r="I1126" s="100"/>
      <c r="J1126" s="100"/>
      <c r="K1126" s="100"/>
      <c r="L1126" s="100"/>
      <c r="M1126" s="100"/>
      <c r="N1126" s="100"/>
      <c r="O1126" s="100"/>
      <c r="P1126" s="100"/>
      <c r="Q1126" s="100"/>
      <c r="R1126" s="100"/>
      <c r="S1126" s="101"/>
      <c r="T1126" s="101"/>
      <c r="U1126" s="100"/>
      <c r="V1126" s="100"/>
      <c r="W1126" s="100"/>
      <c r="X1126" s="100"/>
      <c r="Y1126" s="100"/>
    </row>
    <row r="1127" spans="1:25" ht="13.5">
      <c r="A1127" s="100"/>
      <c r="B1127" s="100"/>
      <c r="C1127" s="100"/>
      <c r="D1127" s="100"/>
      <c r="E1127" s="100"/>
      <c r="F1127" s="100"/>
      <c r="G1127" s="100"/>
      <c r="H1127" s="100"/>
      <c r="I1127" s="100"/>
      <c r="J1127" s="100"/>
      <c r="K1127" s="100"/>
      <c r="L1127" s="100"/>
      <c r="M1127" s="100"/>
      <c r="N1127" s="100"/>
      <c r="O1127" s="100"/>
      <c r="P1127" s="100"/>
      <c r="Q1127" s="100"/>
      <c r="R1127" s="100"/>
      <c r="S1127" s="101"/>
      <c r="T1127" s="101"/>
      <c r="U1127" s="100"/>
      <c r="V1127" s="100"/>
      <c r="W1127" s="100"/>
      <c r="X1127" s="100"/>
      <c r="Y1127" s="100"/>
    </row>
    <row r="1128" spans="1:25" ht="13.5">
      <c r="A1128" s="100"/>
      <c r="B1128" s="100"/>
      <c r="C1128" s="100"/>
      <c r="D1128" s="100"/>
      <c r="E1128" s="100"/>
      <c r="F1128" s="100"/>
      <c r="G1128" s="100"/>
      <c r="H1128" s="100"/>
      <c r="I1128" s="100"/>
      <c r="J1128" s="100"/>
      <c r="K1128" s="100"/>
      <c r="L1128" s="100"/>
      <c r="M1128" s="100"/>
      <c r="N1128" s="100"/>
      <c r="O1128" s="100"/>
      <c r="P1128" s="100"/>
      <c r="Q1128" s="100"/>
      <c r="R1128" s="100"/>
      <c r="S1128" s="101"/>
      <c r="T1128" s="101"/>
      <c r="U1128" s="100"/>
      <c r="V1128" s="100"/>
      <c r="W1128" s="100"/>
      <c r="X1128" s="100"/>
      <c r="Y1128" s="100"/>
    </row>
    <row r="1129" spans="1:25" ht="13.5">
      <c r="A1129" s="100"/>
      <c r="B1129" s="100"/>
      <c r="C1129" s="100"/>
      <c r="D1129" s="100"/>
      <c r="E1129" s="100"/>
      <c r="F1129" s="100"/>
      <c r="G1129" s="100"/>
      <c r="H1129" s="100"/>
      <c r="I1129" s="100"/>
      <c r="J1129" s="100"/>
      <c r="K1129" s="100"/>
      <c r="L1129" s="100"/>
      <c r="M1129" s="100"/>
      <c r="N1129" s="100"/>
      <c r="O1129" s="100"/>
      <c r="P1129" s="100"/>
      <c r="Q1129" s="100"/>
      <c r="R1129" s="100"/>
      <c r="S1129" s="101"/>
      <c r="T1129" s="101"/>
      <c r="U1129" s="100"/>
      <c r="V1129" s="100"/>
      <c r="W1129" s="100"/>
      <c r="X1129" s="100"/>
      <c r="Y1129" s="100"/>
    </row>
    <row r="1130" spans="1:25" ht="13.5">
      <c r="A1130" s="100"/>
      <c r="B1130" s="100"/>
      <c r="C1130" s="100"/>
      <c r="D1130" s="100"/>
      <c r="E1130" s="100"/>
      <c r="F1130" s="100"/>
      <c r="G1130" s="100"/>
      <c r="H1130" s="100"/>
      <c r="I1130" s="100"/>
      <c r="J1130" s="100"/>
      <c r="K1130" s="100"/>
      <c r="L1130" s="100"/>
      <c r="M1130" s="100"/>
      <c r="N1130" s="100"/>
      <c r="O1130" s="100"/>
      <c r="P1130" s="100"/>
      <c r="Q1130" s="100"/>
      <c r="R1130" s="100"/>
      <c r="S1130" s="101"/>
      <c r="T1130" s="101"/>
      <c r="U1130" s="100"/>
      <c r="V1130" s="100"/>
      <c r="W1130" s="100"/>
      <c r="X1130" s="100"/>
      <c r="Y1130" s="100"/>
    </row>
    <row r="1131" spans="1:25" ht="13.5">
      <c r="A1131" s="100"/>
      <c r="B1131" s="100"/>
      <c r="C1131" s="100"/>
      <c r="D1131" s="100"/>
      <c r="E1131" s="100"/>
      <c r="F1131" s="100"/>
      <c r="G1131" s="100"/>
      <c r="H1131" s="100"/>
      <c r="I1131" s="100"/>
      <c r="J1131" s="100"/>
      <c r="K1131" s="100"/>
      <c r="L1131" s="100"/>
      <c r="M1131" s="100"/>
      <c r="N1131" s="100"/>
      <c r="O1131" s="100"/>
      <c r="P1131" s="100"/>
      <c r="Q1131" s="100"/>
      <c r="R1131" s="100"/>
      <c r="S1131" s="101"/>
      <c r="T1131" s="101"/>
      <c r="U1131" s="100"/>
      <c r="V1131" s="100"/>
      <c r="W1131" s="100"/>
      <c r="X1131" s="100"/>
      <c r="Y1131" s="100"/>
    </row>
    <row r="1132" spans="1:25" ht="13.5">
      <c r="A1132" s="100"/>
      <c r="B1132" s="100"/>
      <c r="C1132" s="100"/>
      <c r="D1132" s="100"/>
      <c r="E1132" s="100"/>
      <c r="F1132" s="100"/>
      <c r="G1132" s="100"/>
      <c r="H1132" s="100"/>
      <c r="I1132" s="100"/>
      <c r="J1132" s="100"/>
      <c r="K1132" s="100"/>
      <c r="L1132" s="100"/>
      <c r="M1132" s="100"/>
      <c r="N1132" s="100"/>
      <c r="O1132" s="100"/>
      <c r="P1132" s="100"/>
      <c r="Q1132" s="100"/>
      <c r="R1132" s="100"/>
      <c r="S1132" s="101"/>
      <c r="T1132" s="101"/>
      <c r="U1132" s="100"/>
      <c r="V1132" s="100"/>
      <c r="W1132" s="100"/>
      <c r="X1132" s="100"/>
      <c r="Y1132" s="100"/>
    </row>
    <row r="1133" spans="1:25" ht="13.5">
      <c r="A1133" s="100"/>
      <c r="B1133" s="100"/>
      <c r="C1133" s="100"/>
      <c r="D1133" s="100"/>
      <c r="E1133" s="100"/>
      <c r="F1133" s="100"/>
      <c r="G1133" s="100"/>
      <c r="H1133" s="100"/>
      <c r="I1133" s="100"/>
      <c r="J1133" s="100"/>
      <c r="K1133" s="100"/>
      <c r="L1133" s="100"/>
      <c r="M1133" s="100"/>
      <c r="N1133" s="100"/>
      <c r="O1133" s="100"/>
      <c r="P1133" s="100"/>
      <c r="Q1133" s="100"/>
      <c r="R1133" s="100"/>
      <c r="S1133" s="101"/>
      <c r="T1133" s="101"/>
      <c r="U1133" s="100"/>
      <c r="V1133" s="100"/>
      <c r="W1133" s="100"/>
      <c r="X1133" s="100"/>
      <c r="Y1133" s="100"/>
    </row>
    <row r="1134" spans="1:25" ht="13.5">
      <c r="A1134" s="100"/>
      <c r="B1134" s="100"/>
      <c r="C1134" s="100"/>
      <c r="D1134" s="100"/>
      <c r="E1134" s="100"/>
      <c r="F1134" s="100"/>
      <c r="G1134" s="100"/>
      <c r="H1134" s="100"/>
      <c r="I1134" s="100"/>
      <c r="J1134" s="100"/>
      <c r="K1134" s="100"/>
      <c r="L1134" s="100"/>
      <c r="M1134" s="100"/>
      <c r="N1134" s="100"/>
      <c r="O1134" s="100"/>
      <c r="P1134" s="100"/>
      <c r="Q1134" s="100"/>
      <c r="R1134" s="100"/>
      <c r="S1134" s="101"/>
      <c r="T1134" s="101"/>
      <c r="U1134" s="100"/>
      <c r="V1134" s="100"/>
      <c r="W1134" s="100"/>
      <c r="X1134" s="100"/>
      <c r="Y1134" s="100"/>
    </row>
    <row r="1135" spans="1:25" ht="13.5">
      <c r="A1135" s="100"/>
      <c r="B1135" s="100"/>
      <c r="C1135" s="100"/>
      <c r="D1135" s="100"/>
      <c r="E1135" s="100"/>
      <c r="F1135" s="100"/>
      <c r="G1135" s="100"/>
      <c r="H1135" s="100"/>
      <c r="I1135" s="100"/>
      <c r="J1135" s="100"/>
      <c r="K1135" s="100"/>
      <c r="L1135" s="100"/>
      <c r="M1135" s="100"/>
      <c r="N1135" s="100"/>
      <c r="O1135" s="100"/>
      <c r="P1135" s="100"/>
      <c r="Q1135" s="100"/>
      <c r="R1135" s="100"/>
      <c r="S1135" s="101"/>
      <c r="T1135" s="101"/>
      <c r="U1135" s="100"/>
      <c r="V1135" s="100"/>
      <c r="W1135" s="100"/>
      <c r="X1135" s="100"/>
      <c r="Y1135" s="100"/>
    </row>
    <row r="1136" spans="1:25" ht="13.5">
      <c r="A1136" s="100"/>
      <c r="B1136" s="100"/>
      <c r="C1136" s="100"/>
      <c r="D1136" s="100"/>
      <c r="E1136" s="100"/>
      <c r="F1136" s="100"/>
      <c r="G1136" s="100"/>
      <c r="H1136" s="100"/>
      <c r="I1136" s="100"/>
      <c r="J1136" s="100"/>
      <c r="K1136" s="100"/>
      <c r="L1136" s="100"/>
      <c r="M1136" s="100"/>
      <c r="N1136" s="100"/>
      <c r="O1136" s="100"/>
      <c r="P1136" s="100"/>
      <c r="Q1136" s="100"/>
      <c r="R1136" s="100"/>
      <c r="S1136" s="101"/>
      <c r="T1136" s="101"/>
      <c r="U1136" s="100"/>
      <c r="V1136" s="100"/>
      <c r="W1136" s="100"/>
      <c r="X1136" s="100"/>
      <c r="Y1136" s="100"/>
    </row>
    <row r="1137" spans="1:25" ht="13.5">
      <c r="A1137" s="100"/>
      <c r="B1137" s="100"/>
      <c r="C1137" s="100"/>
      <c r="D1137" s="100"/>
      <c r="E1137" s="100"/>
      <c r="F1137" s="100"/>
      <c r="G1137" s="100"/>
      <c r="H1137" s="100"/>
      <c r="I1137" s="100"/>
      <c r="J1137" s="100"/>
      <c r="K1137" s="100"/>
      <c r="L1137" s="100"/>
      <c r="M1137" s="100"/>
      <c r="N1137" s="100"/>
      <c r="O1137" s="100"/>
      <c r="P1137" s="100"/>
      <c r="Q1137" s="100"/>
      <c r="R1137" s="100"/>
      <c r="S1137" s="101"/>
      <c r="T1137" s="101"/>
      <c r="U1137" s="100"/>
      <c r="V1137" s="100"/>
      <c r="W1137" s="100"/>
      <c r="X1137" s="100"/>
      <c r="Y1137" s="100"/>
    </row>
    <row r="1138" spans="1:25" ht="13.5">
      <c r="A1138" s="100"/>
      <c r="B1138" s="100"/>
      <c r="C1138" s="100"/>
      <c r="D1138" s="100"/>
      <c r="E1138" s="100"/>
      <c r="F1138" s="100"/>
      <c r="G1138" s="100"/>
      <c r="H1138" s="100"/>
      <c r="I1138" s="100"/>
      <c r="J1138" s="100"/>
      <c r="K1138" s="100"/>
      <c r="L1138" s="100"/>
      <c r="M1138" s="100"/>
      <c r="N1138" s="100"/>
      <c r="O1138" s="100"/>
      <c r="P1138" s="100"/>
      <c r="Q1138" s="100"/>
      <c r="R1138" s="100"/>
      <c r="S1138" s="101"/>
      <c r="T1138" s="101"/>
      <c r="U1138" s="100"/>
      <c r="V1138" s="100"/>
      <c r="W1138" s="100"/>
      <c r="X1138" s="100"/>
      <c r="Y1138" s="100"/>
    </row>
    <row r="1139" spans="1:25" ht="13.5">
      <c r="A1139" s="100"/>
      <c r="B1139" s="100"/>
      <c r="C1139" s="100"/>
      <c r="D1139" s="100"/>
      <c r="E1139" s="100"/>
      <c r="F1139" s="100"/>
      <c r="G1139" s="100"/>
      <c r="H1139" s="100"/>
      <c r="I1139" s="100"/>
      <c r="J1139" s="100"/>
      <c r="K1139" s="100"/>
      <c r="L1139" s="100"/>
      <c r="M1139" s="100"/>
      <c r="N1139" s="100"/>
      <c r="O1139" s="100"/>
      <c r="P1139" s="100"/>
      <c r="Q1139" s="100"/>
      <c r="R1139" s="100"/>
      <c r="S1139" s="101"/>
      <c r="T1139" s="101"/>
      <c r="U1139" s="100"/>
      <c r="V1139" s="100"/>
      <c r="W1139" s="100"/>
      <c r="X1139" s="100"/>
      <c r="Y1139" s="100"/>
    </row>
    <row r="1140" spans="1:25" ht="13.5">
      <c r="A1140" s="100"/>
      <c r="B1140" s="100"/>
      <c r="C1140" s="100"/>
      <c r="D1140" s="100"/>
      <c r="E1140" s="100"/>
      <c r="F1140" s="100"/>
      <c r="G1140" s="100"/>
      <c r="H1140" s="100"/>
      <c r="I1140" s="100"/>
      <c r="J1140" s="100"/>
      <c r="K1140" s="100"/>
      <c r="L1140" s="100"/>
      <c r="M1140" s="100"/>
      <c r="N1140" s="100"/>
      <c r="O1140" s="100"/>
      <c r="P1140" s="100"/>
      <c r="Q1140" s="100"/>
      <c r="R1140" s="100"/>
      <c r="S1140" s="101"/>
      <c r="T1140" s="101"/>
      <c r="U1140" s="100"/>
      <c r="V1140" s="100"/>
      <c r="W1140" s="100"/>
      <c r="X1140" s="100"/>
      <c r="Y1140" s="100"/>
    </row>
    <row r="1141" spans="1:25" ht="13.5">
      <c r="A1141" s="100"/>
      <c r="B1141" s="100"/>
      <c r="C1141" s="100"/>
      <c r="D1141" s="100"/>
      <c r="E1141" s="100"/>
      <c r="F1141" s="100"/>
      <c r="G1141" s="100"/>
      <c r="H1141" s="100"/>
      <c r="I1141" s="100"/>
      <c r="J1141" s="100"/>
      <c r="K1141" s="100"/>
      <c r="L1141" s="100"/>
      <c r="M1141" s="100"/>
      <c r="N1141" s="100"/>
      <c r="O1141" s="100"/>
      <c r="P1141" s="100"/>
      <c r="Q1141" s="100"/>
      <c r="R1141" s="100"/>
      <c r="S1141" s="101"/>
      <c r="T1141" s="101"/>
      <c r="U1141" s="100"/>
      <c r="V1141" s="100"/>
      <c r="W1141" s="100"/>
      <c r="X1141" s="100"/>
      <c r="Y1141" s="100"/>
    </row>
    <row r="1142" spans="1:25" ht="13.5">
      <c r="A1142" s="100"/>
      <c r="B1142" s="100"/>
      <c r="C1142" s="100"/>
      <c r="D1142" s="100"/>
      <c r="E1142" s="100"/>
      <c r="F1142" s="100"/>
      <c r="G1142" s="100"/>
      <c r="H1142" s="100"/>
      <c r="I1142" s="100"/>
      <c r="J1142" s="100"/>
      <c r="K1142" s="100"/>
      <c r="L1142" s="100"/>
      <c r="M1142" s="100"/>
      <c r="N1142" s="100"/>
      <c r="O1142" s="100"/>
      <c r="P1142" s="100"/>
      <c r="Q1142" s="100"/>
      <c r="R1142" s="100"/>
      <c r="S1142" s="101"/>
      <c r="T1142" s="101"/>
      <c r="U1142" s="100"/>
      <c r="V1142" s="100"/>
      <c r="W1142" s="100"/>
      <c r="X1142" s="100"/>
      <c r="Y1142" s="100"/>
    </row>
    <row r="1143" spans="1:25" ht="13.5">
      <c r="A1143" s="100"/>
      <c r="B1143" s="100"/>
      <c r="C1143" s="100"/>
      <c r="D1143" s="100"/>
      <c r="E1143" s="100"/>
      <c r="F1143" s="100"/>
      <c r="G1143" s="100"/>
      <c r="H1143" s="100"/>
      <c r="I1143" s="100"/>
      <c r="J1143" s="100"/>
      <c r="K1143" s="100"/>
      <c r="L1143" s="100"/>
      <c r="M1143" s="100"/>
      <c r="N1143" s="100"/>
      <c r="O1143" s="100"/>
      <c r="P1143" s="100"/>
      <c r="Q1143" s="100"/>
      <c r="R1143" s="100"/>
      <c r="S1143" s="101"/>
      <c r="T1143" s="101"/>
      <c r="U1143" s="100"/>
      <c r="V1143" s="100"/>
      <c r="W1143" s="100"/>
      <c r="X1143" s="100"/>
      <c r="Y1143" s="100"/>
    </row>
    <row r="1144" spans="1:25" ht="13.5">
      <c r="A1144" s="100"/>
      <c r="B1144" s="100"/>
      <c r="C1144" s="100"/>
      <c r="D1144" s="100"/>
      <c r="E1144" s="100"/>
      <c r="F1144" s="100"/>
      <c r="G1144" s="100"/>
      <c r="H1144" s="100"/>
      <c r="I1144" s="100"/>
      <c r="J1144" s="100"/>
      <c r="K1144" s="100"/>
      <c r="L1144" s="100"/>
      <c r="M1144" s="100"/>
      <c r="N1144" s="100"/>
      <c r="O1144" s="100"/>
      <c r="P1144" s="100"/>
      <c r="Q1144" s="100"/>
      <c r="R1144" s="100"/>
      <c r="S1144" s="101"/>
      <c r="T1144" s="101"/>
      <c r="U1144" s="100"/>
      <c r="V1144" s="100"/>
      <c r="W1144" s="100"/>
      <c r="X1144" s="100"/>
      <c r="Y1144" s="100"/>
    </row>
    <row r="1145" spans="1:25" ht="13.5">
      <c r="A1145" s="100"/>
      <c r="B1145" s="100"/>
      <c r="C1145" s="100"/>
      <c r="D1145" s="100"/>
      <c r="E1145" s="100"/>
      <c r="F1145" s="100"/>
      <c r="G1145" s="100"/>
      <c r="H1145" s="100"/>
      <c r="I1145" s="100"/>
      <c r="J1145" s="100"/>
      <c r="K1145" s="100"/>
      <c r="L1145" s="100"/>
      <c r="M1145" s="100"/>
      <c r="N1145" s="100"/>
      <c r="O1145" s="100"/>
      <c r="P1145" s="100"/>
      <c r="Q1145" s="100"/>
      <c r="R1145" s="100"/>
      <c r="S1145" s="101"/>
      <c r="T1145" s="101"/>
      <c r="U1145" s="100"/>
      <c r="V1145" s="100"/>
      <c r="W1145" s="100"/>
      <c r="X1145" s="100"/>
      <c r="Y1145" s="100"/>
    </row>
    <row r="1146" spans="1:25" ht="13.5">
      <c r="A1146" s="100"/>
      <c r="B1146" s="100"/>
      <c r="C1146" s="100"/>
      <c r="D1146" s="100"/>
      <c r="E1146" s="100"/>
      <c r="F1146" s="100"/>
      <c r="G1146" s="100"/>
      <c r="H1146" s="100"/>
      <c r="I1146" s="100"/>
      <c r="J1146" s="100"/>
      <c r="K1146" s="100"/>
      <c r="L1146" s="100"/>
      <c r="M1146" s="100"/>
      <c r="N1146" s="100"/>
      <c r="O1146" s="100"/>
      <c r="P1146" s="100"/>
      <c r="Q1146" s="100"/>
      <c r="R1146" s="100"/>
      <c r="S1146" s="101"/>
      <c r="T1146" s="101"/>
      <c r="U1146" s="100"/>
      <c r="V1146" s="100"/>
      <c r="W1146" s="100"/>
      <c r="X1146" s="100"/>
      <c r="Y1146" s="100"/>
    </row>
    <row r="1147" spans="1:25" ht="13.5">
      <c r="A1147" s="100"/>
      <c r="B1147" s="100"/>
      <c r="C1147" s="100"/>
      <c r="D1147" s="100"/>
      <c r="E1147" s="100"/>
      <c r="F1147" s="100"/>
      <c r="G1147" s="100"/>
      <c r="H1147" s="100"/>
      <c r="I1147" s="100"/>
      <c r="J1147" s="100"/>
      <c r="K1147" s="100"/>
      <c r="L1147" s="100"/>
      <c r="M1147" s="100"/>
      <c r="N1147" s="100"/>
      <c r="O1147" s="100"/>
      <c r="P1147" s="100"/>
      <c r="Q1147" s="100"/>
      <c r="R1147" s="100"/>
      <c r="S1147" s="101"/>
      <c r="T1147" s="101"/>
      <c r="U1147" s="100"/>
      <c r="V1147" s="100"/>
      <c r="W1147" s="100"/>
      <c r="X1147" s="100"/>
      <c r="Y1147" s="100"/>
    </row>
    <row r="1148" spans="1:25" ht="13.5">
      <c r="A1148" s="100"/>
      <c r="B1148" s="100"/>
      <c r="C1148" s="100"/>
      <c r="D1148" s="100"/>
      <c r="E1148" s="100"/>
      <c r="F1148" s="100"/>
      <c r="G1148" s="100"/>
      <c r="H1148" s="100"/>
      <c r="I1148" s="100"/>
      <c r="J1148" s="100"/>
      <c r="K1148" s="100"/>
      <c r="L1148" s="100"/>
      <c r="M1148" s="100"/>
      <c r="N1148" s="100"/>
      <c r="O1148" s="100"/>
      <c r="P1148" s="100"/>
      <c r="Q1148" s="100"/>
      <c r="R1148" s="100"/>
      <c r="S1148" s="101"/>
      <c r="T1148" s="101"/>
      <c r="U1148" s="100"/>
      <c r="V1148" s="100"/>
      <c r="W1148" s="100"/>
      <c r="X1148" s="100"/>
      <c r="Y1148" s="100"/>
    </row>
    <row r="1149" spans="1:25" ht="13.5">
      <c r="A1149" s="100"/>
      <c r="B1149" s="100"/>
      <c r="C1149" s="100"/>
      <c r="D1149" s="100"/>
      <c r="E1149" s="100"/>
      <c r="F1149" s="100"/>
      <c r="G1149" s="100"/>
      <c r="H1149" s="100"/>
      <c r="I1149" s="100"/>
      <c r="J1149" s="100"/>
      <c r="K1149" s="100"/>
      <c r="L1149" s="100"/>
      <c r="M1149" s="100"/>
      <c r="N1149" s="100"/>
      <c r="O1149" s="100"/>
      <c r="P1149" s="100"/>
      <c r="Q1149" s="100"/>
      <c r="R1149" s="100"/>
      <c r="S1149" s="101"/>
      <c r="T1149" s="101"/>
      <c r="U1149" s="100"/>
      <c r="V1149" s="100"/>
      <c r="W1149" s="100"/>
      <c r="X1149" s="100"/>
      <c r="Y1149" s="100"/>
    </row>
    <row r="1150" spans="1:25" ht="13.5">
      <c r="A1150" s="100"/>
      <c r="B1150" s="100"/>
      <c r="C1150" s="100"/>
      <c r="D1150" s="100"/>
      <c r="E1150" s="100"/>
      <c r="F1150" s="100"/>
      <c r="G1150" s="100"/>
      <c r="H1150" s="100"/>
      <c r="I1150" s="100"/>
      <c r="J1150" s="100"/>
      <c r="K1150" s="100"/>
      <c r="L1150" s="100"/>
      <c r="M1150" s="100"/>
      <c r="N1150" s="100"/>
      <c r="O1150" s="100"/>
      <c r="P1150" s="100"/>
      <c r="Q1150" s="100"/>
      <c r="R1150" s="100"/>
      <c r="S1150" s="101"/>
      <c r="T1150" s="101"/>
      <c r="U1150" s="100"/>
      <c r="V1150" s="100"/>
      <c r="W1150" s="100"/>
      <c r="X1150" s="100"/>
      <c r="Y1150" s="100"/>
    </row>
    <row r="1151" spans="1:25" ht="13.5">
      <c r="A1151" s="100"/>
      <c r="B1151" s="100"/>
      <c r="C1151" s="100"/>
      <c r="D1151" s="100"/>
      <c r="E1151" s="100"/>
      <c r="F1151" s="100"/>
      <c r="G1151" s="100"/>
      <c r="H1151" s="100"/>
      <c r="I1151" s="100"/>
      <c r="J1151" s="100"/>
      <c r="K1151" s="100"/>
      <c r="L1151" s="100"/>
      <c r="M1151" s="100"/>
      <c r="N1151" s="100"/>
      <c r="O1151" s="100"/>
      <c r="P1151" s="100"/>
      <c r="Q1151" s="100"/>
      <c r="R1151" s="100"/>
      <c r="S1151" s="101"/>
      <c r="T1151" s="101"/>
      <c r="U1151" s="100"/>
      <c r="V1151" s="100"/>
      <c r="W1151" s="100"/>
      <c r="X1151" s="100"/>
      <c r="Y1151" s="100"/>
    </row>
    <row r="1152" spans="1:25" ht="13.5">
      <c r="A1152" s="100"/>
      <c r="B1152" s="100"/>
      <c r="C1152" s="100"/>
      <c r="D1152" s="100"/>
      <c r="E1152" s="100"/>
      <c r="F1152" s="100"/>
      <c r="G1152" s="100"/>
      <c r="H1152" s="100"/>
      <c r="I1152" s="100"/>
      <c r="J1152" s="100"/>
      <c r="K1152" s="100"/>
      <c r="L1152" s="100"/>
      <c r="M1152" s="100"/>
      <c r="N1152" s="100"/>
      <c r="O1152" s="100"/>
      <c r="P1152" s="100"/>
      <c r="Q1152" s="100"/>
      <c r="R1152" s="100"/>
      <c r="S1152" s="101"/>
      <c r="T1152" s="101"/>
      <c r="U1152" s="100"/>
      <c r="V1152" s="100"/>
      <c r="W1152" s="100"/>
      <c r="X1152" s="100"/>
      <c r="Y1152" s="100"/>
    </row>
    <row r="1153" spans="1:25" ht="13.5">
      <c r="A1153" s="100"/>
      <c r="B1153" s="100"/>
      <c r="C1153" s="100"/>
      <c r="D1153" s="100"/>
      <c r="E1153" s="100"/>
      <c r="F1153" s="100"/>
      <c r="G1153" s="100"/>
      <c r="H1153" s="100"/>
      <c r="I1153" s="100"/>
      <c r="J1153" s="100"/>
      <c r="K1153" s="100"/>
      <c r="L1153" s="100"/>
      <c r="M1153" s="100"/>
      <c r="N1153" s="100"/>
      <c r="O1153" s="100"/>
      <c r="P1153" s="100"/>
      <c r="Q1153" s="100"/>
      <c r="R1153" s="100"/>
      <c r="S1153" s="101"/>
      <c r="T1153" s="101"/>
      <c r="U1153" s="100"/>
      <c r="V1153" s="100"/>
      <c r="W1153" s="100"/>
      <c r="X1153" s="100"/>
      <c r="Y1153" s="100"/>
    </row>
    <row r="1154" spans="1:25" ht="13.5">
      <c r="A1154" s="100"/>
      <c r="B1154" s="100"/>
      <c r="C1154" s="100"/>
      <c r="D1154" s="100"/>
      <c r="E1154" s="100"/>
      <c r="F1154" s="100"/>
      <c r="G1154" s="100"/>
      <c r="H1154" s="100"/>
      <c r="I1154" s="100"/>
      <c r="J1154" s="100"/>
      <c r="K1154" s="100"/>
      <c r="L1154" s="100"/>
      <c r="M1154" s="100"/>
      <c r="N1154" s="100"/>
      <c r="O1154" s="100"/>
      <c r="P1154" s="100"/>
      <c r="Q1154" s="100"/>
      <c r="R1154" s="100"/>
      <c r="S1154" s="101"/>
      <c r="T1154" s="101"/>
      <c r="U1154" s="100"/>
      <c r="V1154" s="100"/>
      <c r="W1154" s="100"/>
      <c r="X1154" s="100"/>
      <c r="Y1154" s="100"/>
    </row>
    <row r="1155" spans="1:25" ht="13.5">
      <c r="A1155" s="100"/>
      <c r="B1155" s="100"/>
      <c r="C1155" s="100"/>
      <c r="D1155" s="100"/>
      <c r="E1155" s="100"/>
      <c r="F1155" s="100"/>
      <c r="G1155" s="100"/>
      <c r="H1155" s="100"/>
      <c r="I1155" s="100"/>
      <c r="J1155" s="100"/>
      <c r="K1155" s="100"/>
      <c r="L1155" s="100"/>
      <c r="M1155" s="100"/>
      <c r="N1155" s="100"/>
      <c r="O1155" s="100"/>
      <c r="P1155" s="100"/>
      <c r="Q1155" s="100"/>
      <c r="R1155" s="100"/>
      <c r="S1155" s="101"/>
      <c r="T1155" s="101"/>
      <c r="U1155" s="100"/>
      <c r="V1155" s="100"/>
      <c r="W1155" s="100"/>
      <c r="X1155" s="100"/>
      <c r="Y1155" s="100"/>
    </row>
    <row r="1156" spans="1:25" ht="13.5">
      <c r="A1156" s="100"/>
      <c r="B1156" s="100"/>
      <c r="C1156" s="100"/>
      <c r="D1156" s="100"/>
      <c r="E1156" s="100"/>
      <c r="F1156" s="100"/>
      <c r="G1156" s="100"/>
      <c r="H1156" s="100"/>
      <c r="I1156" s="100"/>
      <c r="J1156" s="100"/>
      <c r="K1156" s="100"/>
      <c r="L1156" s="100"/>
      <c r="M1156" s="100"/>
      <c r="N1156" s="100"/>
      <c r="O1156" s="100"/>
      <c r="P1156" s="100"/>
      <c r="Q1156" s="100"/>
      <c r="R1156" s="100"/>
      <c r="S1156" s="101"/>
      <c r="T1156" s="101"/>
      <c r="U1156" s="100"/>
      <c r="V1156" s="100"/>
      <c r="W1156" s="100"/>
      <c r="X1156" s="100"/>
      <c r="Y1156" s="100"/>
    </row>
    <row r="1157" spans="1:25" ht="13.5">
      <c r="A1157" s="100"/>
      <c r="B1157" s="100"/>
      <c r="C1157" s="100"/>
      <c r="D1157" s="100"/>
      <c r="E1157" s="100"/>
      <c r="F1157" s="100"/>
      <c r="G1157" s="100"/>
      <c r="H1157" s="100"/>
      <c r="I1157" s="100"/>
      <c r="J1157" s="100"/>
      <c r="K1157" s="100"/>
      <c r="L1157" s="100"/>
      <c r="M1157" s="100"/>
      <c r="N1157" s="100"/>
      <c r="O1157" s="100"/>
      <c r="P1157" s="100"/>
      <c r="Q1157" s="100"/>
      <c r="R1157" s="100"/>
      <c r="S1157" s="101"/>
      <c r="T1157" s="101"/>
      <c r="U1157" s="100"/>
      <c r="V1157" s="100"/>
      <c r="W1157" s="100"/>
      <c r="X1157" s="100"/>
      <c r="Y1157" s="100"/>
    </row>
    <row r="1158" spans="1:25" ht="13.5">
      <c r="A1158" s="100"/>
      <c r="B1158" s="100"/>
      <c r="C1158" s="100"/>
      <c r="D1158" s="100"/>
      <c r="E1158" s="100"/>
      <c r="F1158" s="100"/>
      <c r="G1158" s="100"/>
      <c r="H1158" s="100"/>
      <c r="I1158" s="100"/>
      <c r="J1158" s="100"/>
      <c r="K1158" s="100"/>
      <c r="L1158" s="100"/>
      <c r="M1158" s="100"/>
      <c r="N1158" s="100"/>
      <c r="O1158" s="100"/>
      <c r="P1158" s="100"/>
      <c r="Q1158" s="100"/>
      <c r="R1158" s="100"/>
      <c r="S1158" s="101"/>
      <c r="T1158" s="101"/>
      <c r="U1158" s="100"/>
      <c r="V1158" s="100"/>
      <c r="W1158" s="100"/>
      <c r="X1158" s="100"/>
      <c r="Y1158" s="100"/>
    </row>
    <row r="1159" spans="1:25" ht="13.5">
      <c r="A1159" s="100"/>
      <c r="B1159" s="100"/>
      <c r="C1159" s="100"/>
      <c r="D1159" s="100"/>
      <c r="E1159" s="100"/>
      <c r="F1159" s="100"/>
      <c r="G1159" s="100"/>
      <c r="H1159" s="100"/>
      <c r="I1159" s="100"/>
      <c r="J1159" s="100"/>
      <c r="K1159" s="100"/>
      <c r="L1159" s="100"/>
      <c r="M1159" s="100"/>
      <c r="N1159" s="100"/>
      <c r="O1159" s="100"/>
      <c r="P1159" s="100"/>
      <c r="Q1159" s="100"/>
      <c r="R1159" s="100"/>
      <c r="S1159" s="101"/>
      <c r="T1159" s="101"/>
      <c r="U1159" s="100"/>
      <c r="V1159" s="100"/>
      <c r="W1159" s="100"/>
      <c r="X1159" s="100"/>
      <c r="Y1159" s="100"/>
    </row>
    <row r="1160" spans="1:25" ht="13.5">
      <c r="A1160" s="100"/>
      <c r="B1160" s="100"/>
      <c r="C1160" s="100"/>
      <c r="D1160" s="100"/>
      <c r="E1160" s="100"/>
      <c r="F1160" s="100"/>
      <c r="G1160" s="100"/>
      <c r="H1160" s="100"/>
      <c r="I1160" s="100"/>
      <c r="J1160" s="100"/>
      <c r="K1160" s="100"/>
      <c r="L1160" s="100"/>
      <c r="M1160" s="100"/>
      <c r="N1160" s="100"/>
      <c r="O1160" s="100"/>
      <c r="P1160" s="100"/>
      <c r="Q1160" s="100"/>
      <c r="R1160" s="100"/>
      <c r="S1160" s="101"/>
      <c r="T1160" s="101"/>
      <c r="U1160" s="100"/>
      <c r="V1160" s="100"/>
      <c r="W1160" s="100"/>
      <c r="X1160" s="100"/>
      <c r="Y1160" s="100"/>
    </row>
    <row r="1161" spans="1:25" ht="13.5">
      <c r="A1161" s="100"/>
      <c r="B1161" s="100"/>
      <c r="C1161" s="100"/>
      <c r="D1161" s="100"/>
      <c r="E1161" s="100"/>
      <c r="F1161" s="100"/>
      <c r="G1161" s="100"/>
      <c r="H1161" s="100"/>
      <c r="I1161" s="100"/>
      <c r="J1161" s="100"/>
      <c r="K1161" s="100"/>
      <c r="L1161" s="100"/>
      <c r="M1161" s="100"/>
      <c r="N1161" s="100"/>
      <c r="O1161" s="100"/>
      <c r="P1161" s="100"/>
      <c r="Q1161" s="100"/>
      <c r="R1161" s="100"/>
      <c r="S1161" s="101"/>
      <c r="T1161" s="101"/>
      <c r="U1161" s="100"/>
      <c r="V1161" s="100"/>
      <c r="W1161" s="100"/>
      <c r="X1161" s="100"/>
      <c r="Y1161" s="100"/>
    </row>
    <row r="1162" spans="1:25" ht="13.5">
      <c r="A1162" s="100"/>
      <c r="B1162" s="100"/>
      <c r="C1162" s="100"/>
      <c r="D1162" s="100"/>
      <c r="E1162" s="100"/>
      <c r="F1162" s="100"/>
      <c r="G1162" s="100"/>
      <c r="H1162" s="100"/>
      <c r="I1162" s="100"/>
      <c r="J1162" s="100"/>
      <c r="K1162" s="100"/>
      <c r="L1162" s="100"/>
      <c r="M1162" s="100"/>
      <c r="N1162" s="100"/>
      <c r="O1162" s="100"/>
      <c r="P1162" s="100"/>
      <c r="Q1162" s="100"/>
      <c r="R1162" s="100"/>
      <c r="S1162" s="101"/>
      <c r="T1162" s="101"/>
      <c r="U1162" s="100"/>
      <c r="V1162" s="100"/>
      <c r="W1162" s="100"/>
      <c r="X1162" s="100"/>
      <c r="Y1162" s="100"/>
    </row>
    <row r="1163" spans="1:25" ht="13.5">
      <c r="A1163" s="100"/>
      <c r="B1163" s="100"/>
      <c r="C1163" s="100"/>
      <c r="D1163" s="100"/>
      <c r="E1163" s="100"/>
      <c r="F1163" s="100"/>
      <c r="G1163" s="100"/>
      <c r="H1163" s="100"/>
      <c r="I1163" s="100"/>
      <c r="J1163" s="100"/>
      <c r="K1163" s="100"/>
      <c r="L1163" s="100"/>
      <c r="M1163" s="100"/>
      <c r="N1163" s="100"/>
      <c r="O1163" s="100"/>
      <c r="P1163" s="100"/>
      <c r="Q1163" s="100"/>
      <c r="R1163" s="100"/>
      <c r="S1163" s="101"/>
      <c r="T1163" s="101"/>
      <c r="U1163" s="100"/>
      <c r="V1163" s="100"/>
      <c r="W1163" s="100"/>
      <c r="X1163" s="100"/>
      <c r="Y1163" s="100"/>
    </row>
    <row r="1164" spans="1:25" ht="13.5">
      <c r="A1164" s="100"/>
      <c r="B1164" s="100"/>
      <c r="C1164" s="100"/>
      <c r="D1164" s="100"/>
      <c r="E1164" s="100"/>
      <c r="F1164" s="100"/>
      <c r="G1164" s="100"/>
      <c r="H1164" s="100"/>
      <c r="I1164" s="100"/>
      <c r="J1164" s="100"/>
      <c r="K1164" s="100"/>
      <c r="L1164" s="100"/>
      <c r="M1164" s="100"/>
      <c r="N1164" s="100"/>
      <c r="O1164" s="100"/>
      <c r="P1164" s="100"/>
      <c r="Q1164" s="100"/>
      <c r="R1164" s="100"/>
      <c r="S1164" s="101"/>
      <c r="T1164" s="101"/>
      <c r="U1164" s="100"/>
      <c r="V1164" s="100"/>
      <c r="W1164" s="100"/>
      <c r="X1164" s="100"/>
      <c r="Y1164" s="100"/>
    </row>
    <row r="1165" spans="1:25" ht="13.5">
      <c r="A1165" s="100"/>
      <c r="B1165" s="100"/>
      <c r="C1165" s="100"/>
      <c r="D1165" s="100"/>
      <c r="E1165" s="100"/>
      <c r="F1165" s="100"/>
      <c r="G1165" s="100"/>
      <c r="H1165" s="100"/>
      <c r="I1165" s="100"/>
      <c r="J1165" s="100"/>
      <c r="K1165" s="100"/>
      <c r="L1165" s="100"/>
      <c r="M1165" s="100"/>
      <c r="N1165" s="100"/>
      <c r="O1165" s="100"/>
      <c r="P1165" s="100"/>
      <c r="Q1165" s="100"/>
      <c r="R1165" s="100"/>
      <c r="S1165" s="101"/>
      <c r="T1165" s="101"/>
      <c r="U1165" s="100"/>
      <c r="V1165" s="100"/>
      <c r="W1165" s="100"/>
      <c r="X1165" s="100"/>
      <c r="Y1165" s="100"/>
    </row>
    <row r="1166" spans="1:25" ht="13.5">
      <c r="A1166" s="100"/>
      <c r="B1166" s="100"/>
      <c r="C1166" s="100"/>
      <c r="D1166" s="100"/>
      <c r="E1166" s="100"/>
      <c r="F1166" s="100"/>
      <c r="G1166" s="100"/>
      <c r="H1166" s="100"/>
      <c r="I1166" s="100"/>
      <c r="J1166" s="100"/>
      <c r="K1166" s="100"/>
      <c r="L1166" s="100"/>
      <c r="M1166" s="100"/>
      <c r="N1166" s="100"/>
      <c r="O1166" s="100"/>
      <c r="P1166" s="100"/>
      <c r="Q1166" s="100"/>
      <c r="R1166" s="100"/>
      <c r="S1166" s="101"/>
      <c r="T1166" s="101"/>
      <c r="U1166" s="100"/>
      <c r="V1166" s="100"/>
      <c r="W1166" s="100"/>
      <c r="X1166" s="100"/>
      <c r="Y1166" s="100"/>
    </row>
    <row r="1167" spans="1:25" ht="13.5">
      <c r="A1167" s="100"/>
      <c r="B1167" s="100"/>
      <c r="C1167" s="100"/>
      <c r="D1167" s="100"/>
      <c r="E1167" s="100"/>
      <c r="F1167" s="100"/>
      <c r="G1167" s="100"/>
      <c r="H1167" s="100"/>
      <c r="I1167" s="100"/>
      <c r="J1167" s="100"/>
      <c r="K1167" s="100"/>
      <c r="L1167" s="100"/>
      <c r="M1167" s="100"/>
      <c r="N1167" s="100"/>
      <c r="O1167" s="100"/>
      <c r="P1167" s="100"/>
      <c r="Q1167" s="100"/>
      <c r="R1167" s="100"/>
      <c r="S1167" s="101"/>
      <c r="T1167" s="101"/>
      <c r="U1167" s="100"/>
      <c r="V1167" s="100"/>
      <c r="W1167" s="100"/>
      <c r="X1167" s="100"/>
      <c r="Y1167" s="100"/>
    </row>
    <row r="1168" spans="1:25" ht="13.5">
      <c r="A1168" s="100"/>
      <c r="B1168" s="100"/>
      <c r="C1168" s="100"/>
      <c r="D1168" s="100"/>
      <c r="E1168" s="100"/>
      <c r="F1168" s="100"/>
      <c r="G1168" s="100"/>
      <c r="H1168" s="100"/>
      <c r="I1168" s="100"/>
      <c r="J1168" s="100"/>
      <c r="K1168" s="100"/>
      <c r="L1168" s="100"/>
      <c r="M1168" s="100"/>
      <c r="N1168" s="100"/>
      <c r="O1168" s="100"/>
      <c r="P1168" s="100"/>
      <c r="Q1168" s="100"/>
      <c r="R1168" s="100"/>
      <c r="S1168" s="101"/>
      <c r="T1168" s="101"/>
      <c r="U1168" s="100"/>
      <c r="V1168" s="100"/>
      <c r="W1168" s="100"/>
      <c r="X1168" s="100"/>
      <c r="Y1168" s="100"/>
    </row>
    <row r="1169" spans="1:25" ht="13.5">
      <c r="A1169" s="100"/>
      <c r="B1169" s="100"/>
      <c r="C1169" s="100"/>
      <c r="D1169" s="100"/>
      <c r="E1169" s="100"/>
      <c r="F1169" s="100"/>
      <c r="G1169" s="100"/>
      <c r="H1169" s="100"/>
      <c r="I1169" s="100"/>
      <c r="J1169" s="100"/>
      <c r="K1169" s="100"/>
      <c r="L1169" s="100"/>
      <c r="M1169" s="100"/>
      <c r="N1169" s="100"/>
      <c r="O1169" s="100"/>
      <c r="P1169" s="100"/>
      <c r="Q1169" s="100"/>
      <c r="R1169" s="100"/>
      <c r="S1169" s="101"/>
      <c r="T1169" s="101"/>
      <c r="U1169" s="100"/>
      <c r="V1169" s="100"/>
      <c r="W1169" s="100"/>
      <c r="X1169" s="100"/>
      <c r="Y1169" s="100"/>
    </row>
    <row r="1170" spans="1:25" ht="13.5">
      <c r="A1170" s="100"/>
      <c r="B1170" s="100"/>
      <c r="C1170" s="100"/>
      <c r="D1170" s="100"/>
      <c r="E1170" s="100"/>
      <c r="F1170" s="100"/>
      <c r="G1170" s="100"/>
      <c r="H1170" s="100"/>
      <c r="I1170" s="100"/>
      <c r="J1170" s="100"/>
      <c r="K1170" s="100"/>
      <c r="L1170" s="100"/>
      <c r="M1170" s="100"/>
      <c r="N1170" s="100"/>
      <c r="O1170" s="100"/>
      <c r="P1170" s="100"/>
      <c r="Q1170" s="100"/>
      <c r="R1170" s="100"/>
      <c r="S1170" s="101"/>
      <c r="T1170" s="101"/>
      <c r="U1170" s="100"/>
      <c r="V1170" s="100"/>
      <c r="W1170" s="100"/>
      <c r="X1170" s="100"/>
      <c r="Y1170" s="100"/>
    </row>
    <row r="1171" spans="1:25" ht="13.5">
      <c r="A1171" s="100"/>
      <c r="B1171" s="100"/>
      <c r="C1171" s="100"/>
      <c r="D1171" s="100"/>
      <c r="E1171" s="100"/>
      <c r="F1171" s="100"/>
      <c r="G1171" s="100"/>
      <c r="H1171" s="100"/>
      <c r="I1171" s="100"/>
      <c r="J1171" s="100"/>
      <c r="K1171" s="100"/>
      <c r="L1171" s="100"/>
      <c r="M1171" s="100"/>
      <c r="N1171" s="100"/>
      <c r="O1171" s="100"/>
      <c r="P1171" s="100"/>
      <c r="Q1171" s="100"/>
      <c r="R1171" s="100"/>
      <c r="S1171" s="101"/>
      <c r="T1171" s="101"/>
      <c r="U1171" s="100"/>
      <c r="V1171" s="100"/>
      <c r="W1171" s="100"/>
      <c r="X1171" s="100"/>
      <c r="Y1171" s="100"/>
    </row>
    <row r="1172" spans="1:25" ht="13.5">
      <c r="A1172" s="100"/>
      <c r="B1172" s="100"/>
      <c r="C1172" s="100"/>
      <c r="D1172" s="100"/>
      <c r="E1172" s="100"/>
      <c r="F1172" s="100"/>
      <c r="G1172" s="100"/>
      <c r="H1172" s="100"/>
      <c r="I1172" s="100"/>
      <c r="J1172" s="100"/>
      <c r="K1172" s="100"/>
      <c r="L1172" s="100"/>
      <c r="M1172" s="100"/>
      <c r="N1172" s="100"/>
      <c r="O1172" s="100"/>
      <c r="P1172" s="100"/>
      <c r="Q1172" s="100"/>
      <c r="R1172" s="100"/>
      <c r="S1172" s="101"/>
      <c r="T1172" s="101"/>
      <c r="U1172" s="100"/>
      <c r="V1172" s="100"/>
      <c r="W1172" s="100"/>
      <c r="X1172" s="100"/>
      <c r="Y1172" s="100"/>
    </row>
    <row r="1173" spans="1:25" ht="13.5">
      <c r="A1173" s="100"/>
      <c r="B1173" s="100"/>
      <c r="C1173" s="100"/>
      <c r="D1173" s="100"/>
      <c r="E1173" s="100"/>
      <c r="F1173" s="100"/>
      <c r="G1173" s="100"/>
      <c r="H1173" s="100"/>
      <c r="I1173" s="100"/>
      <c r="J1173" s="100"/>
      <c r="K1173" s="100"/>
      <c r="L1173" s="100"/>
      <c r="M1173" s="100"/>
      <c r="N1173" s="100"/>
      <c r="O1173" s="100"/>
      <c r="P1173" s="100"/>
      <c r="Q1173" s="100"/>
      <c r="R1173" s="100"/>
      <c r="S1173" s="101"/>
      <c r="T1173" s="101"/>
      <c r="U1173" s="100"/>
      <c r="V1173" s="100"/>
      <c r="W1173" s="100"/>
      <c r="X1173" s="100"/>
      <c r="Y1173" s="100"/>
    </row>
    <row r="1174" spans="1:25" ht="13.5">
      <c r="A1174" s="100"/>
      <c r="B1174" s="100"/>
      <c r="C1174" s="100"/>
      <c r="D1174" s="100"/>
      <c r="E1174" s="100"/>
      <c r="F1174" s="100"/>
      <c r="G1174" s="100"/>
      <c r="H1174" s="100"/>
      <c r="I1174" s="100"/>
      <c r="J1174" s="100"/>
      <c r="K1174" s="100"/>
      <c r="L1174" s="100"/>
      <c r="M1174" s="100"/>
      <c r="N1174" s="100"/>
      <c r="O1174" s="100"/>
      <c r="P1174" s="100"/>
      <c r="Q1174" s="100"/>
      <c r="R1174" s="100"/>
      <c r="S1174" s="101"/>
      <c r="T1174" s="101"/>
      <c r="U1174" s="100"/>
      <c r="V1174" s="100"/>
      <c r="W1174" s="100"/>
      <c r="X1174" s="100"/>
      <c r="Y1174" s="100"/>
    </row>
    <row r="1175" spans="1:25" ht="13.5">
      <c r="A1175" s="100"/>
      <c r="B1175" s="100"/>
      <c r="C1175" s="100"/>
      <c r="D1175" s="100"/>
      <c r="E1175" s="100"/>
      <c r="F1175" s="100"/>
      <c r="G1175" s="100"/>
      <c r="H1175" s="100"/>
      <c r="I1175" s="100"/>
      <c r="J1175" s="100"/>
      <c r="K1175" s="100"/>
      <c r="L1175" s="100"/>
      <c r="M1175" s="100"/>
      <c r="N1175" s="100"/>
      <c r="O1175" s="100"/>
      <c r="P1175" s="100"/>
      <c r="Q1175" s="100"/>
      <c r="R1175" s="100"/>
      <c r="S1175" s="101"/>
      <c r="T1175" s="101"/>
      <c r="U1175" s="100"/>
      <c r="V1175" s="100"/>
      <c r="W1175" s="100"/>
      <c r="X1175" s="100"/>
      <c r="Y1175" s="100"/>
    </row>
    <row r="1176" spans="1:25" ht="13.5">
      <c r="A1176" s="100"/>
      <c r="B1176" s="100"/>
      <c r="C1176" s="100"/>
      <c r="D1176" s="100"/>
      <c r="E1176" s="100"/>
      <c r="F1176" s="100"/>
      <c r="G1176" s="100"/>
      <c r="H1176" s="100"/>
      <c r="I1176" s="100"/>
      <c r="J1176" s="100"/>
      <c r="K1176" s="100"/>
      <c r="L1176" s="100"/>
      <c r="M1176" s="100"/>
      <c r="N1176" s="100"/>
      <c r="O1176" s="100"/>
      <c r="P1176" s="100"/>
      <c r="Q1176" s="100"/>
      <c r="R1176" s="100"/>
      <c r="S1176" s="101"/>
      <c r="T1176" s="101"/>
      <c r="U1176" s="100"/>
      <c r="V1176" s="100"/>
      <c r="W1176" s="100"/>
      <c r="X1176" s="100"/>
      <c r="Y1176" s="100"/>
    </row>
    <row r="1177" spans="1:25" ht="13.5">
      <c r="A1177" s="100"/>
      <c r="B1177" s="100"/>
      <c r="C1177" s="100"/>
      <c r="D1177" s="100"/>
      <c r="E1177" s="100"/>
      <c r="F1177" s="100"/>
      <c r="G1177" s="100"/>
      <c r="H1177" s="100"/>
      <c r="I1177" s="100"/>
      <c r="J1177" s="100"/>
      <c r="K1177" s="100"/>
      <c r="L1177" s="100"/>
      <c r="M1177" s="100"/>
      <c r="N1177" s="100"/>
      <c r="O1177" s="100"/>
      <c r="P1177" s="100"/>
      <c r="Q1177" s="100"/>
      <c r="R1177" s="100"/>
      <c r="S1177" s="101"/>
      <c r="T1177" s="101"/>
      <c r="U1177" s="100"/>
      <c r="V1177" s="100"/>
      <c r="W1177" s="100"/>
      <c r="X1177" s="100"/>
      <c r="Y1177" s="100"/>
    </row>
    <row r="1178" spans="1:25" ht="13.5">
      <c r="A1178" s="100"/>
      <c r="B1178" s="100"/>
      <c r="C1178" s="100"/>
      <c r="D1178" s="100"/>
      <c r="E1178" s="100"/>
      <c r="F1178" s="100"/>
      <c r="G1178" s="100"/>
      <c r="H1178" s="100"/>
      <c r="I1178" s="100"/>
      <c r="J1178" s="100"/>
      <c r="K1178" s="100"/>
      <c r="L1178" s="100"/>
      <c r="M1178" s="100"/>
      <c r="N1178" s="100"/>
      <c r="O1178" s="100"/>
      <c r="P1178" s="100"/>
      <c r="Q1178" s="100"/>
      <c r="R1178" s="100"/>
      <c r="S1178" s="101"/>
      <c r="T1178" s="101"/>
      <c r="U1178" s="100"/>
      <c r="V1178" s="100"/>
      <c r="W1178" s="100"/>
      <c r="X1178" s="100"/>
      <c r="Y1178" s="100"/>
    </row>
    <row r="1179" spans="1:25" ht="13.5">
      <c r="A1179" s="100"/>
      <c r="B1179" s="100"/>
      <c r="C1179" s="100"/>
      <c r="D1179" s="100"/>
      <c r="E1179" s="100"/>
      <c r="F1179" s="100"/>
      <c r="G1179" s="100"/>
      <c r="H1179" s="100"/>
      <c r="I1179" s="100"/>
      <c r="J1179" s="100"/>
      <c r="K1179" s="100"/>
      <c r="L1179" s="100"/>
      <c r="M1179" s="100"/>
      <c r="N1179" s="100"/>
      <c r="O1179" s="100"/>
      <c r="P1179" s="100"/>
      <c r="Q1179" s="100"/>
      <c r="R1179" s="100"/>
      <c r="S1179" s="101"/>
      <c r="T1179" s="101"/>
      <c r="U1179" s="100"/>
      <c r="V1179" s="100"/>
      <c r="W1179" s="100"/>
      <c r="X1179" s="100"/>
      <c r="Y1179" s="100"/>
    </row>
    <row r="1180" spans="1:25" ht="13.5">
      <c r="A1180" s="100"/>
      <c r="B1180" s="100"/>
      <c r="C1180" s="100"/>
      <c r="D1180" s="100"/>
      <c r="E1180" s="100"/>
      <c r="F1180" s="100"/>
      <c r="G1180" s="100"/>
      <c r="H1180" s="100"/>
      <c r="I1180" s="100"/>
      <c r="J1180" s="100"/>
      <c r="K1180" s="100"/>
      <c r="L1180" s="100"/>
      <c r="M1180" s="100"/>
      <c r="N1180" s="100"/>
      <c r="O1180" s="100"/>
      <c r="P1180" s="100"/>
      <c r="Q1180" s="100"/>
      <c r="R1180" s="100"/>
      <c r="S1180" s="101"/>
      <c r="T1180" s="101"/>
      <c r="U1180" s="100"/>
      <c r="V1180" s="100"/>
      <c r="W1180" s="100"/>
      <c r="X1180" s="100"/>
      <c r="Y1180" s="100"/>
    </row>
    <row r="1181" spans="1:25" ht="13.5">
      <c r="A1181" s="100"/>
      <c r="B1181" s="100"/>
      <c r="C1181" s="100"/>
      <c r="D1181" s="100"/>
      <c r="E1181" s="100"/>
      <c r="F1181" s="100"/>
      <c r="G1181" s="100"/>
      <c r="H1181" s="100"/>
      <c r="I1181" s="100"/>
      <c r="J1181" s="100"/>
      <c r="K1181" s="100"/>
      <c r="L1181" s="100"/>
      <c r="M1181" s="100"/>
      <c r="N1181" s="100"/>
      <c r="O1181" s="100"/>
      <c r="P1181" s="100"/>
      <c r="Q1181" s="100"/>
      <c r="R1181" s="100"/>
      <c r="S1181" s="101"/>
      <c r="T1181" s="101"/>
      <c r="U1181" s="100"/>
      <c r="V1181" s="100"/>
      <c r="W1181" s="100"/>
      <c r="X1181" s="100"/>
      <c r="Y1181" s="100"/>
    </row>
    <row r="1182" spans="1:25" ht="13.5">
      <c r="A1182" s="100"/>
      <c r="B1182" s="100"/>
      <c r="C1182" s="100"/>
      <c r="D1182" s="100"/>
      <c r="E1182" s="100"/>
      <c r="F1182" s="100"/>
      <c r="G1182" s="100"/>
      <c r="H1182" s="100"/>
      <c r="I1182" s="100"/>
      <c r="J1182" s="100"/>
      <c r="K1182" s="100"/>
      <c r="L1182" s="100"/>
      <c r="M1182" s="100"/>
      <c r="N1182" s="100"/>
      <c r="O1182" s="100"/>
      <c r="P1182" s="100"/>
      <c r="Q1182" s="100"/>
      <c r="R1182" s="100"/>
      <c r="S1182" s="101"/>
      <c r="T1182" s="101"/>
      <c r="U1182" s="100"/>
      <c r="V1182" s="100"/>
      <c r="W1182" s="100"/>
      <c r="X1182" s="100"/>
      <c r="Y1182" s="100"/>
    </row>
    <row r="1183" spans="1:25" ht="13.5">
      <c r="A1183" s="100"/>
      <c r="B1183" s="100"/>
      <c r="C1183" s="100"/>
      <c r="D1183" s="100"/>
      <c r="E1183" s="100"/>
      <c r="F1183" s="100"/>
      <c r="G1183" s="100"/>
      <c r="H1183" s="100"/>
      <c r="I1183" s="100"/>
      <c r="J1183" s="100"/>
      <c r="K1183" s="100"/>
      <c r="L1183" s="100"/>
      <c r="M1183" s="100"/>
      <c r="N1183" s="100"/>
      <c r="O1183" s="100"/>
      <c r="P1183" s="100"/>
      <c r="Q1183" s="100"/>
      <c r="R1183" s="100"/>
      <c r="S1183" s="101"/>
      <c r="T1183" s="101"/>
      <c r="U1183" s="100"/>
      <c r="V1183" s="100"/>
      <c r="W1183" s="100"/>
      <c r="X1183" s="100"/>
      <c r="Y1183" s="100"/>
    </row>
    <row r="1184" spans="1:25" ht="13.5">
      <c r="A1184" s="100"/>
      <c r="B1184" s="100"/>
      <c r="C1184" s="100"/>
      <c r="D1184" s="100"/>
      <c r="E1184" s="100"/>
      <c r="F1184" s="100"/>
      <c r="G1184" s="100"/>
      <c r="H1184" s="100"/>
      <c r="I1184" s="100"/>
      <c r="J1184" s="100"/>
      <c r="K1184" s="100"/>
      <c r="L1184" s="100"/>
      <c r="M1184" s="100"/>
      <c r="N1184" s="100"/>
      <c r="O1184" s="100"/>
      <c r="P1184" s="100"/>
      <c r="Q1184" s="100"/>
      <c r="R1184" s="100"/>
      <c r="S1184" s="101"/>
      <c r="T1184" s="101"/>
      <c r="U1184" s="100"/>
      <c r="V1184" s="100"/>
      <c r="W1184" s="100"/>
      <c r="X1184" s="100"/>
      <c r="Y1184" s="100"/>
    </row>
    <row r="1185" spans="1:25" ht="13.5">
      <c r="A1185" s="100"/>
      <c r="B1185" s="100"/>
      <c r="C1185" s="100"/>
      <c r="D1185" s="100"/>
      <c r="E1185" s="100"/>
      <c r="F1185" s="100"/>
      <c r="G1185" s="100"/>
      <c r="H1185" s="100"/>
      <c r="I1185" s="100"/>
      <c r="J1185" s="100"/>
      <c r="K1185" s="100"/>
      <c r="L1185" s="100"/>
      <c r="M1185" s="100"/>
      <c r="N1185" s="100"/>
      <c r="O1185" s="100"/>
      <c r="P1185" s="100"/>
      <c r="Q1185" s="100"/>
      <c r="R1185" s="100"/>
      <c r="S1185" s="101"/>
      <c r="T1185" s="101"/>
      <c r="U1185" s="100"/>
      <c r="V1185" s="100"/>
      <c r="W1185" s="100"/>
      <c r="X1185" s="100"/>
      <c r="Y1185" s="100"/>
    </row>
    <row r="1186" spans="1:25" ht="13.5">
      <c r="A1186" s="100"/>
      <c r="B1186" s="100"/>
      <c r="C1186" s="100"/>
      <c r="D1186" s="100"/>
      <c r="E1186" s="100"/>
      <c r="F1186" s="100"/>
      <c r="G1186" s="100"/>
      <c r="H1186" s="100"/>
      <c r="I1186" s="100"/>
      <c r="J1186" s="100"/>
      <c r="K1186" s="100"/>
      <c r="L1186" s="100"/>
      <c r="M1186" s="100"/>
      <c r="N1186" s="100"/>
      <c r="O1186" s="100"/>
      <c r="P1186" s="100"/>
      <c r="Q1186" s="100"/>
      <c r="R1186" s="100"/>
      <c r="S1186" s="101"/>
      <c r="T1186" s="101"/>
      <c r="U1186" s="100"/>
      <c r="V1186" s="100"/>
      <c r="W1186" s="100"/>
      <c r="X1186" s="100"/>
      <c r="Y1186" s="100"/>
    </row>
    <row r="1187" spans="1:25" ht="13.5">
      <c r="A1187" s="100"/>
      <c r="B1187" s="100"/>
      <c r="C1187" s="100"/>
      <c r="D1187" s="100"/>
      <c r="E1187" s="100"/>
      <c r="F1187" s="100"/>
      <c r="G1187" s="100"/>
      <c r="H1187" s="100"/>
      <c r="I1187" s="100"/>
      <c r="J1187" s="100"/>
      <c r="K1187" s="100"/>
      <c r="L1187" s="100"/>
      <c r="M1187" s="100"/>
      <c r="N1187" s="100"/>
      <c r="O1187" s="100"/>
      <c r="P1187" s="100"/>
      <c r="Q1187" s="100"/>
      <c r="R1187" s="100"/>
      <c r="S1187" s="101"/>
      <c r="T1187" s="101"/>
      <c r="U1187" s="100"/>
      <c r="V1187" s="100"/>
      <c r="W1187" s="100"/>
      <c r="X1187" s="100"/>
      <c r="Y1187" s="100"/>
    </row>
    <row r="1188" spans="1:25" ht="13.5">
      <c r="A1188" s="100"/>
      <c r="B1188" s="100"/>
      <c r="C1188" s="100"/>
      <c r="D1188" s="100"/>
      <c r="E1188" s="100"/>
      <c r="F1188" s="100"/>
      <c r="G1188" s="100"/>
      <c r="H1188" s="100"/>
      <c r="I1188" s="100"/>
      <c r="J1188" s="100"/>
      <c r="K1188" s="100"/>
      <c r="L1188" s="100"/>
      <c r="M1188" s="100"/>
      <c r="N1188" s="100"/>
      <c r="O1188" s="100"/>
      <c r="P1188" s="100"/>
      <c r="Q1188" s="100"/>
      <c r="R1188" s="100"/>
      <c r="S1188" s="101"/>
      <c r="T1188" s="101"/>
      <c r="U1188" s="100"/>
      <c r="V1188" s="100"/>
      <c r="W1188" s="100"/>
      <c r="X1188" s="100"/>
      <c r="Y1188" s="100"/>
    </row>
  </sheetData>
  <phoneticPr fontId="2"/>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H57"/>
  <sheetViews>
    <sheetView topLeftCell="A10" zoomScaleNormal="100" workbookViewId="0">
      <selection activeCell="C52" sqref="C52"/>
    </sheetView>
  </sheetViews>
  <sheetFormatPr defaultRowHeight="14.25"/>
  <cols>
    <col min="1" max="1" width="5.28515625" style="1" customWidth="1"/>
    <col min="2" max="2" width="41" style="1" customWidth="1"/>
    <col min="3" max="8" width="13" style="1" customWidth="1"/>
    <col min="9" max="13" width="10.28515625" style="1" customWidth="1"/>
    <col min="14" max="16384" width="9.140625" style="1"/>
  </cols>
  <sheetData>
    <row r="1" spans="2:5">
      <c r="B1" s="1" t="s">
        <v>2038</v>
      </c>
    </row>
    <row r="2" spans="2:5">
      <c r="B2" s="1" t="s">
        <v>2023</v>
      </c>
    </row>
    <row r="3" spans="2:5" ht="28.5">
      <c r="B3" s="2"/>
      <c r="C3" s="4" t="s">
        <v>2018</v>
      </c>
      <c r="D3" s="4" t="s">
        <v>2019</v>
      </c>
      <c r="E3" s="4" t="s">
        <v>2024</v>
      </c>
    </row>
    <row r="4" spans="2:5">
      <c r="B4" s="6" t="s">
        <v>2017</v>
      </c>
      <c r="C4" s="6">
        <f>COUNTIFS(Form_Responses1[小学校],"○",Form_Responses1[中学校],"×",Form_Responses1[問２　11月22日（ふれあいホリデー）はお子様と一緒に過ごされましたか。],C$3)</f>
        <v>323</v>
      </c>
      <c r="D4" s="6">
        <f>COUNTIFS(Form_Responses1[小学校],"○",Form_Responses1[中学校],"×",Form_Responses1[問２　11月22日（ふれあいホリデー）はお子様と一緒に過ごされましたか。],D$3)</f>
        <v>299</v>
      </c>
      <c r="E4" s="6">
        <f>SUM(C4:D4)</f>
        <v>622</v>
      </c>
    </row>
    <row r="5" spans="2:5">
      <c r="B5" s="7" t="s">
        <v>2020</v>
      </c>
      <c r="C5" s="7">
        <f>COUNTIFS(Form_Responses1[小学校],"×",Form_Responses1[中学校],"○",Form_Responses1[問２　11月22日（ふれあいホリデー）はお子様と一緒に過ごされましたか。],C$3)</f>
        <v>96</v>
      </c>
      <c r="D5" s="7">
        <f>COUNTIFS(Form_Responses1[小学校],"×",Form_Responses1[中学校],"○",Form_Responses1[問２　11月22日（ふれあいホリデー）はお子様と一緒に過ごされましたか。],D$3)</f>
        <v>157</v>
      </c>
      <c r="E5" s="7">
        <f>SUM(C5:D5)</f>
        <v>253</v>
      </c>
    </row>
    <row r="6" spans="2:5">
      <c r="B6" s="7" t="s">
        <v>2021</v>
      </c>
      <c r="C6" s="7">
        <f>COUNTIFS(Form_Responses1[未就学],"○",Form_Responses1[問２　11月22日（ふれあいホリデー）はお子様と一緒に過ごされましたか。],C$3)</f>
        <v>67</v>
      </c>
      <c r="D6" s="7">
        <f>COUNTIFS(Form_Responses1[未就学],"○",Form_Responses1[問２　11月22日（ふれあいホリデー）はお子様と一緒に過ごされましたか。],D$3)</f>
        <v>44</v>
      </c>
      <c r="E6" s="7">
        <f>SUM(C6:D6)</f>
        <v>111</v>
      </c>
    </row>
    <row r="7" spans="2:5">
      <c r="B7" s="7" t="s">
        <v>2022</v>
      </c>
      <c r="C7" s="7">
        <f>COUNTIFS(Form_Responses1[卒業],"○",Form_Responses1[問２　11月22日（ふれあいホリデー）はお子様と一緒に過ごされましたか。],C$3)</f>
        <v>27</v>
      </c>
      <c r="D7" s="7">
        <f>COUNTIFS(Form_Responses1[卒業],"○",Form_Responses1[問２　11月22日（ふれあいホリデー）はお子様と一緒に過ごされましたか。],D$3)</f>
        <v>33</v>
      </c>
      <c r="E7" s="7">
        <f>SUM(C7:D7)</f>
        <v>60</v>
      </c>
    </row>
    <row r="8" spans="2:5">
      <c r="B8" s="8" t="s">
        <v>2035</v>
      </c>
      <c r="C8" s="8">
        <f>SUM(C4:C7)</f>
        <v>513</v>
      </c>
      <c r="D8" s="8">
        <f>SUM(D4:D7)</f>
        <v>533</v>
      </c>
      <c r="E8" s="8">
        <f>SUM(C8:D8)</f>
        <v>1046</v>
      </c>
    </row>
    <row r="9" spans="2:5">
      <c r="B9" s="6" t="s">
        <v>2017</v>
      </c>
      <c r="C9" s="9">
        <f t="shared" ref="C9:D13" si="0">C4/$E4</f>
        <v>0.51929260450160775</v>
      </c>
      <c r="D9" s="9">
        <f t="shared" si="0"/>
        <v>0.48070739549839231</v>
      </c>
    </row>
    <row r="10" spans="2:5">
      <c r="B10" s="7" t="s">
        <v>2020</v>
      </c>
      <c r="C10" s="10">
        <f t="shared" si="0"/>
        <v>0.37944664031620551</v>
      </c>
      <c r="D10" s="10">
        <f t="shared" si="0"/>
        <v>0.62055335968379444</v>
      </c>
    </row>
    <row r="11" spans="2:5">
      <c r="B11" s="7" t="s">
        <v>2021</v>
      </c>
      <c r="C11" s="10">
        <f t="shared" si="0"/>
        <v>0.60360360360360366</v>
      </c>
      <c r="D11" s="10">
        <f t="shared" si="0"/>
        <v>0.3963963963963964</v>
      </c>
    </row>
    <row r="12" spans="2:5">
      <c r="B12" s="7" t="s">
        <v>2022</v>
      </c>
      <c r="C12" s="10">
        <f t="shared" si="0"/>
        <v>0.45</v>
      </c>
      <c r="D12" s="10">
        <f t="shared" si="0"/>
        <v>0.55000000000000004</v>
      </c>
    </row>
    <row r="13" spans="2:5">
      <c r="B13" s="8" t="s">
        <v>2035</v>
      </c>
      <c r="C13" s="11">
        <f t="shared" si="0"/>
        <v>0.49043977055449328</v>
      </c>
      <c r="D13" s="11">
        <f t="shared" si="0"/>
        <v>0.50956022944550672</v>
      </c>
    </row>
    <row r="16" spans="2:5">
      <c r="B16" s="1" t="s">
        <v>2045</v>
      </c>
    </row>
    <row r="17" spans="2:8" ht="28.5">
      <c r="B17" s="2"/>
      <c r="C17" s="4" t="s">
        <v>2025</v>
      </c>
      <c r="D17" s="4" t="s">
        <v>2026</v>
      </c>
      <c r="E17" s="4" t="s">
        <v>2027</v>
      </c>
      <c r="F17" s="4" t="s">
        <v>2028</v>
      </c>
      <c r="G17" s="4" t="s">
        <v>47</v>
      </c>
      <c r="H17" s="2" t="s">
        <v>2024</v>
      </c>
    </row>
    <row r="18" spans="2:8">
      <c r="B18" s="8" t="s">
        <v>2035</v>
      </c>
      <c r="C18" s="8">
        <f>SUM(C19:C22)</f>
        <v>142</v>
      </c>
      <c r="D18" s="8">
        <f>SUM(D19:D22)</f>
        <v>55</v>
      </c>
      <c r="E18" s="8">
        <f>SUM(E19:E22)</f>
        <v>83</v>
      </c>
      <c r="F18" s="8">
        <f>SUM(F19:F22)</f>
        <v>215</v>
      </c>
      <c r="G18" s="8">
        <f>SUM(G19:G22)</f>
        <v>18</v>
      </c>
      <c r="H18" s="8">
        <f t="shared" ref="H18" si="1">SUM(C18:G18)</f>
        <v>513</v>
      </c>
    </row>
    <row r="19" spans="2:8">
      <c r="B19" s="6" t="s">
        <v>2017</v>
      </c>
      <c r="C19" s="6">
        <f>COUNTIFS(フォームの回答!$D$2:$D$1088,"○",フォームの回答!$E$2:$E$1088,"×",フォームの回答!$G$2:$G$1088,"過ごした",フォームの回答!$H$2:$H$1088,C$17)</f>
        <v>74</v>
      </c>
      <c r="D19" s="6">
        <f>COUNTIFS(フォームの回答!$D$2:$D$1088,"○",フォームの回答!$E$2:$E$1088,"×",フォームの回答!$G$2:$G$1088,"過ごした",フォームの回答!$H$2:$H$1088,D$17)</f>
        <v>35</v>
      </c>
      <c r="E19" s="6">
        <f>COUNTIFS(フォームの回答!$D$2:$D$1088,"○",フォームの回答!$E$2:$E$1088,"×",フォームの回答!$G$2:$G$1088,"過ごした",フォームの回答!$H$2:$H$1088,E$17)</f>
        <v>59</v>
      </c>
      <c r="F19" s="6">
        <f>COUNTIFS(フォームの回答!$D$2:$D$1088,"○",フォームの回答!$E$2:$E$1088,"×",フォームの回答!$G$2:$G$1088,"過ごした",フォームの回答!$H$2:$H$1088,F$17)</f>
        <v>147</v>
      </c>
      <c r="G19" s="6">
        <f>COUNTIFS(フォームの回答!$D$2:$D$1088,"○",フォームの回答!$E$2:$E$1088,"×",フォームの回答!$G$2:$G$1088,"過ごした",フォームの回答!$H$2:$H$1088,G$17)</f>
        <v>8</v>
      </c>
      <c r="H19" s="6">
        <f>SUM(C19:G19)</f>
        <v>323</v>
      </c>
    </row>
    <row r="20" spans="2:8">
      <c r="B20" s="7" t="s">
        <v>2020</v>
      </c>
      <c r="C20" s="7">
        <f>COUNTIFS(フォームの回答!$D$2:$D$1088,"×",フォームの回答!$E$2:$E$1088,"○",フォームの回答!$G$2:$G$1088,"過ごした",フォームの回答!$H$2:$H$1088,C$17)</f>
        <v>39</v>
      </c>
      <c r="D20" s="7">
        <f>COUNTIFS(フォームの回答!$D$2:$D$1088,"×",フォームの回答!$E$2:$E$1088,"○",フォームの回答!$G$2:$G$1088,"過ごした",フォームの回答!$H$2:$H$1088,D$17)</f>
        <v>10</v>
      </c>
      <c r="E20" s="7">
        <f>COUNTIFS(フォームの回答!$D$2:$D$1088,"×",フォームの回答!$E$2:$E$1088,"○",フォームの回答!$G$2:$G$1088,"過ごした",フォームの回答!$H$2:$H$1088,E$17)</f>
        <v>11</v>
      </c>
      <c r="F20" s="7">
        <f>COUNTIFS(フォームの回答!$D$2:$D$1088,"×",フォームの回答!$E$2:$E$1088,"○",フォームの回答!$G$2:$G$1088,"過ごした",フォームの回答!$H$2:$H$1088,F$17)</f>
        <v>28</v>
      </c>
      <c r="G20" s="7">
        <f>COUNTIFS(フォームの回答!$D$2:$D$1088,"×",フォームの回答!$E$2:$E$1088,"○",フォームの回答!$G$2:$G$1088,"過ごした",フォームの回答!$H$2:$H$1088,G$17)</f>
        <v>8</v>
      </c>
      <c r="H20" s="7">
        <f t="shared" ref="H20:H22" si="2">SUM(C20:G20)</f>
        <v>96</v>
      </c>
    </row>
    <row r="21" spans="2:8">
      <c r="B21" s="7" t="s">
        <v>2021</v>
      </c>
      <c r="C21" s="7">
        <f>COUNTIFS(フォームの回答!$C$2:$C$1088,"○",フォームの回答!$G$2:$G$1088,"過ごした",フォームの回答!$H$2:$H$1088,C$17)</f>
        <v>18</v>
      </c>
      <c r="D21" s="7">
        <f>COUNTIFS(フォームの回答!$C$2:$C$1088,"○",フォームの回答!$G$2:$G$1088,"過ごした",フォームの回答!$H$2:$H$1088,D$17)</f>
        <v>8</v>
      </c>
      <c r="E21" s="7">
        <f>COUNTIFS(フォームの回答!$C$2:$C$1088,"○",フォームの回答!$G$2:$G$1088,"過ごした",フォームの回答!$H$2:$H$1088,E$17)</f>
        <v>10</v>
      </c>
      <c r="F21" s="7">
        <f>COUNTIFS(フォームの回答!$C$2:$C$1088,"○",フォームの回答!$G$2:$G$1088,"過ごした",フォームの回答!$H$2:$H$1088,F$17)</f>
        <v>31</v>
      </c>
      <c r="G21" s="7">
        <f>COUNTIFS(フォームの回答!$C$2:$C$1088,"○",フォームの回答!$G$2:$G$1088,"過ごした",フォームの回答!$H$2:$H$1088,G$17)</f>
        <v>0</v>
      </c>
      <c r="H21" s="7">
        <f t="shared" si="2"/>
        <v>67</v>
      </c>
    </row>
    <row r="22" spans="2:8">
      <c r="B22" s="7" t="s">
        <v>2022</v>
      </c>
      <c r="C22" s="7">
        <f>COUNTIFS(フォームの回答!$F$2:$F$1088,"○",フォームの回答!$G$2:$G$1088,"過ごした",フォームの回答!$H$2:$H$1088,C$17)</f>
        <v>11</v>
      </c>
      <c r="D22" s="7">
        <f>COUNTIFS(フォームの回答!$F$2:$F$1088,"○",フォームの回答!$G$2:$G$1088,"過ごした",フォームの回答!$H$2:$H$1088,D$17)</f>
        <v>2</v>
      </c>
      <c r="E22" s="7">
        <f>COUNTIFS(フォームの回答!$F$2:$F$1088,"○",フォームの回答!$G$2:$G$1088,"過ごした",フォームの回答!$H$2:$H$1088,E$17)</f>
        <v>3</v>
      </c>
      <c r="F22" s="7">
        <f>COUNTIFS(フォームの回答!$F$2:$F$1088,"○",フォームの回答!$G$2:$G$1088,"過ごした",フォームの回答!$H$2:$H$1088,F$17)</f>
        <v>9</v>
      </c>
      <c r="G22" s="7">
        <f>COUNTIFS(フォームの回答!$F$2:$F$1088,"○",フォームの回答!$G$2:$G$1088,"過ごした",フォームの回答!$H$2:$H$1088,G$17)</f>
        <v>2</v>
      </c>
      <c r="H22" s="7">
        <f t="shared" si="2"/>
        <v>27</v>
      </c>
    </row>
    <row r="23" spans="2:8">
      <c r="B23" s="6" t="s">
        <v>2017</v>
      </c>
      <c r="C23" s="9">
        <f t="shared" ref="C23:G26" si="3">C19/$H19</f>
        <v>0.22910216718266255</v>
      </c>
      <c r="D23" s="9">
        <f t="shared" si="3"/>
        <v>0.10835913312693499</v>
      </c>
      <c r="E23" s="9">
        <f t="shared" si="3"/>
        <v>0.1826625386996904</v>
      </c>
      <c r="F23" s="9">
        <f t="shared" si="3"/>
        <v>0.45510835913312692</v>
      </c>
      <c r="G23" s="9">
        <f t="shared" si="3"/>
        <v>2.4767801857585141E-2</v>
      </c>
    </row>
    <row r="24" spans="2:8">
      <c r="B24" s="7" t="s">
        <v>2020</v>
      </c>
      <c r="C24" s="10">
        <f t="shared" si="3"/>
        <v>0.40625</v>
      </c>
      <c r="D24" s="10">
        <f t="shared" si="3"/>
        <v>0.10416666666666667</v>
      </c>
      <c r="E24" s="10">
        <f t="shared" si="3"/>
        <v>0.11458333333333333</v>
      </c>
      <c r="F24" s="10">
        <f t="shared" si="3"/>
        <v>0.29166666666666669</v>
      </c>
      <c r="G24" s="10">
        <f t="shared" si="3"/>
        <v>8.3333333333333329E-2</v>
      </c>
    </row>
    <row r="25" spans="2:8">
      <c r="B25" s="7" t="s">
        <v>2021</v>
      </c>
      <c r="C25" s="10">
        <f t="shared" si="3"/>
        <v>0.26865671641791045</v>
      </c>
      <c r="D25" s="10">
        <f t="shared" si="3"/>
        <v>0.11940298507462686</v>
      </c>
      <c r="E25" s="10">
        <f t="shared" si="3"/>
        <v>0.14925373134328357</v>
      </c>
      <c r="F25" s="10">
        <f t="shared" si="3"/>
        <v>0.46268656716417911</v>
      </c>
      <c r="G25" s="10">
        <f t="shared" si="3"/>
        <v>0</v>
      </c>
    </row>
    <row r="26" spans="2:8">
      <c r="B26" s="7" t="s">
        <v>2022</v>
      </c>
      <c r="C26" s="10">
        <f t="shared" si="3"/>
        <v>0.40740740740740738</v>
      </c>
      <c r="D26" s="10">
        <f t="shared" si="3"/>
        <v>7.407407407407407E-2</v>
      </c>
      <c r="E26" s="10">
        <f t="shared" si="3"/>
        <v>0.1111111111111111</v>
      </c>
      <c r="F26" s="10">
        <f t="shared" si="3"/>
        <v>0.33333333333333331</v>
      </c>
      <c r="G26" s="10">
        <f t="shared" si="3"/>
        <v>7.407407407407407E-2</v>
      </c>
    </row>
    <row r="27" spans="2:8">
      <c r="B27" s="8" t="s">
        <v>2035</v>
      </c>
      <c r="C27" s="11">
        <f>C18/$H18</f>
        <v>0.27680311890838205</v>
      </c>
      <c r="D27" s="11">
        <f>D18/$H18</f>
        <v>0.10721247563352826</v>
      </c>
      <c r="E27" s="11">
        <f>E18/$H18</f>
        <v>0.1617933723196881</v>
      </c>
      <c r="F27" s="11">
        <f>F18/$H18</f>
        <v>0.41910331384015592</v>
      </c>
      <c r="G27" s="11">
        <f>G18/$H18</f>
        <v>3.5087719298245612E-2</v>
      </c>
    </row>
    <row r="28" spans="2:8" ht="75.75" customHeight="1"/>
    <row r="29" spans="2:8">
      <c r="B29" s="1" t="s">
        <v>2029</v>
      </c>
    </row>
    <row r="30" spans="2:8" ht="57">
      <c r="C30" s="4" t="s">
        <v>2030</v>
      </c>
      <c r="D30" s="4" t="s">
        <v>2031</v>
      </c>
      <c r="E30" s="4" t="s">
        <v>2032</v>
      </c>
      <c r="F30" s="4" t="s">
        <v>2033</v>
      </c>
      <c r="G30" s="2" t="s">
        <v>2034</v>
      </c>
      <c r="H30" s="2" t="s">
        <v>2024</v>
      </c>
    </row>
    <row r="31" spans="2:8" ht="15.75" customHeight="1">
      <c r="B31" s="8" t="s">
        <v>2035</v>
      </c>
      <c r="C31" s="8">
        <f>SUM(C32:C35)</f>
        <v>117</v>
      </c>
      <c r="D31" s="8">
        <f>SUM(D32:D35)</f>
        <v>116</v>
      </c>
      <c r="E31" s="8">
        <f>SUM(E32:E35)</f>
        <v>12</v>
      </c>
      <c r="F31" s="8">
        <f>SUM(F32:F35)</f>
        <v>230</v>
      </c>
      <c r="G31" s="8">
        <f>SUM(G32:G35)</f>
        <v>58</v>
      </c>
      <c r="H31" s="8">
        <f t="shared" ref="H31" si="4">SUM(C31:G31)</f>
        <v>533</v>
      </c>
    </row>
    <row r="32" spans="2:8" ht="15.75" customHeight="1">
      <c r="B32" s="12" t="s">
        <v>2017</v>
      </c>
      <c r="C32" s="6">
        <f>COUNTIFS(フォームの回答!$D$2:$D$1088,"○",フォームの回答!$E$2:$E$1088,"×",フォームの回答!$G$2:$G$1088,"過ごしていない",フォームの回答!$J$2:$J$1088,C$30)</f>
        <v>98</v>
      </c>
      <c r="D32" s="6">
        <f>COUNTIFS(フォームの回答!$D$2:$D$1088,"○",フォームの回答!$E$2:$E$1088,"×",フォームの回答!$G$2:$G$1088,"過ごしていない",フォームの回答!$J$2:$J$1088,D$30)</f>
        <v>80</v>
      </c>
      <c r="E32" s="6">
        <f>COUNTIFS(フォームの回答!$D$2:$D$1088,"○",フォームの回答!$E$2:$E$1088,"×",フォームの回答!$G$2:$G$1088,"過ごしていない",フォームの回答!$J$2:$J$1088,E$30)</f>
        <v>8</v>
      </c>
      <c r="F32" s="6">
        <f>COUNTIFS(フォームの回答!$D$2:$D$1088,"○",フォームの回答!$E$2:$E$1088,"×",フォームの回答!$G$2:$G$1088,"過ごしていない",フォームの回答!$J$2:$J$1088,F$30)</f>
        <v>92</v>
      </c>
      <c r="G32" s="6">
        <f>H32-SUM(C32:F32)</f>
        <v>21</v>
      </c>
      <c r="H32" s="6">
        <f>D4</f>
        <v>299</v>
      </c>
    </row>
    <row r="33" spans="2:8" ht="15.75" customHeight="1">
      <c r="B33" s="13" t="s">
        <v>2020</v>
      </c>
      <c r="C33" s="7">
        <f>COUNTIFS(フォームの回答!$D$2:$D$1088,"×",フォームの回答!$E$2:$E$1088,"○",フォームの回答!$G$2:$G$1088,"過ごしていない",フォームの回答!$J$2:$J$1088,C$30)</f>
        <v>0</v>
      </c>
      <c r="D33" s="7">
        <f>COUNTIFS(フォームの回答!$D$2:$D$1088,"×",フォームの回答!$E$2:$E$1088,"○",フォームの回答!$G$2:$G$1088,"過ごしていない",フォームの回答!$J$2:$J$1088,D$30)</f>
        <v>22</v>
      </c>
      <c r="E33" s="7">
        <f>COUNTIFS(フォームの回答!$D$2:$D$1088,"×",フォームの回答!$E$2:$E$1088,"○",フォームの回答!$G$2:$G$1088,"過ごしていない",フォームの回答!$J$2:$J$1088,E$30)</f>
        <v>1</v>
      </c>
      <c r="F33" s="7">
        <f>COUNTIFS(フォームの回答!$D$2:$D$1088,"×",フォームの回答!$E$2:$E$1088,"○",フォームの回答!$G$2:$G$1088,"過ごしていない",フォームの回答!$J$2:$J$1088,F$30)</f>
        <v>106</v>
      </c>
      <c r="G33" s="7">
        <f t="shared" ref="G33:G35" si="5">H33-SUM(C33:F33)</f>
        <v>28</v>
      </c>
      <c r="H33" s="7">
        <f>D5</f>
        <v>157</v>
      </c>
    </row>
    <row r="34" spans="2:8" ht="15.75" customHeight="1">
      <c r="B34" s="13" t="s">
        <v>2021</v>
      </c>
      <c r="C34" s="7">
        <f>COUNTIFS(フォームの回答!$C$2:$C$1088,"○",フォームの回答!$G$2:$G$1088,"過ごしていない",フォームの回答!$J$2:$J$1088,C$30)</f>
        <v>16</v>
      </c>
      <c r="D34" s="7">
        <f>COUNTIFS(フォームの回答!$C$2:$C$1088,"○",フォームの回答!$G$2:$G$1088,"過ごしていない",フォームの回答!$J$2:$J$1088,D$30)</f>
        <v>8</v>
      </c>
      <c r="E34" s="7">
        <f>COUNTIFS(フォームの回答!$C$2:$C$1088,"○",フォームの回答!$G$2:$G$1088,"過ごしていない",フォームの回答!$J$2:$J$1088,E$30)</f>
        <v>2</v>
      </c>
      <c r="F34" s="7">
        <f>COUNTIFS(フォームの回答!$C$2:$C$1088,"○",フォームの回答!$G$2:$G$1088,"過ごしていない",フォームの回答!$J$2:$J$1088,F$30)</f>
        <v>13</v>
      </c>
      <c r="G34" s="7">
        <f t="shared" si="5"/>
        <v>5</v>
      </c>
      <c r="H34" s="7">
        <f>D6</f>
        <v>44</v>
      </c>
    </row>
    <row r="35" spans="2:8" ht="15.75" customHeight="1">
      <c r="B35" s="119" t="s">
        <v>2022</v>
      </c>
      <c r="C35" s="8">
        <f>COUNTIFS(フォームの回答!$F$2:$F$1088,"○",フォームの回答!$G$2:$G$1088,"過ごしていない",フォームの回答!$J$2:$J$1088,C$30)</f>
        <v>3</v>
      </c>
      <c r="D35" s="8">
        <f>COUNTIFS(フォームの回答!$F$2:$F$1088,"○",フォームの回答!$G$2:$G$1088,"過ごしていない",フォームの回答!$J$2:$J$1088,D$30)</f>
        <v>6</v>
      </c>
      <c r="E35" s="8">
        <f>COUNTIFS(フォームの回答!$F$2:$F$1088,"○",フォームの回答!$G$2:$G$1088,"過ごしていない",フォームの回答!$J$2:$J$1088,E$30)</f>
        <v>1</v>
      </c>
      <c r="F35" s="8">
        <f>COUNTIFS(フォームの回答!$F$2:$F$1088,"○",フォームの回答!$G$2:$G$1088,"過ごしていない",フォームの回答!$J$2:$J$1088,F$30)</f>
        <v>19</v>
      </c>
      <c r="G35" s="8">
        <f t="shared" si="5"/>
        <v>4</v>
      </c>
      <c r="H35" s="8">
        <f>D7</f>
        <v>33</v>
      </c>
    </row>
    <row r="36" spans="2:8" ht="15.75" customHeight="1">
      <c r="B36" s="117" t="s">
        <v>2017</v>
      </c>
      <c r="C36" s="118">
        <f t="shared" ref="C36:G39" si="6">C32/$H32</f>
        <v>0.32775919732441472</v>
      </c>
      <c r="D36" s="118">
        <f t="shared" si="6"/>
        <v>0.26755852842809363</v>
      </c>
      <c r="E36" s="118">
        <f t="shared" si="6"/>
        <v>2.6755852842809364E-2</v>
      </c>
      <c r="F36" s="118">
        <f t="shared" si="6"/>
        <v>0.30769230769230771</v>
      </c>
      <c r="G36" s="118">
        <f t="shared" si="6"/>
        <v>7.0234113712374577E-2</v>
      </c>
    </row>
    <row r="37" spans="2:8" ht="15.75" customHeight="1">
      <c r="B37" s="13" t="s">
        <v>2020</v>
      </c>
      <c r="C37" s="10">
        <f t="shared" si="6"/>
        <v>0</v>
      </c>
      <c r="D37" s="10">
        <f t="shared" si="6"/>
        <v>0.14012738853503184</v>
      </c>
      <c r="E37" s="10">
        <f t="shared" si="6"/>
        <v>6.369426751592357E-3</v>
      </c>
      <c r="F37" s="10">
        <f t="shared" si="6"/>
        <v>0.67515923566878977</v>
      </c>
      <c r="G37" s="10">
        <f t="shared" si="6"/>
        <v>0.17834394904458598</v>
      </c>
    </row>
    <row r="38" spans="2:8" ht="15.75" customHeight="1">
      <c r="B38" s="13" t="s">
        <v>2021</v>
      </c>
      <c r="C38" s="10">
        <f t="shared" si="6"/>
        <v>0.36363636363636365</v>
      </c>
      <c r="D38" s="10">
        <f t="shared" si="6"/>
        <v>0.18181818181818182</v>
      </c>
      <c r="E38" s="10">
        <f t="shared" si="6"/>
        <v>4.5454545454545456E-2</v>
      </c>
      <c r="F38" s="10">
        <f t="shared" si="6"/>
        <v>0.29545454545454547</v>
      </c>
      <c r="G38" s="10">
        <f t="shared" si="6"/>
        <v>0.11363636363636363</v>
      </c>
    </row>
    <row r="39" spans="2:8" ht="15.75" customHeight="1">
      <c r="B39" s="13" t="s">
        <v>2022</v>
      </c>
      <c r="C39" s="10">
        <f t="shared" si="6"/>
        <v>9.0909090909090912E-2</v>
      </c>
      <c r="D39" s="10">
        <f t="shared" si="6"/>
        <v>0.18181818181818182</v>
      </c>
      <c r="E39" s="10">
        <f t="shared" si="6"/>
        <v>3.0303030303030304E-2</v>
      </c>
      <c r="F39" s="10">
        <f t="shared" si="6"/>
        <v>0.5757575757575758</v>
      </c>
      <c r="G39" s="10">
        <f t="shared" si="6"/>
        <v>0.12121212121212122</v>
      </c>
    </row>
    <row r="40" spans="2:8" ht="15.75" customHeight="1">
      <c r="B40" s="8" t="s">
        <v>2035</v>
      </c>
      <c r="C40" s="11">
        <f>C31/$H31</f>
        <v>0.21951219512195122</v>
      </c>
      <c r="D40" s="11">
        <f>D31/$H31</f>
        <v>0.2176360225140713</v>
      </c>
      <c r="E40" s="11">
        <f>E31/$H31</f>
        <v>2.2514071294559099E-2</v>
      </c>
      <c r="F40" s="11">
        <f>F31/$H31</f>
        <v>0.43151969981238275</v>
      </c>
      <c r="G40" s="11">
        <f>G31/$H31</f>
        <v>0.10881801125703565</v>
      </c>
    </row>
    <row r="42" spans="2:8">
      <c r="B42" s="1" t="s">
        <v>6</v>
      </c>
    </row>
    <row r="43" spans="2:8" ht="28.5">
      <c r="C43" s="4" t="s">
        <v>2037</v>
      </c>
      <c r="D43" s="4" t="s">
        <v>2036</v>
      </c>
      <c r="E43" s="4" t="s">
        <v>2024</v>
      </c>
      <c r="F43" s="4" t="s">
        <v>2037</v>
      </c>
      <c r="G43" s="4" t="s">
        <v>2036</v>
      </c>
    </row>
    <row r="44" spans="2:8">
      <c r="B44" s="5" t="s">
        <v>2035</v>
      </c>
      <c r="C44" s="2">
        <f>SUM(C45:C48)</f>
        <v>394</v>
      </c>
      <c r="D44" s="2">
        <f>SUM(D45:D48)</f>
        <v>652</v>
      </c>
      <c r="E44" s="2">
        <f>SUM(C44:D44)</f>
        <v>1046</v>
      </c>
      <c r="F44" s="3">
        <f>C44/$E44</f>
        <v>0.37667304015296366</v>
      </c>
      <c r="G44" s="3">
        <f>D44/$E44</f>
        <v>0.62332695984703634</v>
      </c>
    </row>
    <row r="45" spans="2:8">
      <c r="B45" s="5" t="s">
        <v>2017</v>
      </c>
      <c r="C45" s="2">
        <f>COUNTIFS(フォームの回答!$D$2:$D$1088,"○",フォームの回答!$E$2:$E$1088,"×",フォームの回答!$K$2:$K$1088,C$43)</f>
        <v>258</v>
      </c>
      <c r="D45" s="2">
        <f>COUNTIFS(フォームの回答!$D$2:$D$1088,"○",フォームの回答!$E$2:$E$1088,"×",フォームの回答!$K$2:$K$1088,D$43)</f>
        <v>364</v>
      </c>
      <c r="E45" s="2">
        <f>SUM(C45:D45)</f>
        <v>622</v>
      </c>
      <c r="F45" s="3">
        <f t="shared" ref="F45:G48" si="7">C45/$E45</f>
        <v>0.41479099678456594</v>
      </c>
      <c r="G45" s="3">
        <f t="shared" si="7"/>
        <v>0.58520900321543412</v>
      </c>
    </row>
    <row r="46" spans="2:8">
      <c r="B46" s="5" t="s">
        <v>2020</v>
      </c>
      <c r="C46" s="2">
        <f>COUNTIFS(フォームの回答!$D$2:$D$1088,"×",フォームの回答!$E$2:$E$1088,"○",フォームの回答!$K$2:$K$1088,C$43)</f>
        <v>68</v>
      </c>
      <c r="D46" s="2">
        <f>COUNTIFS(フォームの回答!$D$2:$D$1088,"×",フォームの回答!$E$2:$E$1088,"○",フォームの回答!$K$2:$K$1088,D$43)</f>
        <v>185</v>
      </c>
      <c r="E46" s="2">
        <f>SUM(C46:D46)</f>
        <v>253</v>
      </c>
      <c r="F46" s="3">
        <f t="shared" si="7"/>
        <v>0.26877470355731226</v>
      </c>
      <c r="G46" s="3">
        <f t="shared" si="7"/>
        <v>0.73122529644268774</v>
      </c>
    </row>
    <row r="47" spans="2:8">
      <c r="B47" s="5" t="s">
        <v>2021</v>
      </c>
      <c r="C47" s="2">
        <f>COUNTIFS(フォームの回答!$C$2:$C$1088,"○",フォームの回答!$K$2:$K$1088,C$43)</f>
        <v>50</v>
      </c>
      <c r="D47" s="2">
        <f>COUNTIFS(フォームの回答!$C$2:$C$1088,"○",フォームの回答!$K$2:$K$1088,D$43)</f>
        <v>61</v>
      </c>
      <c r="E47" s="2">
        <f>SUM(C47:D47)</f>
        <v>111</v>
      </c>
      <c r="F47" s="3">
        <f t="shared" si="7"/>
        <v>0.45045045045045046</v>
      </c>
      <c r="G47" s="3">
        <f t="shared" si="7"/>
        <v>0.5495495495495496</v>
      </c>
    </row>
    <row r="48" spans="2:8">
      <c r="B48" s="5" t="s">
        <v>2022</v>
      </c>
      <c r="C48" s="2">
        <f>COUNTIFS(フォームの回答!$F$2:$F$1088,"○",フォームの回答!$K$2:$K$1088,C$43)</f>
        <v>18</v>
      </c>
      <c r="D48" s="2">
        <f>COUNTIFS(フォームの回答!$F$2:$F$1088,"○",フォームの回答!$K$2:$K$1088,D$43)</f>
        <v>42</v>
      </c>
      <c r="E48" s="2">
        <f>SUM(C48:D48)</f>
        <v>60</v>
      </c>
      <c r="F48" s="3">
        <f t="shared" si="7"/>
        <v>0.3</v>
      </c>
      <c r="G48" s="3">
        <f t="shared" si="7"/>
        <v>0.7</v>
      </c>
    </row>
    <row r="51" spans="2:8" ht="15.75">
      <c r="B51" s="111" t="s">
        <v>7</v>
      </c>
      <c r="C51" s="111"/>
      <c r="D51" s="111"/>
      <c r="E51" s="111"/>
      <c r="F51" s="111"/>
      <c r="G51" s="111"/>
      <c r="H51" s="111"/>
    </row>
    <row r="52" spans="2:8" ht="40.5">
      <c r="B52" s="112"/>
      <c r="C52" s="115" t="s">
        <v>386</v>
      </c>
      <c r="D52" s="115" t="s">
        <v>39</v>
      </c>
      <c r="E52" s="115" t="s">
        <v>107</v>
      </c>
      <c r="F52" s="115" t="s">
        <v>59</v>
      </c>
      <c r="G52" s="115" t="s">
        <v>68</v>
      </c>
      <c r="H52" s="115" t="s">
        <v>2062</v>
      </c>
    </row>
    <row r="53" spans="2:8" ht="15.75">
      <c r="B53" s="113" t="s">
        <v>2017</v>
      </c>
      <c r="C53" s="113">
        <f>COUNTIFS(フォームの回答!$D$2:$D$1088,"○",フォームの回答!$E$2:$E$1088,"×",フォームの回答!M$2:M$1088,"○")</f>
        <v>6</v>
      </c>
      <c r="D53" s="113">
        <f>COUNTIFS(フォームの回答!$D$2:$D$1088,"○",フォームの回答!$E$2:$E$1088,"×",フォームの回答!N$2:N$1088,"○")</f>
        <v>163</v>
      </c>
      <c r="E53" s="113">
        <f>COUNTIFS(フォームの回答!$D$2:$D$1088,"○",フォームの回答!$E$2:$E$1088,"×",フォームの回答!O$2:O$1088,"○")</f>
        <v>19</v>
      </c>
      <c r="F53" s="113">
        <f>COUNTIFS(フォームの回答!$D$2:$D$1088,"○",フォームの回答!$E$2:$E$1088,"×",フォームの回答!P$2:P$1088,"○")</f>
        <v>68</v>
      </c>
      <c r="G53" s="113">
        <f>COUNTIFS(フォームの回答!$D$2:$D$1088,"○",フォームの回答!$E$2:$E$1088,"×",フォームの回答!Q$2:Q$1088,"○")</f>
        <v>126</v>
      </c>
      <c r="H53" s="113">
        <f>COUNTIFS(フォームの回答!$D$2:$D$1088,"○",フォームの回答!$E$2:$E$1088,"×",フォームの回答!R$2:R$1088,"○")</f>
        <v>12</v>
      </c>
    </row>
    <row r="54" spans="2:8" ht="15.75">
      <c r="B54" s="114" t="s">
        <v>2020</v>
      </c>
      <c r="C54" s="114">
        <f>COUNTIFS(フォームの回答!$D$2:$D$1088,"×",フォームの回答!$E$2:$E$1088,"○",フォームの回答!M$2:M$1088,"○")</f>
        <v>3</v>
      </c>
      <c r="D54" s="114">
        <f>COUNTIFS(フォームの回答!$D$2:$D$1088,"×",フォームの回答!$E$2:$E$1088,"○",フォームの回答!N$2:N$1088,"○")</f>
        <v>68</v>
      </c>
      <c r="E54" s="114">
        <f>COUNTIFS(フォームの回答!$D$2:$D$1088,"×",フォームの回答!$E$2:$E$1088,"○",フォームの回答!O$2:O$1088,"○")</f>
        <v>14</v>
      </c>
      <c r="F54" s="114">
        <f>COUNTIFS(フォームの回答!$D$2:$D$1088,"×",フォームの回答!$E$2:$E$1088,"○",フォームの回答!P$2:P$1088,"○")</f>
        <v>40</v>
      </c>
      <c r="G54" s="114">
        <f>COUNTIFS(フォームの回答!$D$2:$D$1088,"×",フォームの回答!$E$2:$E$1088,"○",フォームの回答!Q$2:Q$1088,"○")</f>
        <v>58</v>
      </c>
      <c r="H54" s="114">
        <f>COUNTIFS(フォームの回答!$D$2:$D$1088,"×",フォームの回答!$E$2:$E$1088,"○",フォームの回答!R$2:R$1088,"○")</f>
        <v>12</v>
      </c>
    </row>
    <row r="55" spans="2:8" ht="15.75">
      <c r="B55" s="114" t="s">
        <v>2021</v>
      </c>
      <c r="C55" s="114">
        <f>COUNTIFS(フォームの回答!$C$2:$C$1088,"○",フォームの回答!M$2:M$1088,"○")</f>
        <v>1</v>
      </c>
      <c r="D55" s="114">
        <f>COUNTIFS(フォームの回答!$C$2:$C$1088,"○",フォームの回答!N$2:N$1088,"○")</f>
        <v>25</v>
      </c>
      <c r="E55" s="114">
        <f>COUNTIFS(フォームの回答!$C$2:$C$1088,"○",フォームの回答!O$2:O$1088,"○")</f>
        <v>3</v>
      </c>
      <c r="F55" s="114">
        <f>COUNTIFS(フォームの回答!$C$2:$C$1088,"○",フォームの回答!P$2:P$1088,"○")</f>
        <v>11</v>
      </c>
      <c r="G55" s="114">
        <f>COUNTIFS(フォームの回答!$C$2:$C$1088,"○",フォームの回答!Q$2:Q$1088,"○")</f>
        <v>17</v>
      </c>
      <c r="H55" s="114">
        <f>COUNTIFS(フォームの回答!$C$2:$C$1088,"○",フォームの回答!R$2:R$1088,"○")</f>
        <v>3</v>
      </c>
    </row>
    <row r="56" spans="2:8" ht="15.75">
      <c r="B56" s="116" t="s">
        <v>2022</v>
      </c>
      <c r="C56" s="116">
        <f>COUNTIFS(フォームの回答!$F$2:$F$1088,"○",フォームの回答!M$2:M$1088,"○")</f>
        <v>1</v>
      </c>
      <c r="D56" s="116">
        <f>COUNTIFS(フォームの回答!$F$2:$F$1088,"○",フォームの回答!N$2:N$1088,"○")</f>
        <v>21</v>
      </c>
      <c r="E56" s="116">
        <f>COUNTIFS(フォームの回答!$F$2:$F$1088,"○",フォームの回答!O$2:O$1088,"○")</f>
        <v>9</v>
      </c>
      <c r="F56" s="116">
        <f>COUNTIFS(フォームの回答!$F$2:$F$1088,"○",フォームの回答!P$2:P$1088,"○")</f>
        <v>7</v>
      </c>
      <c r="G56" s="116">
        <f>COUNTIFS(フォームの回答!$F$2:$F$1088,"○",フォームの回答!Q$2:Q$1088,"○")</f>
        <v>16</v>
      </c>
      <c r="H56" s="116">
        <f>COUNTIFS(フォームの回答!$F$2:$F$1088,"○",フォームの回答!R$2:R$1088,"○")</f>
        <v>1</v>
      </c>
    </row>
    <row r="57" spans="2:8" ht="15.75">
      <c r="B57" s="5" t="s">
        <v>2035</v>
      </c>
      <c r="C57" s="112">
        <f>COUNTIFS(フォームの回答!M$2:M$1088,"○")</f>
        <v>13</v>
      </c>
      <c r="D57" s="112">
        <f>COUNTIFS(フォームの回答!N$2:N$1088,"○")</f>
        <v>295</v>
      </c>
      <c r="E57" s="112">
        <f>COUNTIFS(フォームの回答!O$2:O$1088,"○")</f>
        <v>51</v>
      </c>
      <c r="F57" s="112">
        <f>COUNTIFS(フォームの回答!P$2:P$1088,"○")</f>
        <v>134</v>
      </c>
      <c r="G57" s="112">
        <f>COUNTIFS(フォームの回答!Q$2:Q$1088,"○")</f>
        <v>238</v>
      </c>
      <c r="H57" s="112">
        <f>COUNTIFS(フォームの回答!R$2:R$1088,"○")</f>
        <v>30</v>
      </c>
    </row>
  </sheetData>
  <phoneticPr fontId="2"/>
  <conditionalFormatting sqref="C9:D13 F44:G48">
    <cfRule type="dataBar" priority="5">
      <dataBar>
        <cfvo type="num" val="0"/>
        <cfvo type="num" val="1.2"/>
        <color rgb="FFFF555A"/>
      </dataBar>
      <extLst>
        <ext xmlns:x14="http://schemas.microsoft.com/office/spreadsheetml/2009/9/main" uri="{B025F937-C7B1-47D3-B67F-A62EFF666E3E}">
          <x14:id>{18E6ABBB-8FB9-4981-967E-2ABB327D09D9}</x14:id>
        </ext>
      </extLst>
    </cfRule>
  </conditionalFormatting>
  <conditionalFormatting sqref="C23:G27">
    <cfRule type="dataBar" priority="4">
      <dataBar>
        <cfvo type="num" val="0"/>
        <cfvo type="num" val="1.2"/>
        <color rgb="FFFF555A"/>
      </dataBar>
      <extLst>
        <ext xmlns:x14="http://schemas.microsoft.com/office/spreadsheetml/2009/9/main" uri="{B025F937-C7B1-47D3-B67F-A62EFF666E3E}">
          <x14:id>{D4EDB524-7469-491F-9372-0B7A4D1CD7DC}</x14:id>
        </ext>
      </extLst>
    </cfRule>
  </conditionalFormatting>
  <conditionalFormatting sqref="C36:G39">
    <cfRule type="dataBar" priority="3">
      <dataBar>
        <cfvo type="num" val="0"/>
        <cfvo type="num" val="1.2"/>
        <color rgb="FFFF555A"/>
      </dataBar>
      <extLst>
        <ext xmlns:x14="http://schemas.microsoft.com/office/spreadsheetml/2009/9/main" uri="{B025F937-C7B1-47D3-B67F-A62EFF666E3E}">
          <x14:id>{64C20130-03D7-44AF-AEAA-8446E69AE3BB}</x14:id>
        </ext>
      </extLst>
    </cfRule>
  </conditionalFormatting>
  <conditionalFormatting sqref="C40:G40">
    <cfRule type="dataBar" priority="2">
      <dataBar>
        <cfvo type="num" val="0"/>
        <cfvo type="num" val="1.2"/>
        <color rgb="FFFF555A"/>
      </dataBar>
      <extLst>
        <ext xmlns:x14="http://schemas.microsoft.com/office/spreadsheetml/2009/9/main" uri="{B025F937-C7B1-47D3-B67F-A62EFF666E3E}">
          <x14:id>{1DE69C5D-A82E-4CCA-956E-9414AD118A8C}</x14:id>
        </ext>
      </extLst>
    </cfRule>
  </conditionalFormatting>
  <pageMargins left="0.7" right="0.7" top="0.75" bottom="0.75" header="0.3" footer="0.3"/>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dataBar" id="{18E6ABBB-8FB9-4981-967E-2ABB327D09D9}">
            <x14:dataBar minLength="0" maxLength="100" border="1" negativeBarBorderColorSameAsPositive="0">
              <x14:cfvo type="num">
                <xm:f>0</xm:f>
              </x14:cfvo>
              <x14:cfvo type="num">
                <xm:f>1.2</xm:f>
              </x14:cfvo>
              <x14:borderColor rgb="FFFF555A"/>
              <x14:negativeFillColor rgb="FFFF0000"/>
              <x14:negativeBorderColor rgb="FFFF0000"/>
              <x14:axisColor rgb="FF000000"/>
            </x14:dataBar>
          </x14:cfRule>
          <xm:sqref>C9:D13 F44:G48</xm:sqref>
        </x14:conditionalFormatting>
        <x14:conditionalFormatting xmlns:xm="http://schemas.microsoft.com/office/excel/2006/main">
          <x14:cfRule type="dataBar" id="{D4EDB524-7469-491F-9372-0B7A4D1CD7DC}">
            <x14:dataBar minLength="0" maxLength="100" border="1" negativeBarBorderColorSameAsPositive="0">
              <x14:cfvo type="num">
                <xm:f>0</xm:f>
              </x14:cfvo>
              <x14:cfvo type="num">
                <xm:f>1.2</xm:f>
              </x14:cfvo>
              <x14:borderColor rgb="FFFF555A"/>
              <x14:negativeFillColor rgb="FFFF0000"/>
              <x14:negativeBorderColor rgb="FFFF0000"/>
              <x14:axisColor rgb="FF000000"/>
            </x14:dataBar>
          </x14:cfRule>
          <xm:sqref>C23:G27</xm:sqref>
        </x14:conditionalFormatting>
        <x14:conditionalFormatting xmlns:xm="http://schemas.microsoft.com/office/excel/2006/main">
          <x14:cfRule type="dataBar" id="{64C20130-03D7-44AF-AEAA-8446E69AE3BB}">
            <x14:dataBar minLength="0" maxLength="100" border="1" negativeBarBorderColorSameAsPositive="0">
              <x14:cfvo type="num">
                <xm:f>0</xm:f>
              </x14:cfvo>
              <x14:cfvo type="num">
                <xm:f>1.2</xm:f>
              </x14:cfvo>
              <x14:borderColor rgb="FFFF555A"/>
              <x14:negativeFillColor rgb="FFFF0000"/>
              <x14:negativeBorderColor rgb="FFFF0000"/>
              <x14:axisColor rgb="FF000000"/>
            </x14:dataBar>
          </x14:cfRule>
          <xm:sqref>C36:G39</xm:sqref>
        </x14:conditionalFormatting>
        <x14:conditionalFormatting xmlns:xm="http://schemas.microsoft.com/office/excel/2006/main">
          <x14:cfRule type="dataBar" id="{1DE69C5D-A82E-4CCA-956E-9414AD118A8C}">
            <x14:dataBar minLength="0" maxLength="100" border="1" negativeBarBorderColorSameAsPositive="0">
              <x14:cfvo type="num">
                <xm:f>0</xm:f>
              </x14:cfvo>
              <x14:cfvo type="num">
                <xm:f>1.2</xm:f>
              </x14:cfvo>
              <x14:borderColor rgb="FFFF555A"/>
              <x14:negativeFillColor rgb="FFFF0000"/>
              <x14:negativeBorderColor rgb="FFFF0000"/>
              <x14:axisColor rgb="FF000000"/>
            </x14:dataBar>
          </x14:cfRule>
          <xm:sqref>C40:G40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6"/>
  <sheetViews>
    <sheetView tabSelected="1" topLeftCell="A118" zoomScale="85" zoomScaleNormal="85" workbookViewId="0">
      <selection activeCell="M131" sqref="M131"/>
    </sheetView>
  </sheetViews>
  <sheetFormatPr defaultRowHeight="15.75"/>
  <cols>
    <col min="1" max="1" width="1.140625" style="15" customWidth="1"/>
    <col min="2" max="2" width="5.7109375" style="15" customWidth="1"/>
    <col min="3" max="3" width="1.140625" style="15" customWidth="1"/>
    <col min="4" max="4" width="5.140625" style="15" bestFit="1" customWidth="1"/>
    <col min="5" max="5" width="41" style="15" customWidth="1"/>
    <col min="6" max="11" width="13" style="15" customWidth="1"/>
    <col min="12" max="12" width="1.140625" style="15" customWidth="1"/>
    <col min="13" max="13" width="5.7109375" style="15" customWidth="1"/>
    <col min="14" max="16384" width="9.140625" style="15"/>
  </cols>
  <sheetData>
    <row r="1" spans="1:14">
      <c r="A1" s="14"/>
      <c r="B1" s="14"/>
      <c r="C1" s="14"/>
      <c r="D1" s="14"/>
      <c r="E1" s="14"/>
      <c r="F1" s="14"/>
      <c r="G1" s="14"/>
      <c r="H1" s="14"/>
      <c r="I1" s="14"/>
      <c r="J1" s="14"/>
      <c r="K1" s="14"/>
      <c r="L1" s="14"/>
      <c r="M1" s="14"/>
      <c r="N1" s="14"/>
    </row>
    <row r="2" spans="1:14">
      <c r="A2" s="14"/>
      <c r="B2" s="16"/>
      <c r="C2" s="17"/>
      <c r="D2" s="17"/>
      <c r="E2" s="17"/>
      <c r="F2" s="17"/>
      <c r="G2" s="17"/>
      <c r="H2" s="17"/>
      <c r="I2" s="17"/>
      <c r="J2" s="17"/>
      <c r="K2" s="17"/>
      <c r="L2" s="17"/>
      <c r="M2" s="18"/>
      <c r="N2" s="14"/>
    </row>
    <row r="3" spans="1:14">
      <c r="A3" s="14"/>
      <c r="B3" s="19"/>
      <c r="C3" s="20"/>
      <c r="D3" s="141" t="s">
        <v>2075</v>
      </c>
      <c r="E3" s="141"/>
      <c r="F3" s="20"/>
      <c r="G3" s="20"/>
      <c r="H3" s="20"/>
      <c r="I3" s="20"/>
      <c r="J3" s="20"/>
      <c r="K3" s="20"/>
      <c r="L3" s="20"/>
      <c r="M3" s="21"/>
      <c r="N3" s="14"/>
    </row>
    <row r="4" spans="1:14">
      <c r="A4" s="14"/>
      <c r="B4" s="19"/>
      <c r="C4" s="20"/>
      <c r="D4" s="20"/>
      <c r="E4" s="20"/>
      <c r="F4" s="20"/>
      <c r="G4" s="20"/>
      <c r="H4" s="20"/>
      <c r="I4" s="20"/>
      <c r="J4" s="20"/>
      <c r="K4" s="20"/>
      <c r="L4" s="20"/>
      <c r="M4" s="21"/>
      <c r="N4" s="14"/>
    </row>
    <row r="5" spans="1:14">
      <c r="A5" s="14"/>
      <c r="B5" s="19"/>
      <c r="C5" s="20"/>
      <c r="D5" s="20" t="s">
        <v>2042</v>
      </c>
      <c r="E5" s="20"/>
      <c r="F5" s="20"/>
      <c r="G5" s="20"/>
      <c r="H5" s="20"/>
      <c r="I5" s="20"/>
      <c r="J5" s="20"/>
      <c r="K5" s="20"/>
      <c r="L5" s="20"/>
      <c r="M5" s="21"/>
      <c r="N5" s="14"/>
    </row>
    <row r="6" spans="1:14">
      <c r="A6" s="14"/>
      <c r="B6" s="19"/>
      <c r="C6" s="20"/>
      <c r="D6" s="142" t="s">
        <v>2039</v>
      </c>
      <c r="E6" s="144" t="s">
        <v>2048</v>
      </c>
      <c r="F6" s="142" t="s">
        <v>2040</v>
      </c>
      <c r="G6" s="146"/>
      <c r="H6" s="147"/>
      <c r="I6" s="142" t="s">
        <v>2041</v>
      </c>
      <c r="J6" s="147"/>
      <c r="K6" s="20"/>
      <c r="L6" s="20"/>
      <c r="M6" s="21"/>
      <c r="N6" s="14"/>
    </row>
    <row r="7" spans="1:14" ht="31.5">
      <c r="A7" s="14"/>
      <c r="B7" s="19"/>
      <c r="C7" s="20"/>
      <c r="D7" s="143"/>
      <c r="E7" s="145"/>
      <c r="F7" s="55" t="s">
        <v>2024</v>
      </c>
      <c r="G7" s="55" t="s">
        <v>2018</v>
      </c>
      <c r="H7" s="56" t="s">
        <v>2019</v>
      </c>
      <c r="I7" s="55" t="s">
        <v>2018</v>
      </c>
      <c r="J7" s="56" t="s">
        <v>2019</v>
      </c>
      <c r="K7" s="20"/>
      <c r="L7" s="20"/>
      <c r="M7" s="21"/>
      <c r="N7" s="14"/>
    </row>
    <row r="8" spans="1:14" ht="17.25" customHeight="1">
      <c r="A8" s="14"/>
      <c r="B8" s="19"/>
      <c r="C8" s="20"/>
      <c r="D8" s="39">
        <v>1</v>
      </c>
      <c r="E8" s="40" t="s">
        <v>2035</v>
      </c>
      <c r="F8" s="36">
        <f t="shared" ref="F8:F12" si="0">G8+H8</f>
        <v>1046</v>
      </c>
      <c r="G8" s="36">
        <v>513</v>
      </c>
      <c r="H8" s="30">
        <v>533</v>
      </c>
      <c r="I8" s="41">
        <f t="shared" ref="I8:J12" si="1">G8/$F8</f>
        <v>0.49043977055449328</v>
      </c>
      <c r="J8" s="42">
        <f t="shared" si="1"/>
        <v>0.50956022944550672</v>
      </c>
      <c r="K8" s="20"/>
      <c r="L8" s="20"/>
      <c r="M8" s="21"/>
      <c r="N8" s="14"/>
    </row>
    <row r="9" spans="1:14" ht="17.25" customHeight="1">
      <c r="A9" s="14"/>
      <c r="B9" s="19"/>
      <c r="C9" s="20"/>
      <c r="D9" s="43">
        <v>2</v>
      </c>
      <c r="E9" s="44" t="s">
        <v>2054</v>
      </c>
      <c r="F9" s="45">
        <f t="shared" si="0"/>
        <v>622</v>
      </c>
      <c r="G9" s="45">
        <v>323</v>
      </c>
      <c r="H9" s="46">
        <v>299</v>
      </c>
      <c r="I9" s="47">
        <f t="shared" si="1"/>
        <v>0.51929260450160775</v>
      </c>
      <c r="J9" s="48">
        <f t="shared" si="1"/>
        <v>0.48070739549839231</v>
      </c>
      <c r="K9" s="20"/>
      <c r="L9" s="20"/>
      <c r="M9" s="21"/>
      <c r="N9" s="14"/>
    </row>
    <row r="10" spans="1:14" ht="17.25" customHeight="1">
      <c r="A10" s="14"/>
      <c r="B10" s="19"/>
      <c r="C10" s="20"/>
      <c r="D10" s="26">
        <v>3</v>
      </c>
      <c r="E10" s="27" t="s">
        <v>2077</v>
      </c>
      <c r="F10" s="35">
        <f t="shared" si="0"/>
        <v>253</v>
      </c>
      <c r="G10" s="35">
        <v>96</v>
      </c>
      <c r="H10" s="28">
        <v>157</v>
      </c>
      <c r="I10" s="38">
        <f t="shared" si="1"/>
        <v>0.37944664031620551</v>
      </c>
      <c r="J10" s="29">
        <f t="shared" si="1"/>
        <v>0.62055335968379444</v>
      </c>
      <c r="K10" s="20"/>
      <c r="L10" s="20"/>
      <c r="M10" s="21"/>
      <c r="N10" s="14"/>
    </row>
    <row r="11" spans="1:14" ht="17.25" customHeight="1">
      <c r="A11" s="14"/>
      <c r="B11" s="19"/>
      <c r="C11" s="20"/>
      <c r="D11" s="22">
        <v>4</v>
      </c>
      <c r="E11" s="23" t="s">
        <v>2043</v>
      </c>
      <c r="F11" s="34">
        <f t="shared" si="0"/>
        <v>111</v>
      </c>
      <c r="G11" s="34">
        <v>67</v>
      </c>
      <c r="H11" s="24">
        <v>44</v>
      </c>
      <c r="I11" s="37">
        <f t="shared" si="1"/>
        <v>0.60360360360360366</v>
      </c>
      <c r="J11" s="25">
        <f t="shared" si="1"/>
        <v>0.3963963963963964</v>
      </c>
      <c r="K11" s="20"/>
      <c r="L11" s="20"/>
      <c r="M11" s="21"/>
      <c r="N11" s="14"/>
    </row>
    <row r="12" spans="1:14" ht="17.25" customHeight="1">
      <c r="A12" s="14"/>
      <c r="B12" s="19"/>
      <c r="C12" s="20"/>
      <c r="D12" s="49">
        <v>5</v>
      </c>
      <c r="E12" s="50" t="s">
        <v>2044</v>
      </c>
      <c r="F12" s="51">
        <f t="shared" si="0"/>
        <v>60</v>
      </c>
      <c r="G12" s="51">
        <v>27</v>
      </c>
      <c r="H12" s="52">
        <v>33</v>
      </c>
      <c r="I12" s="53">
        <f t="shared" si="1"/>
        <v>0.45</v>
      </c>
      <c r="J12" s="54">
        <f t="shared" si="1"/>
        <v>0.55000000000000004</v>
      </c>
      <c r="K12" s="20"/>
      <c r="L12" s="20"/>
      <c r="M12" s="21"/>
      <c r="N12" s="14"/>
    </row>
    <row r="13" spans="1:14">
      <c r="A13" s="14"/>
      <c r="B13" s="19"/>
      <c r="C13" s="20"/>
      <c r="D13" s="20"/>
      <c r="E13" s="20"/>
      <c r="F13" s="20"/>
      <c r="G13" s="20"/>
      <c r="H13" s="20"/>
      <c r="I13" s="20"/>
      <c r="J13" s="20"/>
      <c r="K13" s="20"/>
      <c r="L13" s="20"/>
      <c r="M13" s="21"/>
      <c r="N13" s="14"/>
    </row>
    <row r="14" spans="1:14">
      <c r="A14" s="14"/>
      <c r="B14" s="19"/>
      <c r="C14" s="20"/>
      <c r="D14" s="20"/>
      <c r="E14" s="20"/>
      <c r="F14" s="20"/>
      <c r="G14" s="20"/>
      <c r="H14" s="20"/>
      <c r="I14" s="20"/>
      <c r="J14" s="20"/>
      <c r="K14" s="20"/>
      <c r="L14" s="20"/>
      <c r="M14" s="21"/>
      <c r="N14" s="14"/>
    </row>
    <row r="15" spans="1:14">
      <c r="A15" s="14"/>
      <c r="B15" s="19"/>
      <c r="C15" s="20"/>
      <c r="D15" s="20"/>
      <c r="E15" s="20"/>
      <c r="F15" s="20"/>
      <c r="G15" s="20"/>
      <c r="H15" s="20"/>
      <c r="I15" s="20"/>
      <c r="J15" s="20"/>
      <c r="K15" s="20"/>
      <c r="L15" s="20"/>
      <c r="M15" s="21"/>
      <c r="N15" s="14"/>
    </row>
    <row r="16" spans="1:14">
      <c r="A16" s="14"/>
      <c r="B16" s="19"/>
      <c r="C16" s="20"/>
      <c r="D16" s="20"/>
      <c r="E16" s="20"/>
      <c r="F16" s="20"/>
      <c r="G16" s="20"/>
      <c r="H16" s="20"/>
      <c r="I16" s="20"/>
      <c r="J16" s="20"/>
      <c r="K16" s="20"/>
      <c r="L16" s="20"/>
      <c r="M16" s="21"/>
      <c r="N16" s="14"/>
    </row>
    <row r="17" spans="1:14">
      <c r="A17" s="14"/>
      <c r="B17" s="19"/>
      <c r="C17" s="20"/>
      <c r="D17" s="20"/>
      <c r="E17" s="20"/>
      <c r="F17" s="20"/>
      <c r="G17" s="20"/>
      <c r="H17" s="20"/>
      <c r="I17" s="20"/>
      <c r="J17" s="20"/>
      <c r="K17" s="20"/>
      <c r="L17" s="20"/>
      <c r="M17" s="21"/>
      <c r="N17" s="14"/>
    </row>
    <row r="18" spans="1:14">
      <c r="A18" s="14"/>
      <c r="B18" s="19"/>
      <c r="C18" s="20"/>
      <c r="D18" s="20"/>
      <c r="E18" s="20"/>
      <c r="F18" s="20"/>
      <c r="G18" s="20"/>
      <c r="H18" s="20"/>
      <c r="I18" s="20"/>
      <c r="J18" s="20"/>
      <c r="K18" s="20"/>
      <c r="L18" s="20"/>
      <c r="M18" s="21"/>
      <c r="N18" s="14"/>
    </row>
    <row r="19" spans="1:14">
      <c r="A19" s="14"/>
      <c r="B19" s="19"/>
      <c r="C19" s="20"/>
      <c r="D19" s="20"/>
      <c r="E19" s="20"/>
      <c r="F19" s="20"/>
      <c r="G19" s="20"/>
      <c r="H19" s="20"/>
      <c r="I19" s="20"/>
      <c r="J19" s="20"/>
      <c r="K19" s="20"/>
      <c r="L19" s="20"/>
      <c r="M19" s="21"/>
      <c r="N19" s="14"/>
    </row>
    <row r="20" spans="1:14">
      <c r="A20" s="14"/>
      <c r="B20" s="19"/>
      <c r="C20" s="20"/>
      <c r="D20" s="20"/>
      <c r="E20" s="20"/>
      <c r="F20" s="20"/>
      <c r="G20" s="20"/>
      <c r="H20" s="20"/>
      <c r="I20" s="20"/>
      <c r="J20" s="20"/>
      <c r="K20" s="20"/>
      <c r="L20" s="20"/>
      <c r="M20" s="21"/>
      <c r="N20" s="14"/>
    </row>
    <row r="21" spans="1:14">
      <c r="A21" s="14"/>
      <c r="B21" s="19"/>
      <c r="C21" s="20"/>
      <c r="D21" s="20"/>
      <c r="E21" s="20"/>
      <c r="F21" s="20"/>
      <c r="G21" s="20"/>
      <c r="H21" s="20"/>
      <c r="I21" s="20"/>
      <c r="J21" s="20"/>
      <c r="K21" s="20"/>
      <c r="L21" s="20"/>
      <c r="M21" s="21"/>
      <c r="N21" s="14"/>
    </row>
    <row r="22" spans="1:14">
      <c r="A22" s="14"/>
      <c r="B22" s="19"/>
      <c r="C22" s="20"/>
      <c r="D22" s="20"/>
      <c r="E22" s="20"/>
      <c r="F22" s="20"/>
      <c r="G22" s="20"/>
      <c r="H22" s="20"/>
      <c r="I22" s="20"/>
      <c r="J22" s="20"/>
      <c r="K22" s="20"/>
      <c r="L22" s="20"/>
      <c r="M22" s="21"/>
      <c r="N22" s="14"/>
    </row>
    <row r="23" spans="1:14">
      <c r="A23" s="14"/>
      <c r="B23" s="19"/>
      <c r="C23" s="20"/>
      <c r="D23" s="20"/>
      <c r="E23" s="20"/>
      <c r="F23" s="20"/>
      <c r="G23" s="20"/>
      <c r="H23" s="20"/>
      <c r="I23" s="20"/>
      <c r="J23" s="20"/>
      <c r="K23" s="20"/>
      <c r="L23" s="20"/>
      <c r="M23" s="21"/>
      <c r="N23" s="14"/>
    </row>
    <row r="24" spans="1:14">
      <c r="A24" s="14"/>
      <c r="B24" s="19"/>
      <c r="C24" s="20"/>
      <c r="D24" s="20"/>
      <c r="E24" s="20"/>
      <c r="F24" s="20"/>
      <c r="G24" s="20"/>
      <c r="H24" s="20"/>
      <c r="I24" s="20"/>
      <c r="J24" s="20"/>
      <c r="K24" s="20"/>
      <c r="L24" s="20"/>
      <c r="M24" s="21"/>
      <c r="N24" s="14"/>
    </row>
    <row r="25" spans="1:14">
      <c r="A25" s="14"/>
      <c r="B25" s="19"/>
      <c r="C25" s="20"/>
      <c r="D25" s="20"/>
      <c r="E25" s="20"/>
      <c r="F25" s="20"/>
      <c r="G25" s="20"/>
      <c r="H25" s="20"/>
      <c r="I25" s="20"/>
      <c r="J25" s="20"/>
      <c r="K25" s="20"/>
      <c r="L25" s="20"/>
      <c r="M25" s="21"/>
      <c r="N25" s="14"/>
    </row>
    <row r="26" spans="1:14">
      <c r="A26" s="14"/>
      <c r="B26" s="19"/>
      <c r="C26" s="20"/>
      <c r="D26" s="20"/>
      <c r="E26" s="20"/>
      <c r="F26" s="20"/>
      <c r="G26" s="20"/>
      <c r="H26" s="20"/>
      <c r="I26" s="20"/>
      <c r="J26" s="20"/>
      <c r="K26" s="20"/>
      <c r="L26" s="20"/>
      <c r="M26" s="21"/>
      <c r="N26" s="14"/>
    </row>
    <row r="27" spans="1:14">
      <c r="A27" s="14"/>
      <c r="B27" s="19"/>
      <c r="C27" s="20"/>
      <c r="D27" s="20"/>
      <c r="E27" s="20"/>
      <c r="F27" s="20"/>
      <c r="G27" s="20"/>
      <c r="H27" s="20"/>
      <c r="I27" s="20"/>
      <c r="J27" s="20"/>
      <c r="K27" s="20"/>
      <c r="L27" s="20"/>
      <c r="M27" s="21"/>
      <c r="N27" s="14"/>
    </row>
    <row r="28" spans="1:14">
      <c r="A28" s="14"/>
      <c r="B28" s="19"/>
      <c r="C28" s="20"/>
      <c r="D28" s="20"/>
      <c r="E28" s="20"/>
      <c r="F28" s="20"/>
      <c r="G28" s="20"/>
      <c r="H28" s="20"/>
      <c r="I28" s="20"/>
      <c r="J28" s="20"/>
      <c r="K28" s="20"/>
      <c r="L28" s="20"/>
      <c r="M28" s="21"/>
      <c r="N28" s="14"/>
    </row>
    <row r="29" spans="1:14">
      <c r="A29" s="14"/>
      <c r="B29" s="19"/>
      <c r="C29" s="20"/>
      <c r="D29" s="20"/>
      <c r="E29" s="20"/>
      <c r="F29" s="20"/>
      <c r="G29" s="20"/>
      <c r="H29" s="20"/>
      <c r="I29" s="20"/>
      <c r="J29" s="20"/>
      <c r="K29" s="20"/>
      <c r="L29" s="20"/>
      <c r="M29" s="21"/>
      <c r="N29" s="14"/>
    </row>
    <row r="30" spans="1:14">
      <c r="A30" s="14"/>
      <c r="B30" s="31"/>
      <c r="C30" s="32"/>
      <c r="D30" s="32"/>
      <c r="E30" s="32"/>
      <c r="F30" s="32"/>
      <c r="G30" s="32"/>
      <c r="H30" s="32"/>
      <c r="I30" s="32"/>
      <c r="J30" s="32"/>
      <c r="K30" s="32"/>
      <c r="L30" s="32"/>
      <c r="M30" s="33"/>
      <c r="N30" s="14"/>
    </row>
    <row r="31" spans="1:14">
      <c r="A31" s="14"/>
      <c r="B31" s="14"/>
      <c r="C31" s="14"/>
      <c r="D31" s="14"/>
      <c r="E31" s="14"/>
      <c r="F31" s="14"/>
      <c r="G31" s="14"/>
      <c r="H31" s="14"/>
      <c r="I31" s="14"/>
      <c r="J31" s="14"/>
      <c r="K31" s="14"/>
      <c r="L31" s="14"/>
      <c r="M31" s="14"/>
      <c r="N31" s="14"/>
    </row>
    <row r="32" spans="1:14">
      <c r="A32" s="14"/>
      <c r="B32" s="16"/>
      <c r="C32" s="17"/>
      <c r="D32" s="17"/>
      <c r="E32" s="17"/>
      <c r="F32" s="17"/>
      <c r="G32" s="17"/>
      <c r="H32" s="17"/>
      <c r="I32" s="17"/>
      <c r="J32" s="17"/>
      <c r="K32" s="17"/>
      <c r="L32" s="17"/>
      <c r="M32" s="18"/>
      <c r="N32" s="14"/>
    </row>
    <row r="33" spans="1:14">
      <c r="A33" s="14"/>
      <c r="B33" s="19"/>
      <c r="C33" s="20"/>
      <c r="D33" s="20"/>
      <c r="E33" s="20"/>
      <c r="F33" s="20"/>
      <c r="G33" s="20"/>
      <c r="H33" s="20"/>
      <c r="I33" s="20"/>
      <c r="J33" s="20"/>
      <c r="K33" s="20"/>
      <c r="L33" s="20"/>
      <c r="M33" s="21"/>
      <c r="N33" s="14"/>
    </row>
    <row r="34" spans="1:14">
      <c r="A34" s="14"/>
      <c r="B34" s="19"/>
      <c r="C34" s="20"/>
      <c r="D34" s="20" t="s">
        <v>2046</v>
      </c>
      <c r="E34" s="58"/>
      <c r="F34" s="58"/>
      <c r="G34" s="58"/>
      <c r="H34" s="58"/>
      <c r="I34" s="58"/>
      <c r="J34" s="58"/>
      <c r="K34" s="58"/>
      <c r="L34" s="58"/>
      <c r="M34" s="21"/>
      <c r="N34" s="14"/>
    </row>
    <row r="35" spans="1:14" ht="31.5">
      <c r="A35" s="14"/>
      <c r="B35" s="19"/>
      <c r="C35" s="20"/>
      <c r="D35" s="57" t="s">
        <v>2039</v>
      </c>
      <c r="E35" s="59" t="s">
        <v>2049</v>
      </c>
      <c r="F35" s="60" t="s">
        <v>2025</v>
      </c>
      <c r="G35" s="61" t="s">
        <v>2026</v>
      </c>
      <c r="H35" s="61" t="s">
        <v>2027</v>
      </c>
      <c r="I35" s="61" t="s">
        <v>2028</v>
      </c>
      <c r="J35" s="62" t="s">
        <v>47</v>
      </c>
      <c r="K35" s="81" t="s">
        <v>2024</v>
      </c>
      <c r="L35" s="58"/>
      <c r="M35" s="21"/>
      <c r="N35" s="14"/>
    </row>
    <row r="36" spans="1:14">
      <c r="A36" s="14"/>
      <c r="B36" s="19"/>
      <c r="C36" s="20"/>
      <c r="D36" s="39">
        <v>1</v>
      </c>
      <c r="E36" s="63" t="s">
        <v>2035</v>
      </c>
      <c r="F36" s="64">
        <v>142</v>
      </c>
      <c r="G36" s="65">
        <v>55</v>
      </c>
      <c r="H36" s="65">
        <v>83</v>
      </c>
      <c r="I36" s="65">
        <v>215</v>
      </c>
      <c r="J36" s="66">
        <v>18</v>
      </c>
      <c r="K36" s="63">
        <f t="shared" ref="K36:K40" si="2">SUM(F36:J36)</f>
        <v>513</v>
      </c>
      <c r="L36" s="58"/>
      <c r="M36" s="21"/>
      <c r="N36" s="14"/>
    </row>
    <row r="37" spans="1:14">
      <c r="A37" s="14"/>
      <c r="B37" s="19"/>
      <c r="C37" s="20"/>
      <c r="D37" s="43">
        <v>2</v>
      </c>
      <c r="E37" s="82" t="s">
        <v>2054</v>
      </c>
      <c r="F37" s="83">
        <v>74</v>
      </c>
      <c r="G37" s="84">
        <v>35</v>
      </c>
      <c r="H37" s="84">
        <v>59</v>
      </c>
      <c r="I37" s="84">
        <v>147</v>
      </c>
      <c r="J37" s="85">
        <v>8</v>
      </c>
      <c r="K37" s="82">
        <f t="shared" si="2"/>
        <v>323</v>
      </c>
      <c r="L37" s="58"/>
      <c r="M37" s="21"/>
      <c r="N37" s="14"/>
    </row>
    <row r="38" spans="1:14">
      <c r="A38" s="14"/>
      <c r="B38" s="19"/>
      <c r="C38" s="20"/>
      <c r="D38" s="26">
        <v>3</v>
      </c>
      <c r="E38" s="67" t="s">
        <v>2055</v>
      </c>
      <c r="F38" s="68">
        <v>39</v>
      </c>
      <c r="G38" s="69">
        <v>10</v>
      </c>
      <c r="H38" s="69">
        <v>11</v>
      </c>
      <c r="I38" s="69">
        <v>28</v>
      </c>
      <c r="J38" s="70">
        <v>8</v>
      </c>
      <c r="K38" s="67">
        <f t="shared" si="2"/>
        <v>96</v>
      </c>
      <c r="L38" s="58"/>
      <c r="M38" s="21"/>
      <c r="N38" s="14"/>
    </row>
    <row r="39" spans="1:14">
      <c r="A39" s="14"/>
      <c r="B39" s="19"/>
      <c r="C39" s="20"/>
      <c r="D39" s="22">
        <v>4</v>
      </c>
      <c r="E39" s="86" t="s">
        <v>2043</v>
      </c>
      <c r="F39" s="87">
        <v>18</v>
      </c>
      <c r="G39" s="88">
        <v>8</v>
      </c>
      <c r="H39" s="88">
        <v>10</v>
      </c>
      <c r="I39" s="88">
        <v>31</v>
      </c>
      <c r="J39" s="89">
        <v>0</v>
      </c>
      <c r="K39" s="86">
        <f t="shared" si="2"/>
        <v>67</v>
      </c>
      <c r="L39" s="58"/>
      <c r="M39" s="21"/>
      <c r="N39" s="14"/>
    </row>
    <row r="40" spans="1:14">
      <c r="A40" s="14"/>
      <c r="B40" s="19"/>
      <c r="C40" s="20"/>
      <c r="D40" s="49">
        <v>5</v>
      </c>
      <c r="E40" s="95" t="s">
        <v>2044</v>
      </c>
      <c r="F40" s="64">
        <v>11</v>
      </c>
      <c r="G40" s="65">
        <v>2</v>
      </c>
      <c r="H40" s="65">
        <v>3</v>
      </c>
      <c r="I40" s="65">
        <v>9</v>
      </c>
      <c r="J40" s="66">
        <v>2</v>
      </c>
      <c r="K40" s="63">
        <f t="shared" si="2"/>
        <v>27</v>
      </c>
      <c r="L40" s="58"/>
      <c r="M40" s="21"/>
      <c r="N40" s="14"/>
    </row>
    <row r="41" spans="1:14" s="71" customFormat="1" ht="3.75" customHeight="1">
      <c r="A41" s="72"/>
      <c r="B41" s="20"/>
      <c r="C41" s="20"/>
      <c r="D41" s="73"/>
      <c r="E41" s="74"/>
      <c r="F41" s="74"/>
      <c r="G41" s="74"/>
      <c r="H41" s="74"/>
      <c r="I41" s="74"/>
      <c r="J41" s="74"/>
      <c r="L41" s="20"/>
      <c r="M41" s="20"/>
      <c r="N41" s="72"/>
    </row>
    <row r="42" spans="1:14">
      <c r="A42" s="14"/>
      <c r="B42" s="19"/>
      <c r="C42" s="20"/>
      <c r="D42" s="148" t="s">
        <v>2041</v>
      </c>
      <c r="E42" s="63" t="s">
        <v>2035</v>
      </c>
      <c r="F42" s="75">
        <f t="shared" ref="F42:J46" si="3">F36/$K36</f>
        <v>0.27680311890838205</v>
      </c>
      <c r="G42" s="76">
        <f t="shared" si="3"/>
        <v>0.10721247563352826</v>
      </c>
      <c r="H42" s="76">
        <f t="shared" si="3"/>
        <v>0.1617933723196881</v>
      </c>
      <c r="I42" s="76">
        <f t="shared" si="3"/>
        <v>0.41910331384015592</v>
      </c>
      <c r="J42" s="77">
        <f t="shared" si="3"/>
        <v>3.5087719298245612E-2</v>
      </c>
      <c r="K42" s="58"/>
      <c r="L42" s="58"/>
      <c r="M42" s="21"/>
      <c r="N42" s="14"/>
    </row>
    <row r="43" spans="1:14">
      <c r="A43" s="14"/>
      <c r="B43" s="19"/>
      <c r="C43" s="20"/>
      <c r="D43" s="149"/>
      <c r="E43" s="82" t="s">
        <v>2054</v>
      </c>
      <c r="F43" s="47">
        <f t="shared" si="3"/>
        <v>0.22910216718266255</v>
      </c>
      <c r="G43" s="90">
        <f t="shared" si="3"/>
        <v>0.10835913312693499</v>
      </c>
      <c r="H43" s="90">
        <f t="shared" si="3"/>
        <v>0.1826625386996904</v>
      </c>
      <c r="I43" s="90">
        <f t="shared" si="3"/>
        <v>0.45510835913312692</v>
      </c>
      <c r="J43" s="48">
        <f t="shared" si="3"/>
        <v>2.4767801857585141E-2</v>
      </c>
      <c r="K43" s="58"/>
      <c r="L43" s="58"/>
      <c r="M43" s="21"/>
      <c r="N43" s="14"/>
    </row>
    <row r="44" spans="1:14">
      <c r="A44" s="14"/>
      <c r="B44" s="19"/>
      <c r="C44" s="20"/>
      <c r="D44" s="149"/>
      <c r="E44" s="67" t="s">
        <v>2055</v>
      </c>
      <c r="F44" s="78">
        <f t="shared" si="3"/>
        <v>0.40625</v>
      </c>
      <c r="G44" s="79">
        <f t="shared" si="3"/>
        <v>0.10416666666666667</v>
      </c>
      <c r="H44" s="79">
        <f t="shared" si="3"/>
        <v>0.11458333333333333</v>
      </c>
      <c r="I44" s="79">
        <f t="shared" si="3"/>
        <v>0.29166666666666669</v>
      </c>
      <c r="J44" s="80">
        <f t="shared" si="3"/>
        <v>8.3333333333333329E-2</v>
      </c>
      <c r="K44" s="58"/>
      <c r="L44" s="58"/>
      <c r="M44" s="21"/>
      <c r="N44" s="14"/>
    </row>
    <row r="45" spans="1:14">
      <c r="A45" s="14"/>
      <c r="B45" s="19"/>
      <c r="C45" s="20"/>
      <c r="D45" s="149"/>
      <c r="E45" s="86" t="s">
        <v>2043</v>
      </c>
      <c r="F45" s="37">
        <f t="shared" si="3"/>
        <v>0.26865671641791045</v>
      </c>
      <c r="G45" s="91">
        <f t="shared" si="3"/>
        <v>0.11940298507462686</v>
      </c>
      <c r="H45" s="91">
        <f t="shared" si="3"/>
        <v>0.14925373134328357</v>
      </c>
      <c r="I45" s="91">
        <f t="shared" si="3"/>
        <v>0.46268656716417911</v>
      </c>
      <c r="J45" s="25">
        <f t="shared" si="3"/>
        <v>0</v>
      </c>
      <c r="K45" s="58"/>
      <c r="L45" s="58"/>
      <c r="M45" s="21"/>
      <c r="N45" s="14"/>
    </row>
    <row r="46" spans="1:14">
      <c r="A46" s="14"/>
      <c r="B46" s="19"/>
      <c r="C46" s="20"/>
      <c r="D46" s="150"/>
      <c r="E46" s="95" t="s">
        <v>2044</v>
      </c>
      <c r="F46" s="75">
        <f t="shared" si="3"/>
        <v>0.40740740740740738</v>
      </c>
      <c r="G46" s="76">
        <f t="shared" si="3"/>
        <v>7.407407407407407E-2</v>
      </c>
      <c r="H46" s="76">
        <f t="shared" si="3"/>
        <v>0.1111111111111111</v>
      </c>
      <c r="I46" s="76">
        <f t="shared" si="3"/>
        <v>0.33333333333333331</v>
      </c>
      <c r="J46" s="77">
        <f t="shared" si="3"/>
        <v>7.407407407407407E-2</v>
      </c>
      <c r="K46" s="58"/>
      <c r="L46" s="58"/>
      <c r="M46" s="21"/>
      <c r="N46" s="14"/>
    </row>
    <row r="47" spans="1:14">
      <c r="A47" s="14"/>
      <c r="B47" s="19"/>
      <c r="C47" s="20"/>
      <c r="D47" s="58"/>
      <c r="E47" s="58"/>
      <c r="F47" s="58"/>
      <c r="G47" s="58"/>
      <c r="H47" s="58"/>
      <c r="I47" s="58"/>
      <c r="J47" s="58"/>
      <c r="K47" s="58"/>
      <c r="L47" s="58"/>
      <c r="M47" s="21"/>
      <c r="N47" s="14"/>
    </row>
    <row r="48" spans="1:14">
      <c r="A48" s="14"/>
      <c r="B48" s="19"/>
      <c r="C48" s="20"/>
      <c r="D48" s="58" t="s">
        <v>2047</v>
      </c>
      <c r="E48" s="58"/>
      <c r="F48" s="58"/>
      <c r="G48" s="58"/>
      <c r="H48" s="58"/>
      <c r="I48" s="58"/>
      <c r="J48" s="58"/>
      <c r="K48" s="58"/>
      <c r="L48" s="58"/>
      <c r="M48" s="21"/>
      <c r="N48" s="14"/>
    </row>
    <row r="49" spans="1:14" ht="63">
      <c r="A49" s="14"/>
      <c r="B49" s="19"/>
      <c r="C49" s="20"/>
      <c r="D49" s="57" t="s">
        <v>2039</v>
      </c>
      <c r="E49" s="59" t="s">
        <v>2049</v>
      </c>
      <c r="F49" s="60" t="s">
        <v>2050</v>
      </c>
      <c r="G49" s="61" t="s">
        <v>2051</v>
      </c>
      <c r="H49" s="61" t="s">
        <v>2052</v>
      </c>
      <c r="I49" s="61" t="s">
        <v>2053</v>
      </c>
      <c r="J49" s="62" t="s">
        <v>2034</v>
      </c>
      <c r="K49" s="81" t="s">
        <v>2024</v>
      </c>
      <c r="L49" s="58"/>
      <c r="M49" s="21"/>
      <c r="N49" s="14"/>
    </row>
    <row r="50" spans="1:14">
      <c r="A50" s="14"/>
      <c r="B50" s="19"/>
      <c r="C50" s="20"/>
      <c r="D50" s="39">
        <v>1</v>
      </c>
      <c r="E50" s="63" t="s">
        <v>2035</v>
      </c>
      <c r="F50" s="64">
        <v>117</v>
      </c>
      <c r="G50" s="65">
        <v>116</v>
      </c>
      <c r="H50" s="65">
        <v>12</v>
      </c>
      <c r="I50" s="65">
        <v>230</v>
      </c>
      <c r="J50" s="66">
        <v>58</v>
      </c>
      <c r="K50" s="63">
        <f t="shared" ref="K50:K54" si="4">SUM(F50:J50)</f>
        <v>533</v>
      </c>
      <c r="L50" s="58"/>
      <c r="M50" s="21"/>
      <c r="N50" s="14"/>
    </row>
    <row r="51" spans="1:14">
      <c r="A51" s="14"/>
      <c r="B51" s="19"/>
      <c r="C51" s="20"/>
      <c r="D51" s="43">
        <v>2</v>
      </c>
      <c r="E51" s="82" t="s">
        <v>2054</v>
      </c>
      <c r="F51" s="83">
        <v>98</v>
      </c>
      <c r="G51" s="84">
        <v>80</v>
      </c>
      <c r="H51" s="84">
        <v>8</v>
      </c>
      <c r="I51" s="84">
        <v>92</v>
      </c>
      <c r="J51" s="85">
        <v>21</v>
      </c>
      <c r="K51" s="82">
        <f t="shared" si="4"/>
        <v>299</v>
      </c>
      <c r="L51" s="58"/>
      <c r="M51" s="21"/>
      <c r="N51" s="14"/>
    </row>
    <row r="52" spans="1:14">
      <c r="A52" s="14"/>
      <c r="B52" s="19"/>
      <c r="C52" s="20"/>
      <c r="D52" s="26">
        <v>3</v>
      </c>
      <c r="E52" s="67" t="s">
        <v>2055</v>
      </c>
      <c r="F52" s="68">
        <v>0</v>
      </c>
      <c r="G52" s="69">
        <v>22</v>
      </c>
      <c r="H52" s="69">
        <v>1</v>
      </c>
      <c r="I52" s="69">
        <v>106</v>
      </c>
      <c r="J52" s="70">
        <v>28</v>
      </c>
      <c r="K52" s="67">
        <f t="shared" si="4"/>
        <v>157</v>
      </c>
      <c r="L52" s="58"/>
      <c r="M52" s="21"/>
      <c r="N52" s="14"/>
    </row>
    <row r="53" spans="1:14">
      <c r="A53" s="14"/>
      <c r="B53" s="19"/>
      <c r="C53" s="20"/>
      <c r="D53" s="22">
        <v>4</v>
      </c>
      <c r="E53" s="86" t="s">
        <v>2043</v>
      </c>
      <c r="F53" s="87">
        <v>16</v>
      </c>
      <c r="G53" s="88">
        <v>8</v>
      </c>
      <c r="H53" s="88">
        <v>2</v>
      </c>
      <c r="I53" s="88">
        <v>13</v>
      </c>
      <c r="J53" s="89">
        <v>5</v>
      </c>
      <c r="K53" s="86">
        <f t="shared" si="4"/>
        <v>44</v>
      </c>
      <c r="L53" s="58"/>
      <c r="M53" s="21"/>
      <c r="N53" s="14"/>
    </row>
    <row r="54" spans="1:14">
      <c r="A54" s="14"/>
      <c r="B54" s="19"/>
      <c r="C54" s="20"/>
      <c r="D54" s="49">
        <v>5</v>
      </c>
      <c r="E54" s="95" t="s">
        <v>2044</v>
      </c>
      <c r="F54" s="64">
        <v>3</v>
      </c>
      <c r="G54" s="65">
        <v>6</v>
      </c>
      <c r="H54" s="65">
        <v>1</v>
      </c>
      <c r="I54" s="65">
        <v>19</v>
      </c>
      <c r="J54" s="66">
        <v>4</v>
      </c>
      <c r="K54" s="63">
        <f t="shared" si="4"/>
        <v>33</v>
      </c>
      <c r="L54" s="58"/>
      <c r="M54" s="21"/>
      <c r="N54" s="14"/>
    </row>
    <row r="55" spans="1:14" ht="4.5" customHeight="1">
      <c r="A55" s="14"/>
      <c r="B55" s="19"/>
      <c r="C55" s="58"/>
      <c r="D55" s="58"/>
      <c r="E55" s="58"/>
      <c r="F55" s="58"/>
      <c r="G55" s="58"/>
      <c r="H55" s="58"/>
      <c r="I55" s="58"/>
      <c r="J55" s="58"/>
      <c r="K55" s="58"/>
      <c r="L55" s="58"/>
      <c r="M55" s="21"/>
      <c r="N55" s="14"/>
    </row>
    <row r="56" spans="1:14">
      <c r="A56" s="14"/>
      <c r="B56" s="19"/>
      <c r="C56" s="20"/>
      <c r="D56" s="148" t="s">
        <v>2041</v>
      </c>
      <c r="E56" s="63" t="s">
        <v>2035</v>
      </c>
      <c r="F56" s="92">
        <f t="shared" ref="F56:J56" si="5">F50/$K50</f>
        <v>0.21951219512195122</v>
      </c>
      <c r="G56" s="93">
        <f t="shared" si="5"/>
        <v>0.2176360225140713</v>
      </c>
      <c r="H56" s="93">
        <f t="shared" si="5"/>
        <v>2.2514071294559099E-2</v>
      </c>
      <c r="I56" s="93">
        <f t="shared" si="5"/>
        <v>0.43151969981238275</v>
      </c>
      <c r="J56" s="94">
        <f t="shared" si="5"/>
        <v>0.10881801125703565</v>
      </c>
      <c r="K56" s="58"/>
      <c r="L56" s="58"/>
      <c r="M56" s="21"/>
      <c r="N56" s="14"/>
    </row>
    <row r="57" spans="1:14">
      <c r="A57" s="14"/>
      <c r="B57" s="19"/>
      <c r="C57" s="20"/>
      <c r="D57" s="149"/>
      <c r="E57" s="82" t="s">
        <v>2054</v>
      </c>
      <c r="F57" s="47">
        <f t="shared" ref="F57:J57" si="6">F51/$K51</f>
        <v>0.32775919732441472</v>
      </c>
      <c r="G57" s="90">
        <f t="shared" si="6"/>
        <v>0.26755852842809363</v>
      </c>
      <c r="H57" s="90">
        <f t="shared" si="6"/>
        <v>2.6755852842809364E-2</v>
      </c>
      <c r="I57" s="90">
        <f t="shared" si="6"/>
        <v>0.30769230769230771</v>
      </c>
      <c r="J57" s="48">
        <f t="shared" si="6"/>
        <v>7.0234113712374577E-2</v>
      </c>
      <c r="K57" s="58"/>
      <c r="L57" s="58"/>
      <c r="M57" s="21"/>
      <c r="N57" s="14"/>
    </row>
    <row r="58" spans="1:14">
      <c r="A58" s="14"/>
      <c r="B58" s="19"/>
      <c r="C58" s="20"/>
      <c r="D58" s="149"/>
      <c r="E58" s="67" t="s">
        <v>2055</v>
      </c>
      <c r="F58" s="78">
        <f t="shared" ref="F58:J58" si="7">F52/$K52</f>
        <v>0</v>
      </c>
      <c r="G58" s="79">
        <f t="shared" si="7"/>
        <v>0.14012738853503184</v>
      </c>
      <c r="H58" s="79">
        <f t="shared" si="7"/>
        <v>6.369426751592357E-3</v>
      </c>
      <c r="I58" s="79">
        <f t="shared" si="7"/>
        <v>0.67515923566878977</v>
      </c>
      <c r="J58" s="80">
        <f t="shared" si="7"/>
        <v>0.17834394904458598</v>
      </c>
      <c r="K58" s="58"/>
      <c r="L58" s="58"/>
      <c r="M58" s="21"/>
      <c r="N58" s="14"/>
    </row>
    <row r="59" spans="1:14">
      <c r="A59" s="14"/>
      <c r="B59" s="19"/>
      <c r="C59" s="20"/>
      <c r="D59" s="149"/>
      <c r="E59" s="86" t="s">
        <v>2043</v>
      </c>
      <c r="F59" s="37">
        <f t="shared" ref="F59:J59" si="8">F53/$K53</f>
        <v>0.36363636363636365</v>
      </c>
      <c r="G59" s="91">
        <f t="shared" si="8"/>
        <v>0.18181818181818182</v>
      </c>
      <c r="H59" s="91">
        <f t="shared" si="8"/>
        <v>4.5454545454545456E-2</v>
      </c>
      <c r="I59" s="91">
        <f t="shared" si="8"/>
        <v>0.29545454545454547</v>
      </c>
      <c r="J59" s="25">
        <f t="shared" si="8"/>
        <v>0.11363636363636363</v>
      </c>
      <c r="K59" s="58"/>
      <c r="L59" s="58"/>
      <c r="M59" s="21"/>
      <c r="N59" s="14"/>
    </row>
    <row r="60" spans="1:14">
      <c r="A60" s="14"/>
      <c r="B60" s="19"/>
      <c r="C60" s="20"/>
      <c r="D60" s="150"/>
      <c r="E60" s="95" t="s">
        <v>2044</v>
      </c>
      <c r="F60" s="75">
        <f t="shared" ref="F60:J60" si="9">F54/$K54</f>
        <v>9.0909090909090912E-2</v>
      </c>
      <c r="G60" s="76">
        <f t="shared" si="9"/>
        <v>0.18181818181818182</v>
      </c>
      <c r="H60" s="76">
        <f t="shared" si="9"/>
        <v>3.0303030303030304E-2</v>
      </c>
      <c r="I60" s="76">
        <f t="shared" si="9"/>
        <v>0.5757575757575758</v>
      </c>
      <c r="J60" s="77">
        <f t="shared" si="9"/>
        <v>0.12121212121212122</v>
      </c>
      <c r="K60" s="58"/>
      <c r="L60" s="58"/>
      <c r="M60" s="21"/>
      <c r="N60" s="14"/>
    </row>
    <row r="61" spans="1:14">
      <c r="A61" s="14"/>
      <c r="B61" s="19"/>
      <c r="C61" s="20"/>
      <c r="D61" s="58"/>
      <c r="E61" s="58"/>
      <c r="F61" s="58"/>
      <c r="G61" s="58"/>
      <c r="H61" s="58"/>
      <c r="I61" s="58"/>
      <c r="J61" s="58"/>
      <c r="K61" s="58"/>
      <c r="L61" s="58"/>
      <c r="M61" s="21"/>
      <c r="N61" s="14"/>
    </row>
    <row r="62" spans="1:14">
      <c r="A62" s="14"/>
      <c r="B62" s="31"/>
      <c r="C62" s="32"/>
      <c r="D62" s="32"/>
      <c r="E62" s="32"/>
      <c r="F62" s="32"/>
      <c r="G62" s="32"/>
      <c r="H62" s="32"/>
      <c r="I62" s="32"/>
      <c r="J62" s="32"/>
      <c r="K62" s="32"/>
      <c r="L62" s="32"/>
      <c r="M62" s="33"/>
      <c r="N62" s="14"/>
    </row>
    <row r="63" spans="1:14">
      <c r="A63" s="14"/>
      <c r="B63" s="14"/>
      <c r="C63" s="14"/>
      <c r="D63" s="14"/>
      <c r="E63" s="14"/>
      <c r="F63" s="14"/>
      <c r="G63" s="14"/>
      <c r="H63" s="14"/>
      <c r="I63" s="14"/>
      <c r="J63" s="14"/>
      <c r="K63" s="14"/>
      <c r="L63" s="14"/>
      <c r="M63" s="14"/>
      <c r="N63" s="14"/>
    </row>
    <row r="64" spans="1:14">
      <c r="A64" s="14"/>
      <c r="B64" s="16"/>
      <c r="C64" s="17"/>
      <c r="D64" s="17"/>
      <c r="E64" s="17"/>
      <c r="F64" s="17"/>
      <c r="G64" s="17"/>
      <c r="H64" s="17"/>
      <c r="I64" s="17"/>
      <c r="J64" s="17"/>
      <c r="K64" s="17"/>
      <c r="L64" s="17"/>
      <c r="M64" s="18"/>
      <c r="N64" s="14"/>
    </row>
    <row r="65" spans="1:14">
      <c r="A65" s="14"/>
      <c r="B65" s="19"/>
      <c r="C65" s="20"/>
      <c r="D65" s="20"/>
      <c r="E65" s="20"/>
      <c r="F65" s="20"/>
      <c r="G65" s="20"/>
      <c r="H65" s="20"/>
      <c r="I65" s="20"/>
      <c r="J65" s="20"/>
      <c r="K65" s="20"/>
      <c r="L65" s="20"/>
      <c r="M65" s="21"/>
      <c r="N65" s="14"/>
    </row>
    <row r="66" spans="1:14">
      <c r="A66" s="14"/>
      <c r="B66" s="19"/>
      <c r="C66" s="20"/>
      <c r="D66" s="58" t="s">
        <v>2056</v>
      </c>
      <c r="E66" s="58"/>
      <c r="F66" s="58"/>
      <c r="G66" s="58"/>
      <c r="H66" s="58"/>
      <c r="I66" s="58"/>
      <c r="J66" s="58"/>
      <c r="K66" s="58"/>
      <c r="L66" s="58"/>
      <c r="M66" s="21"/>
      <c r="N66" s="14"/>
    </row>
    <row r="67" spans="1:14">
      <c r="A67" s="14"/>
      <c r="B67" s="19"/>
      <c r="C67" s="20"/>
      <c r="D67" s="142" t="s">
        <v>2039</v>
      </c>
      <c r="E67" s="144" t="s">
        <v>2048</v>
      </c>
      <c r="F67" s="142" t="s">
        <v>2040</v>
      </c>
      <c r="G67" s="146"/>
      <c r="H67" s="147"/>
      <c r="I67" s="142" t="s">
        <v>2041</v>
      </c>
      <c r="J67" s="147"/>
      <c r="K67" s="58"/>
      <c r="L67" s="58"/>
      <c r="M67" s="21"/>
      <c r="N67" s="14"/>
    </row>
    <row r="68" spans="1:14" ht="31.5">
      <c r="A68" s="14"/>
      <c r="B68" s="19"/>
      <c r="C68" s="20"/>
      <c r="D68" s="143"/>
      <c r="E68" s="145"/>
      <c r="F68" s="55" t="s">
        <v>2024</v>
      </c>
      <c r="G68" s="55" t="s">
        <v>2037</v>
      </c>
      <c r="H68" s="56" t="s">
        <v>16</v>
      </c>
      <c r="I68" s="55" t="s">
        <v>2037</v>
      </c>
      <c r="J68" s="56" t="s">
        <v>16</v>
      </c>
      <c r="K68" s="58"/>
      <c r="L68" s="58"/>
      <c r="M68" s="21"/>
      <c r="N68" s="14"/>
    </row>
    <row r="69" spans="1:14">
      <c r="A69" s="14"/>
      <c r="B69" s="19"/>
      <c r="C69" s="20"/>
      <c r="D69" s="39">
        <v>1</v>
      </c>
      <c r="E69" s="40" t="s">
        <v>2035</v>
      </c>
      <c r="F69" s="36">
        <f t="shared" ref="F69:F73" si="10">G69+H69</f>
        <v>1046</v>
      </c>
      <c r="G69" s="36">
        <v>394</v>
      </c>
      <c r="H69" s="30">
        <v>652</v>
      </c>
      <c r="I69" s="41">
        <f t="shared" ref="I69:I73" si="11">G69/$F69</f>
        <v>0.37667304015296366</v>
      </c>
      <c r="J69" s="42">
        <f t="shared" ref="J69:J73" si="12">H69/$F69</f>
        <v>0.62332695984703634</v>
      </c>
      <c r="K69" s="58"/>
      <c r="L69" s="58"/>
      <c r="M69" s="21"/>
      <c r="N69" s="14"/>
    </row>
    <row r="70" spans="1:14">
      <c r="A70" s="14"/>
      <c r="B70" s="19"/>
      <c r="C70" s="20"/>
      <c r="D70" s="43">
        <v>2</v>
      </c>
      <c r="E70" s="44" t="s">
        <v>2076</v>
      </c>
      <c r="F70" s="45">
        <f t="shared" si="10"/>
        <v>622</v>
      </c>
      <c r="G70" s="45">
        <v>258</v>
      </c>
      <c r="H70" s="46">
        <v>364</v>
      </c>
      <c r="I70" s="47">
        <f t="shared" si="11"/>
        <v>0.41479099678456594</v>
      </c>
      <c r="J70" s="48">
        <f t="shared" si="12"/>
        <v>0.58520900321543412</v>
      </c>
      <c r="K70" s="58"/>
      <c r="L70" s="58"/>
      <c r="M70" s="21"/>
      <c r="N70" s="14"/>
    </row>
    <row r="71" spans="1:14">
      <c r="A71" s="14"/>
      <c r="B71" s="19"/>
      <c r="C71" s="20"/>
      <c r="D71" s="26">
        <v>3</v>
      </c>
      <c r="E71" s="27" t="s">
        <v>2077</v>
      </c>
      <c r="F71" s="35">
        <f t="shared" si="10"/>
        <v>253</v>
      </c>
      <c r="G71" s="35">
        <v>68</v>
      </c>
      <c r="H71" s="28">
        <v>185</v>
      </c>
      <c r="I71" s="38">
        <f t="shared" si="11"/>
        <v>0.26877470355731226</v>
      </c>
      <c r="J71" s="29">
        <f t="shared" si="12"/>
        <v>0.73122529644268774</v>
      </c>
      <c r="K71" s="58"/>
      <c r="L71" s="58"/>
      <c r="M71" s="21"/>
      <c r="N71" s="14"/>
    </row>
    <row r="72" spans="1:14">
      <c r="A72" s="14"/>
      <c r="B72" s="19"/>
      <c r="C72" s="20"/>
      <c r="D72" s="22">
        <v>4</v>
      </c>
      <c r="E72" s="23" t="s">
        <v>2043</v>
      </c>
      <c r="F72" s="34">
        <f t="shared" si="10"/>
        <v>111</v>
      </c>
      <c r="G72" s="34">
        <v>50</v>
      </c>
      <c r="H72" s="24">
        <v>61</v>
      </c>
      <c r="I72" s="37">
        <f t="shared" si="11"/>
        <v>0.45045045045045046</v>
      </c>
      <c r="J72" s="25">
        <f t="shared" si="12"/>
        <v>0.5495495495495496</v>
      </c>
      <c r="K72" s="58"/>
      <c r="L72" s="58"/>
      <c r="M72" s="21"/>
      <c r="N72" s="14"/>
    </row>
    <row r="73" spans="1:14">
      <c r="A73" s="14"/>
      <c r="B73" s="19"/>
      <c r="C73" s="20"/>
      <c r="D73" s="49">
        <v>5</v>
      </c>
      <c r="E73" s="50" t="s">
        <v>2044</v>
      </c>
      <c r="F73" s="51">
        <f t="shared" si="10"/>
        <v>60</v>
      </c>
      <c r="G73" s="51">
        <v>18</v>
      </c>
      <c r="H73" s="52">
        <v>42</v>
      </c>
      <c r="I73" s="53">
        <f t="shared" si="11"/>
        <v>0.3</v>
      </c>
      <c r="J73" s="54">
        <f t="shared" si="12"/>
        <v>0.7</v>
      </c>
      <c r="K73" s="58"/>
      <c r="L73" s="58"/>
      <c r="M73" s="21"/>
      <c r="N73" s="14"/>
    </row>
    <row r="74" spans="1:14">
      <c r="A74" s="14"/>
      <c r="B74" s="19"/>
      <c r="C74" s="20"/>
      <c r="D74" s="58"/>
      <c r="E74" s="58"/>
      <c r="F74" s="58"/>
      <c r="G74" s="58"/>
      <c r="H74" s="58"/>
      <c r="I74" s="58"/>
      <c r="J74" s="58"/>
      <c r="K74" s="58"/>
      <c r="L74" s="58"/>
      <c r="M74" s="21"/>
      <c r="N74" s="14"/>
    </row>
    <row r="75" spans="1:14">
      <c r="A75" s="14"/>
      <c r="B75" s="19"/>
      <c r="C75" s="20"/>
      <c r="D75" s="58" t="s">
        <v>2067</v>
      </c>
      <c r="E75" s="58"/>
      <c r="F75" s="58"/>
      <c r="G75" s="58"/>
      <c r="H75" s="58"/>
      <c r="I75" s="58"/>
      <c r="J75" s="58"/>
      <c r="K75" s="58"/>
      <c r="L75" s="58"/>
      <c r="M75" s="21"/>
      <c r="N75" s="14"/>
    </row>
    <row r="76" spans="1:14" ht="31.5">
      <c r="A76" s="14"/>
      <c r="B76" s="19"/>
      <c r="C76" s="20"/>
      <c r="D76" s="96" t="s">
        <v>2039</v>
      </c>
      <c r="E76" s="136" t="s">
        <v>2065</v>
      </c>
      <c r="F76" s="134" t="s">
        <v>2040</v>
      </c>
      <c r="G76" s="135" t="s">
        <v>2041</v>
      </c>
      <c r="H76" s="58"/>
      <c r="I76" s="58"/>
      <c r="J76" s="58"/>
      <c r="K76" s="58"/>
      <c r="L76" s="58"/>
      <c r="M76" s="21"/>
      <c r="N76" s="14"/>
    </row>
    <row r="77" spans="1:14">
      <c r="A77" s="14"/>
      <c r="B77" s="19"/>
      <c r="C77" s="20"/>
      <c r="D77" s="124">
        <v>1</v>
      </c>
      <c r="E77" s="125" t="s">
        <v>39</v>
      </c>
      <c r="F77" s="126">
        <v>295</v>
      </c>
      <c r="G77" s="132">
        <f t="shared" ref="G77:G82" si="13">F77/$H$69</f>
        <v>0.45245398773006135</v>
      </c>
      <c r="H77" s="58"/>
      <c r="I77" s="58"/>
      <c r="J77" s="58"/>
      <c r="K77" s="58"/>
      <c r="L77" s="58"/>
      <c r="M77" s="21"/>
      <c r="N77" s="14"/>
    </row>
    <row r="78" spans="1:14">
      <c r="A78" s="14"/>
      <c r="B78" s="19"/>
      <c r="C78" s="20"/>
      <c r="D78" s="22">
        <v>2</v>
      </c>
      <c r="E78" s="86" t="s">
        <v>68</v>
      </c>
      <c r="F78" s="127">
        <v>238</v>
      </c>
      <c r="G78" s="25">
        <f t="shared" si="13"/>
        <v>0.36503067484662577</v>
      </c>
      <c r="H78" s="58"/>
      <c r="I78" s="58"/>
      <c r="J78" s="58"/>
      <c r="K78" s="58"/>
      <c r="L78" s="58"/>
      <c r="M78" s="21"/>
      <c r="N78" s="14"/>
    </row>
    <row r="79" spans="1:14">
      <c r="A79" s="14"/>
      <c r="B79" s="19"/>
      <c r="C79" s="20"/>
      <c r="D79" s="26">
        <v>3</v>
      </c>
      <c r="E79" s="67" t="s">
        <v>59</v>
      </c>
      <c r="F79" s="128">
        <v>134</v>
      </c>
      <c r="G79" s="80">
        <f t="shared" si="13"/>
        <v>0.20552147239263804</v>
      </c>
      <c r="H79" s="58"/>
      <c r="I79" s="58"/>
      <c r="J79" s="58"/>
      <c r="K79" s="58"/>
      <c r="L79" s="58"/>
      <c r="M79" s="21"/>
      <c r="N79" s="14"/>
    </row>
    <row r="80" spans="1:14">
      <c r="A80" s="14"/>
      <c r="B80" s="19"/>
      <c r="C80" s="20"/>
      <c r="D80" s="22">
        <v>4</v>
      </c>
      <c r="E80" s="86" t="s">
        <v>107</v>
      </c>
      <c r="F80" s="127">
        <v>51</v>
      </c>
      <c r="G80" s="25">
        <f t="shared" si="13"/>
        <v>7.8220858895705528E-2</v>
      </c>
      <c r="H80" s="58"/>
      <c r="I80" s="58"/>
      <c r="J80" s="58"/>
      <c r="K80" s="58"/>
      <c r="L80" s="58"/>
      <c r="M80" s="21"/>
      <c r="N80" s="14"/>
    </row>
    <row r="81" spans="1:14">
      <c r="A81" s="14"/>
      <c r="B81" s="19"/>
      <c r="C81" s="20"/>
      <c r="D81" s="26">
        <v>5</v>
      </c>
      <c r="E81" s="67" t="s">
        <v>2064</v>
      </c>
      <c r="F81" s="128">
        <v>30</v>
      </c>
      <c r="G81" s="80">
        <f t="shared" si="13"/>
        <v>4.6012269938650305E-2</v>
      </c>
      <c r="H81" s="58"/>
      <c r="I81" s="58"/>
      <c r="J81" s="58"/>
      <c r="K81" s="58"/>
      <c r="L81" s="58"/>
      <c r="M81" s="21"/>
      <c r="N81" s="14"/>
    </row>
    <row r="82" spans="1:14">
      <c r="A82" s="14"/>
      <c r="B82" s="19"/>
      <c r="C82" s="20"/>
      <c r="D82" s="129">
        <v>6</v>
      </c>
      <c r="E82" s="130" t="s">
        <v>2063</v>
      </c>
      <c r="F82" s="131">
        <v>13</v>
      </c>
      <c r="G82" s="133">
        <f t="shared" si="13"/>
        <v>1.9938650306748466E-2</v>
      </c>
      <c r="H82" s="58"/>
      <c r="I82" s="58"/>
      <c r="J82" s="58"/>
      <c r="K82" s="58"/>
      <c r="L82" s="58"/>
      <c r="M82" s="21"/>
      <c r="N82" s="14"/>
    </row>
    <row r="83" spans="1:14">
      <c r="A83" s="14"/>
      <c r="B83" s="19"/>
      <c r="C83" s="20"/>
      <c r="D83" s="58"/>
      <c r="E83" s="58"/>
      <c r="F83" s="58"/>
      <c r="G83" s="58"/>
      <c r="H83" s="58"/>
      <c r="I83" s="58"/>
      <c r="J83" s="58"/>
      <c r="K83" s="58"/>
      <c r="L83" s="58"/>
      <c r="M83" s="21"/>
      <c r="N83" s="14"/>
    </row>
    <row r="84" spans="1:14">
      <c r="A84" s="14"/>
      <c r="B84" s="19"/>
      <c r="C84" s="20"/>
      <c r="D84" s="58" t="s">
        <v>2066</v>
      </c>
      <c r="E84" s="58"/>
      <c r="F84" s="58"/>
      <c r="G84" s="58"/>
      <c r="H84" s="58"/>
      <c r="I84" s="58"/>
      <c r="J84" s="58"/>
      <c r="K84" s="58"/>
      <c r="L84" s="58"/>
      <c r="M84" s="21"/>
      <c r="N84" s="14"/>
    </row>
    <row r="85" spans="1:14">
      <c r="A85" s="14"/>
      <c r="B85" s="19"/>
      <c r="C85" s="20"/>
      <c r="D85" s="96" t="s">
        <v>2039</v>
      </c>
      <c r="E85" s="136" t="s">
        <v>2068</v>
      </c>
      <c r="F85" s="134" t="s">
        <v>2040</v>
      </c>
      <c r="G85" s="135" t="s">
        <v>2041</v>
      </c>
      <c r="H85" s="58"/>
      <c r="I85" s="58"/>
      <c r="J85" s="58"/>
      <c r="K85" s="58"/>
      <c r="L85" s="58"/>
      <c r="M85" s="21"/>
      <c r="N85" s="14"/>
    </row>
    <row r="86" spans="1:14">
      <c r="A86" s="14"/>
      <c r="B86" s="19"/>
      <c r="C86" s="20"/>
      <c r="D86" s="124">
        <v>1</v>
      </c>
      <c r="E86" s="125" t="s">
        <v>2069</v>
      </c>
      <c r="F86" s="126">
        <v>446</v>
      </c>
      <c r="G86" s="132">
        <f t="shared" ref="G86:G91" si="14">F86/$F$69</f>
        <v>0.42638623326959846</v>
      </c>
      <c r="H86" s="58"/>
      <c r="I86" s="58"/>
      <c r="J86" s="58"/>
      <c r="K86" s="58"/>
      <c r="L86" s="58"/>
      <c r="M86" s="21"/>
      <c r="N86" s="14"/>
    </row>
    <row r="87" spans="1:14">
      <c r="A87" s="14"/>
      <c r="B87" s="19"/>
      <c r="C87" s="20"/>
      <c r="D87" s="22">
        <v>2</v>
      </c>
      <c r="E87" s="86" t="s">
        <v>2070</v>
      </c>
      <c r="F87" s="127">
        <v>287</v>
      </c>
      <c r="G87" s="25">
        <f t="shared" si="14"/>
        <v>0.27437858508604207</v>
      </c>
      <c r="H87" s="58"/>
      <c r="I87" s="58"/>
      <c r="J87" s="58"/>
      <c r="K87" s="58"/>
      <c r="L87" s="58"/>
      <c r="M87" s="21"/>
      <c r="N87" s="14"/>
    </row>
    <row r="88" spans="1:14">
      <c r="A88" s="14"/>
      <c r="B88" s="19"/>
      <c r="C88" s="20"/>
      <c r="D88" s="26">
        <v>3</v>
      </c>
      <c r="E88" s="67" t="s">
        <v>2074</v>
      </c>
      <c r="F88" s="128">
        <v>29</v>
      </c>
      <c r="G88" s="80">
        <f>F88/$F$69</f>
        <v>2.7724665391969407E-2</v>
      </c>
      <c r="H88" s="58"/>
      <c r="I88" s="58"/>
      <c r="J88" s="58"/>
      <c r="K88" s="58"/>
      <c r="L88" s="58"/>
      <c r="M88" s="21"/>
      <c r="N88" s="14"/>
    </row>
    <row r="89" spans="1:14">
      <c r="A89" s="14"/>
      <c r="B89" s="19"/>
      <c r="C89" s="20"/>
      <c r="D89" s="22">
        <v>4</v>
      </c>
      <c r="E89" s="86" t="s">
        <v>2071</v>
      </c>
      <c r="F89" s="127">
        <v>14</v>
      </c>
      <c r="G89" s="25">
        <f>F89/$F$69</f>
        <v>1.338432122370937E-2</v>
      </c>
      <c r="H89" s="58"/>
      <c r="I89" s="58"/>
      <c r="J89" s="58"/>
      <c r="K89" s="58"/>
      <c r="L89" s="58"/>
      <c r="M89" s="21"/>
      <c r="N89" s="14"/>
    </row>
    <row r="90" spans="1:14">
      <c r="A90" s="14"/>
      <c r="B90" s="19"/>
      <c r="C90" s="20"/>
      <c r="D90" s="137">
        <v>5</v>
      </c>
      <c r="E90" s="138" t="s">
        <v>2072</v>
      </c>
      <c r="F90" s="139">
        <v>11</v>
      </c>
      <c r="G90" s="140">
        <f t="shared" si="14"/>
        <v>1.0516252390057362E-2</v>
      </c>
      <c r="H90" s="58"/>
      <c r="I90" s="58"/>
      <c r="J90" s="58"/>
      <c r="K90" s="58"/>
      <c r="L90" s="58"/>
      <c r="M90" s="21"/>
      <c r="N90" s="14"/>
    </row>
    <row r="91" spans="1:14">
      <c r="A91" s="14"/>
      <c r="B91" s="19"/>
      <c r="C91" s="20"/>
      <c r="D91" s="120"/>
      <c r="E91" s="121" t="s">
        <v>2073</v>
      </c>
      <c r="F91" s="123">
        <v>68</v>
      </c>
      <c r="G91" s="122">
        <f t="shared" si="14"/>
        <v>6.5009560229445512E-2</v>
      </c>
      <c r="H91" s="58"/>
      <c r="I91" s="58"/>
      <c r="J91" s="58"/>
      <c r="K91" s="58"/>
      <c r="L91" s="58"/>
      <c r="M91" s="21"/>
      <c r="N91" s="14"/>
    </row>
    <row r="92" spans="1:14">
      <c r="A92" s="14"/>
      <c r="B92" s="19"/>
      <c r="C92" s="20"/>
      <c r="D92" s="20"/>
      <c r="E92" s="20"/>
      <c r="F92" s="20"/>
      <c r="G92" s="20"/>
      <c r="H92" s="20"/>
      <c r="I92" s="20"/>
      <c r="J92" s="20"/>
      <c r="K92" s="20"/>
      <c r="L92" s="20"/>
      <c r="M92" s="21"/>
      <c r="N92" s="14"/>
    </row>
    <row r="93" spans="1:14">
      <c r="A93" s="14"/>
      <c r="B93" s="31"/>
      <c r="C93" s="32"/>
      <c r="D93" s="32"/>
      <c r="E93" s="32"/>
      <c r="F93" s="32"/>
      <c r="G93" s="32"/>
      <c r="H93" s="32"/>
      <c r="I93" s="32"/>
      <c r="J93" s="32"/>
      <c r="K93" s="32"/>
      <c r="L93" s="32"/>
      <c r="M93" s="33"/>
      <c r="N93" s="14"/>
    </row>
    <row r="94" spans="1:14">
      <c r="A94" s="14"/>
      <c r="B94" s="14"/>
      <c r="C94" s="14"/>
      <c r="D94" s="14"/>
      <c r="E94" s="14"/>
      <c r="F94" s="14"/>
      <c r="G94" s="14"/>
      <c r="H94" s="14"/>
      <c r="I94" s="14"/>
      <c r="J94" s="14"/>
      <c r="K94" s="14"/>
      <c r="L94" s="14"/>
      <c r="M94" s="14"/>
      <c r="N94" s="14"/>
    </row>
    <row r="95" spans="1:14">
      <c r="A95" s="14"/>
      <c r="B95" s="16"/>
      <c r="C95" s="17"/>
      <c r="D95" s="17"/>
      <c r="E95" s="17"/>
      <c r="F95" s="17"/>
      <c r="G95" s="17"/>
      <c r="H95" s="17"/>
      <c r="I95" s="17"/>
      <c r="J95" s="17"/>
      <c r="K95" s="17"/>
      <c r="L95" s="17"/>
      <c r="M95" s="18"/>
      <c r="N95" s="14"/>
    </row>
    <row r="96" spans="1:14">
      <c r="A96" s="14"/>
      <c r="B96" s="19"/>
      <c r="C96" s="20"/>
      <c r="D96" s="20"/>
      <c r="E96" s="20"/>
      <c r="F96" s="20"/>
      <c r="G96" s="20"/>
      <c r="H96" s="20"/>
      <c r="I96" s="20"/>
      <c r="J96" s="20"/>
      <c r="K96" s="20"/>
      <c r="L96" s="20"/>
      <c r="M96" s="21"/>
      <c r="N96" s="14"/>
    </row>
    <row r="97" spans="1:14">
      <c r="A97" s="14"/>
      <c r="B97" s="19"/>
      <c r="C97" s="20"/>
      <c r="D97" s="58"/>
      <c r="E97" s="58"/>
      <c r="F97" s="58"/>
      <c r="G97" s="58"/>
      <c r="H97" s="58"/>
      <c r="I97" s="58"/>
      <c r="J97" s="58"/>
      <c r="K97" s="58"/>
      <c r="L97" s="58"/>
      <c r="M97" s="21"/>
      <c r="N97" s="14"/>
    </row>
    <row r="98" spans="1:14">
      <c r="A98" s="14"/>
      <c r="B98" s="19"/>
      <c r="C98" s="20"/>
      <c r="D98" s="58"/>
      <c r="E98" s="58"/>
      <c r="F98" s="58"/>
      <c r="G98" s="58"/>
      <c r="H98" s="58"/>
      <c r="I98" s="58"/>
      <c r="J98" s="58"/>
      <c r="K98" s="58"/>
      <c r="L98" s="58"/>
      <c r="M98" s="21"/>
      <c r="N98" s="14"/>
    </row>
    <row r="99" spans="1:14">
      <c r="A99" s="14"/>
      <c r="B99" s="19"/>
      <c r="C99" s="20"/>
      <c r="D99" s="58"/>
      <c r="E99" s="58"/>
      <c r="F99" s="58"/>
      <c r="G99" s="58"/>
      <c r="H99" s="58"/>
      <c r="I99" s="58"/>
      <c r="J99" s="58"/>
      <c r="K99" s="58"/>
      <c r="L99" s="58"/>
      <c r="M99" s="21"/>
      <c r="N99" s="14"/>
    </row>
    <row r="100" spans="1:14">
      <c r="A100" s="14"/>
      <c r="B100" s="19"/>
      <c r="C100" s="20"/>
      <c r="D100" s="58"/>
      <c r="E100" s="58"/>
      <c r="F100" s="58"/>
      <c r="G100" s="58"/>
      <c r="H100" s="58"/>
      <c r="I100" s="58"/>
      <c r="J100" s="58"/>
      <c r="K100" s="58"/>
      <c r="L100" s="58"/>
      <c r="M100" s="21"/>
      <c r="N100" s="14"/>
    </row>
    <row r="101" spans="1:14">
      <c r="A101" s="14"/>
      <c r="B101" s="19"/>
      <c r="C101" s="20"/>
      <c r="D101" s="58"/>
      <c r="E101" s="58"/>
      <c r="F101" s="58"/>
      <c r="G101" s="58"/>
      <c r="H101" s="58"/>
      <c r="I101" s="58"/>
      <c r="J101" s="58"/>
      <c r="K101" s="58"/>
      <c r="L101" s="58"/>
      <c r="M101" s="21"/>
      <c r="N101" s="14"/>
    </row>
    <row r="102" spans="1:14">
      <c r="A102" s="14"/>
      <c r="B102" s="19"/>
      <c r="C102" s="20"/>
      <c r="D102" s="58"/>
      <c r="E102" s="58"/>
      <c r="F102" s="58"/>
      <c r="G102" s="58"/>
      <c r="H102" s="58"/>
      <c r="I102" s="58"/>
      <c r="J102" s="58"/>
      <c r="K102" s="58"/>
      <c r="L102" s="58"/>
      <c r="M102" s="21"/>
      <c r="N102" s="14"/>
    </row>
    <row r="103" spans="1:14">
      <c r="A103" s="14"/>
      <c r="B103" s="19"/>
      <c r="C103" s="20"/>
      <c r="D103" s="58"/>
      <c r="E103" s="58"/>
      <c r="F103" s="58"/>
      <c r="G103" s="58"/>
      <c r="H103" s="58"/>
      <c r="I103" s="58"/>
      <c r="J103" s="58"/>
      <c r="K103" s="58"/>
      <c r="L103" s="58"/>
      <c r="M103" s="21"/>
      <c r="N103" s="14"/>
    </row>
    <row r="104" spans="1:14">
      <c r="A104" s="14"/>
      <c r="B104" s="19"/>
      <c r="C104" s="20"/>
      <c r="D104" s="58"/>
      <c r="E104" s="58"/>
      <c r="F104" s="58"/>
      <c r="G104" s="58"/>
      <c r="H104" s="58"/>
      <c r="I104" s="58"/>
      <c r="J104" s="58"/>
      <c r="K104" s="58"/>
      <c r="L104" s="58"/>
      <c r="M104" s="21"/>
      <c r="N104" s="14"/>
    </row>
    <row r="105" spans="1:14">
      <c r="A105" s="14"/>
      <c r="B105" s="19"/>
      <c r="C105" s="20"/>
      <c r="D105" s="58"/>
      <c r="E105" s="58"/>
      <c r="F105" s="58"/>
      <c r="G105" s="58"/>
      <c r="H105" s="58"/>
      <c r="I105" s="58"/>
      <c r="J105" s="58"/>
      <c r="K105" s="58"/>
      <c r="L105" s="58"/>
      <c r="M105" s="21"/>
      <c r="N105" s="14"/>
    </row>
    <row r="106" spans="1:14">
      <c r="A106" s="14"/>
      <c r="B106" s="19"/>
      <c r="C106" s="20"/>
      <c r="D106" s="58"/>
      <c r="E106" s="58"/>
      <c r="F106" s="58"/>
      <c r="G106" s="58"/>
      <c r="H106" s="58"/>
      <c r="I106" s="58"/>
      <c r="J106" s="58"/>
      <c r="K106" s="58"/>
      <c r="L106" s="58"/>
      <c r="M106" s="21"/>
      <c r="N106" s="14"/>
    </row>
    <row r="107" spans="1:14">
      <c r="A107" s="14"/>
      <c r="B107" s="19"/>
      <c r="C107" s="20"/>
      <c r="D107" s="58"/>
      <c r="E107" s="58"/>
      <c r="F107" s="58"/>
      <c r="G107" s="58"/>
      <c r="H107" s="58"/>
      <c r="I107" s="58"/>
      <c r="J107" s="58"/>
      <c r="K107" s="58"/>
      <c r="L107" s="58"/>
      <c r="M107" s="21"/>
      <c r="N107" s="14"/>
    </row>
    <row r="108" spans="1:14">
      <c r="A108" s="14"/>
      <c r="B108" s="19"/>
      <c r="C108" s="20"/>
      <c r="D108" s="58"/>
      <c r="E108" s="58"/>
      <c r="F108" s="58"/>
      <c r="G108" s="58"/>
      <c r="H108" s="58"/>
      <c r="I108" s="58"/>
      <c r="J108" s="58"/>
      <c r="K108" s="58"/>
      <c r="L108" s="58"/>
      <c r="M108" s="21"/>
      <c r="N108" s="14"/>
    </row>
    <row r="109" spans="1:14">
      <c r="A109" s="14"/>
      <c r="B109" s="19"/>
      <c r="C109" s="20"/>
      <c r="D109" s="58"/>
      <c r="E109" s="58"/>
      <c r="F109" s="58"/>
      <c r="G109" s="58"/>
      <c r="H109" s="58"/>
      <c r="I109" s="58"/>
      <c r="J109" s="58"/>
      <c r="K109" s="58"/>
      <c r="L109" s="58"/>
      <c r="M109" s="21"/>
      <c r="N109" s="14"/>
    </row>
    <row r="110" spans="1:14">
      <c r="A110" s="14"/>
      <c r="B110" s="19"/>
      <c r="C110" s="20"/>
      <c r="D110" s="58"/>
      <c r="E110" s="58"/>
      <c r="F110" s="58"/>
      <c r="G110" s="58"/>
      <c r="H110" s="58"/>
      <c r="I110" s="58"/>
      <c r="J110" s="58"/>
      <c r="K110" s="58"/>
      <c r="L110" s="58"/>
      <c r="M110" s="21"/>
      <c r="N110" s="14"/>
    </row>
    <row r="111" spans="1:14">
      <c r="A111" s="14"/>
      <c r="B111" s="19"/>
      <c r="C111" s="20"/>
      <c r="D111" s="58"/>
      <c r="E111" s="58"/>
      <c r="F111" s="58"/>
      <c r="G111" s="58"/>
      <c r="H111" s="58"/>
      <c r="I111" s="58"/>
      <c r="J111" s="58"/>
      <c r="K111" s="58"/>
      <c r="L111" s="58"/>
      <c r="M111" s="21"/>
      <c r="N111" s="14"/>
    </row>
    <row r="112" spans="1:14">
      <c r="A112" s="14"/>
      <c r="B112" s="19"/>
      <c r="C112" s="20"/>
      <c r="D112" s="58"/>
      <c r="E112" s="58"/>
      <c r="F112" s="58"/>
      <c r="G112" s="58"/>
      <c r="H112" s="58"/>
      <c r="I112" s="58"/>
      <c r="J112" s="58"/>
      <c r="K112" s="58"/>
      <c r="L112" s="58"/>
      <c r="M112" s="21"/>
      <c r="N112" s="14"/>
    </row>
    <row r="113" spans="1:14">
      <c r="A113" s="14"/>
      <c r="B113" s="19"/>
      <c r="C113" s="20"/>
      <c r="D113" s="58"/>
      <c r="E113" s="58"/>
      <c r="F113" s="58"/>
      <c r="G113" s="58"/>
      <c r="H113" s="58"/>
      <c r="I113" s="58"/>
      <c r="J113" s="58"/>
      <c r="K113" s="58"/>
      <c r="L113" s="58"/>
      <c r="M113" s="21"/>
      <c r="N113" s="14"/>
    </row>
    <row r="114" spans="1:14">
      <c r="A114" s="14"/>
      <c r="B114" s="19"/>
      <c r="C114" s="20"/>
      <c r="D114" s="58"/>
      <c r="E114" s="58"/>
      <c r="F114" s="58"/>
      <c r="G114" s="58"/>
      <c r="H114" s="58"/>
      <c r="I114" s="58"/>
      <c r="J114" s="58"/>
      <c r="K114" s="58"/>
      <c r="L114" s="58"/>
      <c r="M114" s="21"/>
      <c r="N114" s="14"/>
    </row>
    <row r="115" spans="1:14">
      <c r="A115" s="14"/>
      <c r="B115" s="19"/>
      <c r="C115" s="20"/>
      <c r="D115" s="58"/>
      <c r="E115" s="58"/>
      <c r="F115" s="58"/>
      <c r="G115" s="58"/>
      <c r="H115" s="58"/>
      <c r="I115" s="58"/>
      <c r="J115" s="58"/>
      <c r="K115" s="58"/>
      <c r="L115" s="58"/>
      <c r="M115" s="21"/>
      <c r="N115" s="14"/>
    </row>
    <row r="116" spans="1:14">
      <c r="A116" s="14"/>
      <c r="B116" s="19"/>
      <c r="C116" s="20"/>
      <c r="D116" s="58"/>
      <c r="E116" s="58"/>
      <c r="F116" s="58"/>
      <c r="G116" s="58"/>
      <c r="H116" s="58"/>
      <c r="I116" s="58"/>
      <c r="J116" s="58"/>
      <c r="K116" s="58"/>
      <c r="L116" s="58"/>
      <c r="M116" s="21"/>
      <c r="N116" s="14"/>
    </row>
    <row r="117" spans="1:14">
      <c r="A117" s="14"/>
      <c r="B117" s="19"/>
      <c r="C117" s="20"/>
      <c r="D117" s="58"/>
      <c r="E117" s="58"/>
      <c r="F117" s="58"/>
      <c r="G117" s="58"/>
      <c r="H117" s="58"/>
      <c r="I117" s="58"/>
      <c r="J117" s="58"/>
      <c r="K117" s="58"/>
      <c r="L117" s="58"/>
      <c r="M117" s="21"/>
      <c r="N117" s="14"/>
    </row>
    <row r="118" spans="1:14">
      <c r="A118" s="14"/>
      <c r="B118" s="19"/>
      <c r="C118" s="20"/>
      <c r="D118" s="58"/>
      <c r="E118" s="58"/>
      <c r="F118" s="58"/>
      <c r="G118" s="58"/>
      <c r="H118" s="58"/>
      <c r="I118" s="58"/>
      <c r="J118" s="58"/>
      <c r="K118" s="58"/>
      <c r="L118" s="58"/>
      <c r="M118" s="21"/>
      <c r="N118" s="14"/>
    </row>
    <row r="119" spans="1:14">
      <c r="A119" s="14"/>
      <c r="B119" s="19"/>
      <c r="C119" s="20"/>
      <c r="D119" s="58"/>
      <c r="E119" s="58"/>
      <c r="F119" s="58"/>
      <c r="G119" s="58"/>
      <c r="H119" s="58"/>
      <c r="I119" s="58"/>
      <c r="J119" s="58"/>
      <c r="K119" s="58"/>
      <c r="L119" s="58"/>
      <c r="M119" s="21"/>
      <c r="N119" s="14"/>
    </row>
    <row r="120" spans="1:14">
      <c r="A120" s="14"/>
      <c r="B120" s="19"/>
      <c r="C120" s="20"/>
      <c r="D120" s="58"/>
      <c r="E120" s="58"/>
      <c r="F120" s="58"/>
      <c r="G120" s="58"/>
      <c r="H120" s="58"/>
      <c r="I120" s="58"/>
      <c r="J120" s="58"/>
      <c r="K120" s="58"/>
      <c r="L120" s="58"/>
      <c r="M120" s="21"/>
      <c r="N120" s="14"/>
    </row>
    <row r="121" spans="1:14">
      <c r="A121" s="14"/>
      <c r="B121" s="19"/>
      <c r="C121" s="20"/>
      <c r="D121" s="58"/>
      <c r="E121" s="58"/>
      <c r="F121" s="58"/>
      <c r="G121" s="58"/>
      <c r="H121" s="58"/>
      <c r="I121" s="58"/>
      <c r="J121" s="58"/>
      <c r="K121" s="58"/>
      <c r="L121" s="58"/>
      <c r="M121" s="21"/>
      <c r="N121" s="14"/>
    </row>
    <row r="122" spans="1:14">
      <c r="A122" s="14"/>
      <c r="B122" s="19"/>
      <c r="C122" s="20"/>
      <c r="D122" s="58"/>
      <c r="E122" s="58"/>
      <c r="F122" s="58"/>
      <c r="G122" s="58"/>
      <c r="H122" s="58"/>
      <c r="I122" s="58"/>
      <c r="J122" s="58"/>
      <c r="K122" s="58"/>
      <c r="L122" s="58"/>
      <c r="M122" s="21"/>
      <c r="N122" s="14"/>
    </row>
    <row r="123" spans="1:14">
      <c r="A123" s="14"/>
      <c r="B123" s="19"/>
      <c r="C123" s="20"/>
      <c r="D123" s="20"/>
      <c r="E123" s="20"/>
      <c r="F123" s="20"/>
      <c r="G123" s="20"/>
      <c r="H123" s="20"/>
      <c r="I123" s="20"/>
      <c r="J123" s="20"/>
      <c r="K123" s="20"/>
      <c r="L123" s="20"/>
      <c r="M123" s="21"/>
      <c r="N123" s="14"/>
    </row>
    <row r="124" spans="1:14">
      <c r="A124" s="14"/>
      <c r="B124" s="31"/>
      <c r="C124" s="32"/>
      <c r="D124" s="32"/>
      <c r="E124" s="32"/>
      <c r="F124" s="32"/>
      <c r="G124" s="32"/>
      <c r="H124" s="32"/>
      <c r="I124" s="32"/>
      <c r="J124" s="32"/>
      <c r="K124" s="32"/>
      <c r="L124" s="32"/>
      <c r="M124" s="33"/>
      <c r="N124" s="14"/>
    </row>
    <row r="125" spans="1:14">
      <c r="A125" s="14"/>
      <c r="B125" s="14"/>
      <c r="C125" s="14"/>
      <c r="D125" s="14"/>
      <c r="E125" s="14"/>
      <c r="F125" s="14"/>
      <c r="G125" s="14"/>
      <c r="H125" s="14"/>
      <c r="I125" s="14"/>
      <c r="J125" s="14"/>
      <c r="K125" s="14"/>
      <c r="L125" s="14"/>
      <c r="M125" s="14"/>
      <c r="N125" s="14"/>
    </row>
    <row r="126" spans="1:14">
      <c r="A126" s="14"/>
      <c r="B126" s="16"/>
      <c r="C126" s="17"/>
      <c r="D126" s="17"/>
      <c r="E126" s="17"/>
      <c r="F126" s="17"/>
      <c r="G126" s="17"/>
      <c r="H126" s="17"/>
      <c r="I126" s="17"/>
      <c r="J126" s="17"/>
      <c r="K126" s="17"/>
      <c r="L126" s="17"/>
      <c r="M126" s="18"/>
      <c r="N126" s="14"/>
    </row>
    <row r="127" spans="1:14">
      <c r="A127" s="14"/>
      <c r="B127" s="19"/>
      <c r="C127" s="20"/>
      <c r="D127" s="20"/>
      <c r="E127" s="20"/>
      <c r="F127" s="20"/>
      <c r="G127" s="20"/>
      <c r="H127" s="20"/>
      <c r="I127" s="20"/>
      <c r="J127" s="20"/>
      <c r="K127" s="20"/>
      <c r="L127" s="20"/>
      <c r="M127" s="21"/>
      <c r="N127" s="14"/>
    </row>
    <row r="128" spans="1:14">
      <c r="A128" s="14"/>
      <c r="B128" s="19"/>
      <c r="C128" s="20"/>
      <c r="D128" s="58"/>
      <c r="E128" s="58"/>
      <c r="F128" s="58"/>
      <c r="G128" s="58"/>
      <c r="H128" s="58"/>
      <c r="I128" s="58"/>
      <c r="J128" s="58"/>
      <c r="K128" s="58"/>
      <c r="L128" s="58"/>
      <c r="M128" s="21"/>
      <c r="N128" s="14"/>
    </row>
    <row r="129" spans="1:14">
      <c r="A129" s="14"/>
      <c r="B129" s="19"/>
      <c r="C129" s="20"/>
      <c r="D129" s="58"/>
      <c r="E129" s="58"/>
      <c r="F129" s="58"/>
      <c r="G129" s="58"/>
      <c r="H129" s="58"/>
      <c r="I129" s="58"/>
      <c r="J129" s="58"/>
      <c r="K129" s="58"/>
      <c r="L129" s="58"/>
      <c r="M129" s="21"/>
      <c r="N129" s="14"/>
    </row>
    <row r="130" spans="1:14">
      <c r="A130" s="14"/>
      <c r="B130" s="19"/>
      <c r="C130" s="20"/>
      <c r="D130" s="58"/>
      <c r="E130" s="58"/>
      <c r="F130" s="58"/>
      <c r="G130" s="58"/>
      <c r="H130" s="58"/>
      <c r="I130" s="58"/>
      <c r="J130" s="58"/>
      <c r="K130" s="58"/>
      <c r="L130" s="58"/>
      <c r="M130" s="21"/>
      <c r="N130" s="14"/>
    </row>
    <row r="131" spans="1:14">
      <c r="A131" s="14"/>
      <c r="B131" s="19"/>
      <c r="C131" s="20"/>
      <c r="D131" s="58"/>
      <c r="E131" s="58"/>
      <c r="F131" s="58"/>
      <c r="G131" s="58"/>
      <c r="H131" s="58"/>
      <c r="I131" s="58"/>
      <c r="J131" s="58"/>
      <c r="K131" s="58"/>
      <c r="L131" s="58"/>
      <c r="M131" s="21"/>
      <c r="N131" s="14"/>
    </row>
    <row r="132" spans="1:14">
      <c r="A132" s="14"/>
      <c r="B132" s="19"/>
      <c r="C132" s="20"/>
      <c r="D132" s="58"/>
      <c r="E132" s="58"/>
      <c r="F132" s="58"/>
      <c r="G132" s="58"/>
      <c r="H132" s="58"/>
      <c r="I132" s="58"/>
      <c r="J132" s="58"/>
      <c r="K132" s="58"/>
      <c r="L132" s="58"/>
      <c r="M132" s="21"/>
      <c r="N132" s="14"/>
    </row>
    <row r="133" spans="1:14">
      <c r="A133" s="14"/>
      <c r="B133" s="19"/>
      <c r="C133" s="20"/>
      <c r="D133" s="58"/>
      <c r="E133" s="58"/>
      <c r="F133" s="58"/>
      <c r="G133" s="58"/>
      <c r="H133" s="58"/>
      <c r="I133" s="58"/>
      <c r="J133" s="58"/>
      <c r="K133" s="58"/>
      <c r="L133" s="58"/>
      <c r="M133" s="21"/>
      <c r="N133" s="14"/>
    </row>
    <row r="134" spans="1:14">
      <c r="A134" s="14"/>
      <c r="B134" s="19"/>
      <c r="C134" s="20"/>
      <c r="D134" s="58"/>
      <c r="E134" s="58"/>
      <c r="F134" s="58"/>
      <c r="G134" s="58"/>
      <c r="H134" s="58"/>
      <c r="I134" s="58"/>
      <c r="J134" s="58"/>
      <c r="K134" s="58"/>
      <c r="L134" s="58"/>
      <c r="M134" s="21"/>
      <c r="N134" s="14"/>
    </row>
    <row r="135" spans="1:14">
      <c r="A135" s="14"/>
      <c r="B135" s="19"/>
      <c r="C135" s="20"/>
      <c r="D135" s="58"/>
      <c r="E135" s="58"/>
      <c r="F135" s="58"/>
      <c r="G135" s="58"/>
      <c r="H135" s="58"/>
      <c r="I135" s="58"/>
      <c r="J135" s="58"/>
      <c r="K135" s="58"/>
      <c r="L135" s="58"/>
      <c r="M135" s="21"/>
      <c r="N135" s="14"/>
    </row>
    <row r="136" spans="1:14">
      <c r="A136" s="14"/>
      <c r="B136" s="19"/>
      <c r="C136" s="20"/>
      <c r="D136" s="58"/>
      <c r="E136" s="58"/>
      <c r="F136" s="58"/>
      <c r="G136" s="58"/>
      <c r="H136" s="58"/>
      <c r="I136" s="58"/>
      <c r="J136" s="58"/>
      <c r="K136" s="58"/>
      <c r="L136" s="58"/>
      <c r="M136" s="21"/>
      <c r="N136" s="14"/>
    </row>
    <row r="137" spans="1:14">
      <c r="A137" s="14"/>
      <c r="B137" s="19"/>
      <c r="C137" s="20"/>
      <c r="D137" s="58"/>
      <c r="E137" s="58"/>
      <c r="F137" s="58"/>
      <c r="G137" s="58"/>
      <c r="H137" s="58"/>
      <c r="I137" s="58"/>
      <c r="J137" s="58"/>
      <c r="K137" s="58"/>
      <c r="L137" s="58"/>
      <c r="M137" s="21"/>
      <c r="N137" s="14"/>
    </row>
    <row r="138" spans="1:14">
      <c r="A138" s="14"/>
      <c r="B138" s="19"/>
      <c r="C138" s="20"/>
      <c r="D138" s="58"/>
      <c r="E138" s="58"/>
      <c r="F138" s="58"/>
      <c r="G138" s="58"/>
      <c r="H138" s="58"/>
      <c r="I138" s="58"/>
      <c r="J138" s="58"/>
      <c r="K138" s="58"/>
      <c r="L138" s="58"/>
      <c r="M138" s="21"/>
      <c r="N138" s="14"/>
    </row>
    <row r="139" spans="1:14">
      <c r="A139" s="14"/>
      <c r="B139" s="19"/>
      <c r="C139" s="20"/>
      <c r="D139" s="58"/>
      <c r="E139" s="58"/>
      <c r="F139" s="58"/>
      <c r="G139" s="58"/>
      <c r="H139" s="58"/>
      <c r="I139" s="58"/>
      <c r="J139" s="58"/>
      <c r="K139" s="58"/>
      <c r="L139" s="58"/>
      <c r="M139" s="21"/>
      <c r="N139" s="14"/>
    </row>
    <row r="140" spans="1:14">
      <c r="A140" s="14"/>
      <c r="B140" s="19"/>
      <c r="C140" s="20"/>
      <c r="D140" s="58"/>
      <c r="E140" s="58"/>
      <c r="F140" s="58"/>
      <c r="G140" s="58"/>
      <c r="H140" s="58"/>
      <c r="I140" s="58"/>
      <c r="J140" s="58"/>
      <c r="K140" s="58"/>
      <c r="L140" s="58"/>
      <c r="M140" s="21"/>
      <c r="N140" s="14"/>
    </row>
    <row r="141" spans="1:14">
      <c r="A141" s="14"/>
      <c r="B141" s="19"/>
      <c r="C141" s="20"/>
      <c r="D141" s="58"/>
      <c r="E141" s="58"/>
      <c r="F141" s="58"/>
      <c r="G141" s="58"/>
      <c r="H141" s="58"/>
      <c r="I141" s="58"/>
      <c r="J141" s="58"/>
      <c r="K141" s="58"/>
      <c r="L141" s="58"/>
      <c r="M141" s="21"/>
      <c r="N141" s="14"/>
    </row>
    <row r="142" spans="1:14">
      <c r="A142" s="14"/>
      <c r="B142" s="19"/>
      <c r="C142" s="20"/>
      <c r="D142" s="58"/>
      <c r="E142" s="58"/>
      <c r="F142" s="58"/>
      <c r="G142" s="58"/>
      <c r="H142" s="58"/>
      <c r="I142" s="58"/>
      <c r="J142" s="58"/>
      <c r="K142" s="58"/>
      <c r="L142" s="58"/>
      <c r="M142" s="21"/>
      <c r="N142" s="14"/>
    </row>
    <row r="143" spans="1:14">
      <c r="A143" s="14"/>
      <c r="B143" s="19"/>
      <c r="C143" s="20"/>
      <c r="D143" s="58"/>
      <c r="E143" s="58"/>
      <c r="F143" s="58"/>
      <c r="G143" s="58"/>
      <c r="H143" s="58"/>
      <c r="I143" s="58"/>
      <c r="J143" s="58"/>
      <c r="K143" s="58"/>
      <c r="L143" s="58"/>
      <c r="M143" s="21"/>
      <c r="N143" s="14"/>
    </row>
    <row r="144" spans="1:14">
      <c r="A144" s="14"/>
      <c r="B144" s="19"/>
      <c r="C144" s="20"/>
      <c r="D144" s="58"/>
      <c r="E144" s="58"/>
      <c r="F144" s="58"/>
      <c r="G144" s="58"/>
      <c r="H144" s="58"/>
      <c r="I144" s="58"/>
      <c r="J144" s="58"/>
      <c r="K144" s="58"/>
      <c r="L144" s="58"/>
      <c r="M144" s="21"/>
      <c r="N144" s="14"/>
    </row>
    <row r="145" spans="1:14">
      <c r="A145" s="14"/>
      <c r="B145" s="19"/>
      <c r="C145" s="20"/>
      <c r="D145" s="58"/>
      <c r="E145" s="58"/>
      <c r="F145" s="58"/>
      <c r="G145" s="58"/>
      <c r="H145" s="58"/>
      <c r="I145" s="58"/>
      <c r="J145" s="58"/>
      <c r="K145" s="58"/>
      <c r="L145" s="58"/>
      <c r="M145" s="21"/>
      <c r="N145" s="14"/>
    </row>
    <row r="146" spans="1:14">
      <c r="A146" s="14"/>
      <c r="B146" s="19"/>
      <c r="C146" s="20"/>
      <c r="D146" s="58"/>
      <c r="E146" s="58"/>
      <c r="F146" s="58"/>
      <c r="G146" s="58"/>
      <c r="H146" s="58"/>
      <c r="I146" s="58"/>
      <c r="J146" s="58"/>
      <c r="K146" s="58"/>
      <c r="L146" s="58"/>
      <c r="M146" s="21"/>
      <c r="N146" s="14"/>
    </row>
    <row r="147" spans="1:14">
      <c r="A147" s="14"/>
      <c r="B147" s="19"/>
      <c r="C147" s="20"/>
      <c r="D147" s="58"/>
      <c r="E147" s="58"/>
      <c r="F147" s="58"/>
      <c r="G147" s="58"/>
      <c r="H147" s="58"/>
      <c r="I147" s="58"/>
      <c r="J147" s="58"/>
      <c r="K147" s="58"/>
      <c r="L147" s="58"/>
      <c r="M147" s="21"/>
      <c r="N147" s="14"/>
    </row>
    <row r="148" spans="1:14">
      <c r="A148" s="14"/>
      <c r="B148" s="19"/>
      <c r="C148" s="20"/>
      <c r="D148" s="58"/>
      <c r="E148" s="58"/>
      <c r="F148" s="58"/>
      <c r="G148" s="58"/>
      <c r="H148" s="58"/>
      <c r="I148" s="58"/>
      <c r="J148" s="58"/>
      <c r="K148" s="58"/>
      <c r="L148" s="58"/>
      <c r="M148" s="21"/>
      <c r="N148" s="14"/>
    </row>
    <row r="149" spans="1:14">
      <c r="A149" s="14"/>
      <c r="B149" s="19"/>
      <c r="C149" s="20"/>
      <c r="D149" s="58"/>
      <c r="E149" s="58"/>
      <c r="F149" s="58"/>
      <c r="G149" s="58"/>
      <c r="H149" s="58"/>
      <c r="I149" s="58"/>
      <c r="J149" s="58"/>
      <c r="K149" s="58"/>
      <c r="L149" s="58"/>
      <c r="M149" s="21"/>
      <c r="N149" s="14"/>
    </row>
    <row r="150" spans="1:14">
      <c r="A150" s="14"/>
      <c r="B150" s="19"/>
      <c r="C150" s="20"/>
      <c r="D150" s="58"/>
      <c r="E150" s="58"/>
      <c r="F150" s="58"/>
      <c r="G150" s="58"/>
      <c r="H150" s="58"/>
      <c r="I150" s="58"/>
      <c r="J150" s="58"/>
      <c r="K150" s="58"/>
      <c r="L150" s="58"/>
      <c r="M150" s="21"/>
      <c r="N150" s="14"/>
    </row>
    <row r="151" spans="1:14">
      <c r="A151" s="14"/>
      <c r="B151" s="19"/>
      <c r="C151" s="20"/>
      <c r="D151" s="58"/>
      <c r="E151" s="58"/>
      <c r="F151" s="58"/>
      <c r="G151" s="58"/>
      <c r="H151" s="58"/>
      <c r="I151" s="58"/>
      <c r="J151" s="58"/>
      <c r="K151" s="58"/>
      <c r="L151" s="58"/>
      <c r="M151" s="21"/>
      <c r="N151" s="14"/>
    </row>
    <row r="152" spans="1:14">
      <c r="A152" s="14"/>
      <c r="B152" s="19"/>
      <c r="C152" s="20"/>
      <c r="D152" s="58"/>
      <c r="E152" s="58"/>
      <c r="F152" s="58"/>
      <c r="G152" s="58"/>
      <c r="H152" s="58"/>
      <c r="I152" s="58"/>
      <c r="J152" s="58"/>
      <c r="K152" s="58"/>
      <c r="L152" s="58"/>
      <c r="M152" s="21"/>
      <c r="N152" s="14"/>
    </row>
    <row r="153" spans="1:14">
      <c r="A153" s="14"/>
      <c r="B153" s="19"/>
      <c r="C153" s="20"/>
      <c r="D153" s="58"/>
      <c r="E153" s="58"/>
      <c r="F153" s="58"/>
      <c r="G153" s="58"/>
      <c r="H153" s="58"/>
      <c r="I153" s="58"/>
      <c r="J153" s="58"/>
      <c r="K153" s="58"/>
      <c r="L153" s="58"/>
      <c r="M153" s="21"/>
      <c r="N153" s="14"/>
    </row>
    <row r="154" spans="1:14">
      <c r="A154" s="14"/>
      <c r="B154" s="19"/>
      <c r="C154" s="20"/>
      <c r="D154" s="20"/>
      <c r="E154" s="20"/>
      <c r="F154" s="20"/>
      <c r="G154" s="20"/>
      <c r="H154" s="20"/>
      <c r="I154" s="20"/>
      <c r="J154" s="20"/>
      <c r="K154" s="20"/>
      <c r="L154" s="20"/>
      <c r="M154" s="21"/>
      <c r="N154" s="14"/>
    </row>
    <row r="155" spans="1:14">
      <c r="A155" s="14"/>
      <c r="B155" s="31"/>
      <c r="C155" s="32"/>
      <c r="D155" s="32"/>
      <c r="E155" s="32"/>
      <c r="F155" s="32"/>
      <c r="G155" s="32"/>
      <c r="H155" s="32"/>
      <c r="I155" s="32"/>
      <c r="J155" s="32"/>
      <c r="K155" s="32"/>
      <c r="L155" s="32"/>
      <c r="M155" s="33"/>
      <c r="N155" s="14"/>
    </row>
    <row r="156" spans="1:14">
      <c r="A156" s="14"/>
      <c r="B156" s="14"/>
      <c r="C156" s="14"/>
      <c r="D156" s="14"/>
      <c r="E156" s="14"/>
      <c r="F156" s="14"/>
      <c r="G156" s="14"/>
      <c r="H156" s="14"/>
      <c r="I156" s="14"/>
      <c r="J156" s="14"/>
      <c r="K156" s="14"/>
      <c r="L156" s="14"/>
      <c r="M156" s="14"/>
      <c r="N156" s="14"/>
    </row>
  </sheetData>
  <mergeCells count="11">
    <mergeCell ref="D3:E3"/>
    <mergeCell ref="D67:D68"/>
    <mergeCell ref="E67:E68"/>
    <mergeCell ref="F67:H67"/>
    <mergeCell ref="I67:J67"/>
    <mergeCell ref="I6:J6"/>
    <mergeCell ref="D42:D46"/>
    <mergeCell ref="D56:D60"/>
    <mergeCell ref="D6:D7"/>
    <mergeCell ref="E6:E7"/>
    <mergeCell ref="F6:H6"/>
  </mergeCells>
  <phoneticPr fontId="2"/>
  <conditionalFormatting sqref="I8:J12">
    <cfRule type="dataBar" priority="7">
      <dataBar>
        <cfvo type="num" val="0"/>
        <cfvo type="num" val="0.9"/>
        <color rgb="FFFF555A"/>
      </dataBar>
      <extLst>
        <ext xmlns:x14="http://schemas.microsoft.com/office/spreadsheetml/2009/9/main" uri="{B025F937-C7B1-47D3-B67F-A62EFF666E3E}">
          <x14:id>{706C306D-BF52-4D72-BB98-9F31F7B833A5}</x14:id>
        </ext>
      </extLst>
    </cfRule>
  </conditionalFormatting>
  <conditionalFormatting sqref="F42:J46">
    <cfRule type="dataBar" priority="5">
      <dataBar>
        <cfvo type="num" val="0"/>
        <cfvo type="num" val="0.75"/>
        <color rgb="FF008AEF"/>
      </dataBar>
      <extLst>
        <ext xmlns:x14="http://schemas.microsoft.com/office/spreadsheetml/2009/9/main" uri="{B025F937-C7B1-47D3-B67F-A62EFF666E3E}">
          <x14:id>{7F92F97B-27B4-40DE-AAF0-890395B2A9D0}</x14:id>
        </ext>
      </extLst>
    </cfRule>
  </conditionalFormatting>
  <conditionalFormatting sqref="F56:J60">
    <cfRule type="dataBar" priority="4">
      <dataBar>
        <cfvo type="num" val="0"/>
        <cfvo type="num" val="1"/>
        <color rgb="FF00B050"/>
      </dataBar>
      <extLst>
        <ext xmlns:x14="http://schemas.microsoft.com/office/spreadsheetml/2009/9/main" uri="{B025F937-C7B1-47D3-B67F-A62EFF666E3E}">
          <x14:id>{2F67010A-F46E-4F92-8A3D-769FAC5B375F}</x14:id>
        </ext>
      </extLst>
    </cfRule>
  </conditionalFormatting>
  <conditionalFormatting sqref="I69:J73">
    <cfRule type="dataBar" priority="3">
      <dataBar>
        <cfvo type="num" val="0"/>
        <cfvo type="num" val="1.4"/>
        <color rgb="FFFF555A"/>
      </dataBar>
      <extLst>
        <ext xmlns:x14="http://schemas.microsoft.com/office/spreadsheetml/2009/9/main" uri="{B025F937-C7B1-47D3-B67F-A62EFF666E3E}">
          <x14:id>{F0A1E349-46B8-431C-A0BF-843AB6040500}</x14:id>
        </ext>
      </extLst>
    </cfRule>
  </conditionalFormatting>
  <conditionalFormatting sqref="G77:G82 G88:G91">
    <cfRule type="dataBar" priority="2">
      <dataBar>
        <cfvo type="num" val="0"/>
        <cfvo type="num" val="0.9"/>
        <color rgb="FF63C384"/>
      </dataBar>
      <extLst>
        <ext xmlns:x14="http://schemas.microsoft.com/office/spreadsheetml/2009/9/main" uri="{B025F937-C7B1-47D3-B67F-A62EFF666E3E}">
          <x14:id>{CAF3F291-954D-4061-8314-48B42F84DA53}</x14:id>
        </ext>
      </extLst>
    </cfRule>
  </conditionalFormatting>
  <conditionalFormatting sqref="G86:G87">
    <cfRule type="dataBar" priority="1">
      <dataBar>
        <cfvo type="num" val="0"/>
        <cfvo type="num" val="0.9"/>
        <color rgb="FF63C384"/>
      </dataBar>
      <extLst>
        <ext xmlns:x14="http://schemas.microsoft.com/office/spreadsheetml/2009/9/main" uri="{B025F937-C7B1-47D3-B67F-A62EFF666E3E}">
          <x14:id>{A753BF2F-BC56-4115-8B96-AD8FA9A0CBE4}</x14:id>
        </ext>
      </extLst>
    </cfRule>
  </conditionalFormatting>
  <pageMargins left="0.51181102362204722" right="0.51181102362204722" top="0.74803149606299213" bottom="0.74803149606299213" header="0.31496062992125984" footer="0.31496062992125984"/>
  <pageSetup paperSize="9" orientation="landscape" r:id="rId1"/>
  <drawing r:id="rId2"/>
  <extLst>
    <ext xmlns:x14="http://schemas.microsoft.com/office/spreadsheetml/2009/9/main" uri="{78C0D931-6437-407d-A8EE-F0AAD7539E65}">
      <x14:conditionalFormattings>
        <x14:conditionalFormatting xmlns:xm="http://schemas.microsoft.com/office/excel/2006/main">
          <x14:cfRule type="dataBar" id="{706C306D-BF52-4D72-BB98-9F31F7B833A5}">
            <x14:dataBar minLength="0" maxLength="100" border="1" negativeBarBorderColorSameAsPositive="0">
              <x14:cfvo type="num">
                <xm:f>0</xm:f>
              </x14:cfvo>
              <x14:cfvo type="num">
                <xm:f>0.9</xm:f>
              </x14:cfvo>
              <x14:borderColor rgb="FFFF555A"/>
              <x14:negativeFillColor rgb="FFFF0000"/>
              <x14:negativeBorderColor rgb="FFFF0000"/>
              <x14:axisColor rgb="FF000000"/>
            </x14:dataBar>
          </x14:cfRule>
          <xm:sqref>I8:J12</xm:sqref>
        </x14:conditionalFormatting>
        <x14:conditionalFormatting xmlns:xm="http://schemas.microsoft.com/office/excel/2006/main">
          <x14:cfRule type="dataBar" id="{7F92F97B-27B4-40DE-AAF0-890395B2A9D0}">
            <x14:dataBar minLength="0" maxLength="100" border="1" negativeBarBorderColorSameAsPositive="0">
              <x14:cfvo type="num">
                <xm:f>0</xm:f>
              </x14:cfvo>
              <x14:cfvo type="num">
                <xm:f>0.75</xm:f>
              </x14:cfvo>
              <x14:borderColor rgb="FF008AEF"/>
              <x14:negativeFillColor rgb="FFFF0000"/>
              <x14:negativeBorderColor rgb="FFFF0000"/>
              <x14:axisColor rgb="FF000000"/>
            </x14:dataBar>
          </x14:cfRule>
          <xm:sqref>F42:J46</xm:sqref>
        </x14:conditionalFormatting>
        <x14:conditionalFormatting xmlns:xm="http://schemas.microsoft.com/office/excel/2006/main">
          <x14:cfRule type="dataBar" id="{2F67010A-F46E-4F92-8A3D-769FAC5B375F}">
            <x14:dataBar minLength="0" maxLength="100" border="1" negativeBarBorderColorSameAsPositive="0">
              <x14:cfvo type="num">
                <xm:f>0</xm:f>
              </x14:cfvo>
              <x14:cfvo type="num">
                <xm:f>1</xm:f>
              </x14:cfvo>
              <x14:borderColor theme="7" tint="-0.499984740745262"/>
              <x14:negativeFillColor rgb="FFFF0000"/>
              <x14:negativeBorderColor rgb="FFFF0000"/>
              <x14:axisColor rgb="FF000000"/>
            </x14:dataBar>
          </x14:cfRule>
          <xm:sqref>F56:J60</xm:sqref>
        </x14:conditionalFormatting>
        <x14:conditionalFormatting xmlns:xm="http://schemas.microsoft.com/office/excel/2006/main">
          <x14:cfRule type="dataBar" id="{F0A1E349-46B8-431C-A0BF-843AB6040500}">
            <x14:dataBar minLength="0" maxLength="100" border="1" negativeBarBorderColorSameAsPositive="0">
              <x14:cfvo type="num">
                <xm:f>0</xm:f>
              </x14:cfvo>
              <x14:cfvo type="num">
                <xm:f>1.4</xm:f>
              </x14:cfvo>
              <x14:borderColor rgb="FFFF555A"/>
              <x14:negativeFillColor rgb="FFFF0000"/>
              <x14:negativeBorderColor rgb="FFFF0000"/>
              <x14:axisColor rgb="FF000000"/>
            </x14:dataBar>
          </x14:cfRule>
          <xm:sqref>I69:J73</xm:sqref>
        </x14:conditionalFormatting>
        <x14:conditionalFormatting xmlns:xm="http://schemas.microsoft.com/office/excel/2006/main">
          <x14:cfRule type="dataBar" id="{CAF3F291-954D-4061-8314-48B42F84DA53}">
            <x14:dataBar minLength="0" maxLength="100" border="1" negativeBarBorderColorSameAsPositive="0">
              <x14:cfvo type="num">
                <xm:f>0</xm:f>
              </x14:cfvo>
              <x14:cfvo type="num">
                <xm:f>0.9</xm:f>
              </x14:cfvo>
              <x14:borderColor rgb="FF63C384"/>
              <x14:negativeFillColor rgb="FFFF0000"/>
              <x14:negativeBorderColor rgb="FFFF0000"/>
              <x14:axisColor rgb="FF000000"/>
            </x14:dataBar>
          </x14:cfRule>
          <xm:sqref>G77:G82 G88:G91</xm:sqref>
        </x14:conditionalFormatting>
        <x14:conditionalFormatting xmlns:xm="http://schemas.microsoft.com/office/excel/2006/main">
          <x14:cfRule type="dataBar" id="{A753BF2F-BC56-4115-8B96-AD8FA9A0CBE4}">
            <x14:dataBar minLength="0" maxLength="100" border="1" negativeBarBorderColorSameAsPositive="0">
              <x14:cfvo type="num">
                <xm:f>0</xm:f>
              </x14:cfvo>
              <x14:cfvo type="num">
                <xm:f>0.9</xm:f>
              </x14:cfvo>
              <x14:borderColor rgb="FF63C384"/>
              <x14:negativeFillColor rgb="FFFF0000"/>
              <x14:negativeBorderColor rgb="FFFF0000"/>
              <x14:axisColor rgb="FF000000"/>
            </x14:dataBar>
          </x14:cfRule>
          <xm:sqref>G86:G87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フォームの回答</vt:lpstr>
      <vt:lpstr>Sheet1</vt:lpstr>
      <vt:lpstr>整えたの</vt:lpstr>
      <vt:lpstr>整えたの!Print_Area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德田 隆義</dc:creator>
  <cp:lastModifiedBy>德田 隆義</cp:lastModifiedBy>
  <cp:lastPrinted>2025-01-20T09:26:17Z</cp:lastPrinted>
  <dcterms:modified xsi:type="dcterms:W3CDTF">2025-01-20T23:52:47Z</dcterms:modified>
</cp:coreProperties>
</file>