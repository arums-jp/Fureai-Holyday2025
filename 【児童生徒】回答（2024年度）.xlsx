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boe01\share\德田隆義の作業用フォルダ\■フレホリ分析報告用の素材\"/>
    </mc:Choice>
  </mc:AlternateContent>
  <bookViews>
    <workbookView xWindow="0" yWindow="0" windowWidth="16215" windowHeight="7200" activeTab="2"/>
  </bookViews>
  <sheets>
    <sheet name="フォームの回答" sheetId="1" r:id="rId1"/>
    <sheet name="Sheet1" sheetId="2" r:id="rId2"/>
    <sheet name="見せ方を変えたの" sheetId="3" r:id="rId3"/>
  </sheets>
  <definedNames>
    <definedName name="_xlnm.Print_Area" localSheetId="2">見せ方を変えたの!$C$3:$L$30,見せ方を変えたの!$C$34:$L$61,見せ方を変えたの!$C$65:$L$92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3" l="1"/>
  <c r="I25" i="3"/>
  <c r="I26" i="3"/>
  <c r="I27" i="3"/>
  <c r="J8" i="3"/>
  <c r="K8" i="3"/>
  <c r="J9" i="3"/>
  <c r="K9" i="3"/>
  <c r="J10" i="3"/>
  <c r="K10" i="3"/>
  <c r="J11" i="3"/>
  <c r="K11" i="3"/>
  <c r="J12" i="3"/>
  <c r="K12" i="3"/>
  <c r="J13" i="3"/>
  <c r="K13" i="3"/>
  <c r="J14" i="3"/>
  <c r="K14" i="3"/>
  <c r="J15" i="3"/>
  <c r="K15" i="3"/>
  <c r="J16" i="3"/>
  <c r="K16" i="3"/>
  <c r="J17" i="3"/>
  <c r="K17" i="3"/>
  <c r="F13" i="2" l="1"/>
  <c r="F15" i="2" s="1"/>
  <c r="F14" i="2"/>
  <c r="C2" i="1"/>
  <c r="C13" i="2" s="1"/>
  <c r="C3" i="1"/>
  <c r="C4" i="1"/>
  <c r="E13" i="2" s="1"/>
  <c r="C5" i="1"/>
  <c r="F4" i="2" s="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E14" i="2" l="1"/>
  <c r="D14" i="2"/>
  <c r="D13" i="2"/>
  <c r="D15" i="2" s="1"/>
  <c r="C14" i="2"/>
  <c r="G14" i="2" s="1"/>
  <c r="F17" i="2" s="1"/>
  <c r="J5" i="2"/>
  <c r="C5" i="2"/>
  <c r="E5" i="2"/>
  <c r="E4" i="2"/>
  <c r="C4" i="2"/>
  <c r="D5" i="2"/>
  <c r="D4" i="2"/>
  <c r="K5" i="2"/>
  <c r="K4" i="2"/>
  <c r="K7" i="2" s="1"/>
  <c r="M4" i="2"/>
  <c r="F7" i="2" s="1"/>
  <c r="J4" i="2"/>
  <c r="M5" i="2"/>
  <c r="I5" i="2"/>
  <c r="I8" i="2" s="1"/>
  <c r="I4" i="2"/>
  <c r="I7" i="2" s="1"/>
  <c r="H5" i="2"/>
  <c r="H8" i="2" s="1"/>
  <c r="H4" i="2"/>
  <c r="H7" i="2" s="1"/>
  <c r="G5" i="2"/>
  <c r="G8" i="2" s="1"/>
  <c r="G4" i="2"/>
  <c r="G7" i="2" s="1"/>
  <c r="F5" i="2"/>
  <c r="C17" i="2" l="1"/>
  <c r="E17" i="2"/>
  <c r="E15" i="2"/>
  <c r="G13" i="2"/>
  <c r="G15" i="2" s="1"/>
  <c r="D17" i="2"/>
  <c r="C15" i="2"/>
  <c r="J8" i="2"/>
  <c r="K8" i="2"/>
  <c r="D6" i="2"/>
  <c r="D7" i="2"/>
  <c r="D8" i="2"/>
  <c r="C16" i="2"/>
  <c r="C7" i="2"/>
  <c r="D16" i="2"/>
  <c r="E6" i="2"/>
  <c r="E7" i="2"/>
  <c r="E16" i="2"/>
  <c r="F6" i="2"/>
  <c r="F8" i="2"/>
  <c r="J6" i="2"/>
  <c r="J7" i="2"/>
  <c r="E8" i="2"/>
  <c r="F16" i="2"/>
  <c r="C8" i="2"/>
  <c r="H6" i="2"/>
  <c r="G6" i="2"/>
  <c r="I6" i="2"/>
  <c r="C6" i="2"/>
  <c r="L5" i="2"/>
  <c r="L8" i="2" s="1"/>
  <c r="M6" i="2"/>
  <c r="L4" i="2"/>
  <c r="K6" i="2"/>
  <c r="L6" i="2" l="1"/>
  <c r="L7" i="2"/>
</calcChain>
</file>

<file path=xl/sharedStrings.xml><?xml version="1.0" encoding="utf-8"?>
<sst xmlns="http://schemas.openxmlformats.org/spreadsheetml/2006/main" count="8767" uniqueCount="1699">
  <si>
    <t>タイムスタンプ</t>
  </si>
  <si>
    <t>問１　あなたは何年生ですか。</t>
  </si>
  <si>
    <t>問２　11月22日（ふれあいホリデー）はどのように過ごしましたか。</t>
  </si>
  <si>
    <t>問３　どのように感じましたか。</t>
  </si>
  <si>
    <t>問４　感想や、これからどうすればいいかを教えてください。</t>
  </si>
  <si>
    <t>中学校３年生</t>
  </si>
  <si>
    <t>家族と家で過ごした（かぞくといえですごした）</t>
  </si>
  <si>
    <t>よかった</t>
  </si>
  <si>
    <t>小学校２年生</t>
  </si>
  <si>
    <t>家族と一緒にイベントに参加した（かぞくといっしょにイベントにさんかした）</t>
  </si>
  <si>
    <t>とてもよかった</t>
  </si>
  <si>
    <t>小学校５年生</t>
  </si>
  <si>
    <t>家族と倉吉市内に出かけた（かぞくとくらよししないにでかけた）</t>
  </si>
  <si>
    <t>小学校１年生（いちねんせい）</t>
  </si>
  <si>
    <t>親戚や知り合いと過ごした（しんせきやしりあいとすごした）</t>
  </si>
  <si>
    <t>あまりよくなかった</t>
  </si>
  <si>
    <t>中学校１年生</t>
  </si>
  <si>
    <t>子どもだけで地域で過ごした（こどもだけでちいきですごした）</t>
  </si>
  <si>
    <t>中学校２年生</t>
  </si>
  <si>
    <t>子どもだけで家で過ごした（こどもだけでいえですごした）</t>
  </si>
  <si>
    <t>特にない</t>
  </si>
  <si>
    <t>小学校３年生</t>
  </si>
  <si>
    <t>児童館、放課後児童クラブなどで過ごした（じどうかん、ほうかごじどうクラブなどですごした）</t>
  </si>
  <si>
    <t>小学校６年生</t>
  </si>
  <si>
    <t>家族と倉吉市外に出かけた（かぞくとくらよししがいにでかけた）</t>
  </si>
  <si>
    <t>一人で過ごした</t>
  </si>
  <si>
    <t>休めるました</t>
  </si>
  <si>
    <t>一人はとてもいい</t>
  </si>
  <si>
    <t>図書館で勉強した</t>
  </si>
  <si>
    <t>期末テスト前だったため、触れ合うことを中心とするなら日をずらしてほしいと思った。</t>
  </si>
  <si>
    <t>子どもだけでイベントに参加した（こどもだけでイベントにさんかした）</t>
  </si>
  <si>
    <t xml:space="preserve">ボランティアに参加したけどすごく楽しかったです。
</t>
  </si>
  <si>
    <t>家族とふれあうことができた</t>
  </si>
  <si>
    <t>勉強した</t>
  </si>
  <si>
    <t>家族と過ごす</t>
  </si>
  <si>
    <t>とても楽しい時間を過ごせた。祖父母とも旅行を一緒にできて、美味しいものも食べれて良かった。</t>
  </si>
  <si>
    <t>もっと小学生と関われるボランティアを増やしてほしいです。</t>
  </si>
  <si>
    <t>勉強</t>
  </si>
  <si>
    <t>期末テストで忙しかった</t>
  </si>
  <si>
    <t>兄弟とおばあちゃんちに行った</t>
  </si>
  <si>
    <t>もっとたくさんあればいいなと思いました。</t>
  </si>
  <si>
    <t>性感染病や妊娠については気をつけようと思った。</t>
  </si>
  <si>
    <t>私は、イベントのボランティアに参加し小学生と交流しました。
普段関わることのできない小学生達と楽しくイベントで関わることのできて
とても良かったです！</t>
  </si>
  <si>
    <t>上井のボランティア</t>
  </si>
  <si>
    <t>ｄｘ；ぺおｆ−「えｐほｖぴｄｐｖ＠おｐｗｄｃ</t>
  </si>
  <si>
    <t>もっと増やせばいいと思います</t>
  </si>
  <si>
    <t>もっとふやせばいい</t>
  </si>
  <si>
    <t>覚えていない</t>
  </si>
  <si>
    <t>増やして</t>
  </si>
  <si>
    <t>今度は親とすごしてみたいです</t>
  </si>
  <si>
    <t>普段は仕事や学校で忙しくて家族全員が集まれなかったけどみんなでゲームとかできて良かったのでこれからもこういう時間を取りたいと思いました</t>
  </si>
  <si>
    <t>もっと増やすべき</t>
  </si>
  <si>
    <t>楽しかった</t>
  </si>
  <si>
    <t>小さい子供と関われて楽しかった</t>
  </si>
  <si>
    <t>親が仕事でいなかったから、親も休みにする</t>
  </si>
  <si>
    <t>いい祝日だと思った。</t>
  </si>
  <si>
    <t>わかりません</t>
  </si>
  <si>
    <t>期末に向けて勉強をした</t>
  </si>
  <si>
    <t>ふれあいを活発にするためにイベントを開く</t>
  </si>
  <si>
    <t>一人でいた</t>
  </si>
  <si>
    <t>もっと期間を伸ばしてほしい</t>
  </si>
  <si>
    <t>もっとほしい</t>
  </si>
  <si>
    <t>このような日をもっと増やしてほしいです</t>
  </si>
  <si>
    <t>とても良かった。</t>
  </si>
  <si>
    <t>おじいちゃんと一緒に昼ご飯を作りました。</t>
  </si>
  <si>
    <t>もうちょっと増やせばいいかな？と感じました。</t>
  </si>
  <si>
    <t>お勉強</t>
  </si>
  <si>
    <t>よくなかった</t>
  </si>
  <si>
    <t>休みは嬉しい</t>
  </si>
  <si>
    <t>テスト期間だったので、みっちり勉強できたし、せっかくホリデーだからおばあちゃんちで勉強して、おばあちゃんがたまにお菓子持ってきてくれてホリデーだなと思いました。</t>
  </si>
  <si>
    <t>これからも関わる習慣をつけていきたいです</t>
  </si>
  <si>
    <t>この休日で勉強ができた。毎年あっていい</t>
  </si>
  <si>
    <t>もっと増やしてほしい</t>
  </si>
  <si>
    <t>来年もあってほしい。保育園なども休みにしたらいいと思った。</t>
  </si>
  <si>
    <t>ゆっくりできて良かった。</t>
  </si>
  <si>
    <t>学校に行きたかった、これからも勉強する</t>
  </si>
  <si>
    <t>ゆっくり過ごすことができてリラックスできました。</t>
  </si>
  <si>
    <t>あそんだ</t>
  </si>
  <si>
    <t>もっと遊ぶ</t>
  </si>
  <si>
    <t>来年もあってほしい。</t>
  </si>
  <si>
    <t>家族と過ごして楽しかった</t>
  </si>
  <si>
    <t>家族と一緒に時間が過ごせてよかったです。</t>
  </si>
  <si>
    <t>ゲーム</t>
  </si>
  <si>
    <t>児童センターにボランティアをしに行った。</t>
  </si>
  <si>
    <t>これからも続けてほしいが、できれば高校生も対象にしてほしい</t>
  </si>
  <si>
    <t>おん</t>
  </si>
  <si>
    <t>ゲームしてました</t>
  </si>
  <si>
    <t>ゲーム楽しすぎた！</t>
  </si>
  <si>
    <t>テスト勉強ができて良かったです。</t>
  </si>
  <si>
    <t>休めて嬉しかった</t>
  </si>
  <si>
    <t>兄弟と仲を深めることができた</t>
  </si>
  <si>
    <t>友だちと遊んだ</t>
  </si>
  <si>
    <t>いい日だった。</t>
  </si>
  <si>
    <t>家族と喋る機会ができた</t>
  </si>
  <si>
    <t>テスト前以外にしてほしい</t>
  </si>
  <si>
    <t>いっしょにでかけて楽しかった</t>
  </si>
  <si>
    <t>休みでも家族が仕事だから触れ合うことがなかった。</t>
  </si>
  <si>
    <t>近くの祖父母の家で過ごした</t>
  </si>
  <si>
    <t>親が休みじゃなかったら意味がないと思う。</t>
  </si>
  <si>
    <t>最高でした</t>
  </si>
  <si>
    <t>寝た。</t>
  </si>
  <si>
    <t>寝る。</t>
  </si>
  <si>
    <t>家族と良い思い出をつくることができたので良かったです。</t>
  </si>
  <si>
    <t>家族ともっと関わりを増やしたいです</t>
  </si>
  <si>
    <t>すごく楽しかった。もっと増やしてほしい</t>
  </si>
  <si>
    <t>もっと休みがあってもいいと思う。</t>
  </si>
  <si>
    <t>もっと日にちがあったらもっと家族と過ごせる</t>
  </si>
  <si>
    <t>家族の時間が増えたので良かったです。</t>
  </si>
  <si>
    <t>良くする</t>
  </si>
  <si>
    <t>もっと日にちを増やしてほしい月1で開催してほしい</t>
  </si>
  <si>
    <t>楽しかった。</t>
  </si>
  <si>
    <t>もっとふれあいホリデーを増やしてほしいです。</t>
  </si>
  <si>
    <t>ない</t>
  </si>
  <si>
    <t>もっと家族の時間を増やすべきだと思う</t>
  </si>
  <si>
    <t>一週間にしてもいいと思ったり思わなかったり</t>
  </si>
  <si>
    <t>もっとふれあいデーを増やすべきだと思います。</t>
  </si>
  <si>
    <t>友達と遊んだり、ピアノを一緒に引いたり、テスト勉強をした</t>
  </si>
  <si>
    <t>家で過ごすことができた</t>
  </si>
  <si>
    <t>やめずにこのまま続けてください。</t>
  </si>
  <si>
    <t>いつも通り</t>
  </si>
  <si>
    <t>家族と遊んだりしたい</t>
  </si>
  <si>
    <t>友達と遊んだ</t>
  </si>
  <si>
    <t>もっと小中学校の休みを増やそう</t>
  </si>
  <si>
    <t>家族と友達と一緒に倉吉市外に出かけた</t>
  </si>
  <si>
    <t>テスト期間じゃない週にしてほしい</t>
  </si>
  <si>
    <t>親が休みにならないので家族のふれあいを目的なら、親の休みがあったほうがいいと思いました。</t>
  </si>
  <si>
    <t>最もふれあいホリデーを入れてほしい</t>
  </si>
  <si>
    <t>もっともっと増やしてほしい一日じゃ足りない</t>
  </si>
  <si>
    <t>わからない</t>
  </si>
  <si>
    <t>いつもクラブ活動が大変だから、一日ゆっくり家で家族と一生に過ごすことができた</t>
  </si>
  <si>
    <t>一週間家族と過ごしたい</t>
  </si>
  <si>
    <t>友達と一緒に遊んだ</t>
  </si>
  <si>
    <t>毎週３連休にしてほしいし、ふれあいホリデーは毎月いる。</t>
  </si>
  <si>
    <t>これからもふれあいホリデーがあってほしい</t>
  </si>
  <si>
    <t>続ける</t>
  </si>
  <si>
    <t>これからも続ければいいともう</t>
  </si>
  <si>
    <t>これからも続ければいいと思う</t>
  </si>
  <si>
    <t>たくさん寝れた</t>
  </si>
  <si>
    <t>来年もする</t>
  </si>
  <si>
    <t>楽しかったので来年もほしいです</t>
  </si>
  <si>
    <t>これからも続ける</t>
  </si>
  <si>
    <t>スポーツ</t>
  </si>
  <si>
    <t>遊んだ</t>
  </si>
  <si>
    <t>楽しかったし、とてもいい休息になったのでこれからも増やしてほしいです。</t>
  </si>
  <si>
    <t>とても充実することができて良かったし、しっかり家でも勉強することができてとても良かったです。あと1日増やしてほしいです。</t>
  </si>
  <si>
    <t>妹と遊べて楽しかったです。</t>
  </si>
  <si>
    <t>期末テスト前はやめてほしいと思った。</t>
  </si>
  <si>
    <t>休日はあるだけ嬉しい</t>
  </si>
  <si>
    <t>中学校では学校の期末テスト期間と被ってしまい、家族とのふれあいを楽しむ余裕がなかった。日付を調整すれば、中学生も楽しい時間を過ごせるようになると思う。</t>
  </si>
  <si>
    <t>テスト期間で勉強もできたから来年もほしい</t>
  </si>
  <si>
    <t>ゆっくりやすむことができた。もう少しふれあいホリデーのような休みを増やしてほしいです。</t>
  </si>
  <si>
    <t>テスト期間じゃないときに休みにしてほしかった。2,3日はほしいです</t>
  </si>
  <si>
    <t xml:space="preserve">ふれあいホリデーをこれからも続けていき、家族との親近感を再発見できるようにする。
</t>
  </si>
  <si>
    <t>子どもが休むことができたけど親は仕事だったので家族で何処かにいったりはできなかったけど休むことができてよかった。兄弟での休みができてよかった</t>
  </si>
  <si>
    <t>勉強をした</t>
  </si>
  <si>
    <t>いい休みたった</t>
  </si>
  <si>
    <t>いいと思った</t>
  </si>
  <si>
    <t xml:space="preserve">楽しかった
</t>
  </si>
  <si>
    <t>家族との時間を増やして大切にする</t>
  </si>
  <si>
    <t>たのしくすごす</t>
  </si>
  <si>
    <t>ボランティアに行ってた</t>
  </si>
  <si>
    <t>休日が増えて嬉しかったです。</t>
  </si>
  <si>
    <t>休日が取れるのがありがたかった。</t>
  </si>
  <si>
    <t>家で一人で勉強をしていた。</t>
  </si>
  <si>
    <t>年に何回かふれあいホリデーをしてみる</t>
  </si>
  <si>
    <t>続けてほしい</t>
  </si>
  <si>
    <t>テスト前を避ける</t>
  </si>
  <si>
    <t>家族と充実した一日になった。</t>
  </si>
  <si>
    <t>受験勉強</t>
  </si>
  <si>
    <t>素晴らしかったしふやしてほしい</t>
  </si>
  <si>
    <t>いい休日でした。</t>
  </si>
  <si>
    <t>休みでゆっくりできて楽しかった</t>
  </si>
  <si>
    <t>勉強していた</t>
  </si>
  <si>
    <t>もっと休みを増やしたほうがいい</t>
  </si>
  <si>
    <t>しらない</t>
  </si>
  <si>
    <t>また、休みを増やしてほしい。</t>
  </si>
  <si>
    <t>このまま続ける</t>
  </si>
  <si>
    <t>楽しく過ごす</t>
  </si>
  <si>
    <t>いつもは親と出かけることがあまりなかったけど、お出かけでいろんな話とか遊べて良かったです</t>
  </si>
  <si>
    <t>よかった。</t>
  </si>
  <si>
    <t>色んな人と関わる</t>
  </si>
  <si>
    <t>一人でテスト課題をした</t>
  </si>
  <si>
    <t>勉強が捗った</t>
  </si>
  <si>
    <t>小学生と関わる機会が少ないのでいい経験になりました。</t>
  </si>
  <si>
    <t>児童館のボランティアをしていた。</t>
  </si>
  <si>
    <t>子どもたちと触れ合えたし、楽しく過ごすことができた。</t>
  </si>
  <si>
    <t>家族とお出かけは忙しくてあまりできないので、お出かけができて嬉しかったし、楽しかったです。</t>
  </si>
  <si>
    <t>家で勉強ができた。　このような機会をふやすといいと思った</t>
  </si>
  <si>
    <t>家族とふれあえることができていいと思いました。</t>
  </si>
  <si>
    <t>家にいる時間を増やす</t>
  </si>
  <si>
    <t>勉強しました。</t>
  </si>
  <si>
    <t xml:space="preserve">とても、自主勉強ができました。
</t>
  </si>
  <si>
    <t>小学生と触れ合えてよかった</t>
  </si>
  <si>
    <t>たくさんの小学生が来てくれて中学生も一緒に楽しめました。</t>
  </si>
  <si>
    <t>遊ぶ</t>
  </si>
  <si>
    <t>ボランティアに参加した</t>
  </si>
  <si>
    <t>勉強をいっぱいしたいのでこれからもこういう休みの日を増やしてほしいです</t>
  </si>
  <si>
    <t>もう少し競技のバリエーションを増やしたほうがいい</t>
  </si>
  <si>
    <t>これから家族とたくさん過ごしたいです。</t>
  </si>
  <si>
    <t>家族と過ごせる時間が増えた。こういう時間を増やしてほしいです</t>
  </si>
  <si>
    <t>家にいた</t>
  </si>
  <si>
    <t>これからもつずけてほしいです</t>
  </si>
  <si>
    <t>友達と遊んだ。</t>
  </si>
  <si>
    <t>友達と遊べてよかった。</t>
  </si>
  <si>
    <t>ボランティア</t>
  </si>
  <si>
    <t>いい休日になった</t>
  </si>
  <si>
    <t>ふれあいホリデーのおかげでテスト勉強が出来ました。</t>
  </si>
  <si>
    <t>引き続きやってほしい。何なら1日増やしてほしい。</t>
  </si>
  <si>
    <t>家でゆっくり過ごせたのでよかったです。</t>
  </si>
  <si>
    <t>たのしかったーーーーー</t>
  </si>
  <si>
    <t>ありがとうと伝えたい</t>
  </si>
  <si>
    <t>もっとふやす</t>
  </si>
  <si>
    <t>ボランティアした</t>
  </si>
  <si>
    <t>小学生と遊ぶの楽しかった</t>
  </si>
  <si>
    <t>ダラダラとした、無駄な時間が多かったので、やることをしっかりやりたい。</t>
  </si>
  <si>
    <t>たくさん中学三年生も来てくれたし、同じ中学校なのに話したことない子友話す機会になって楽しかったです。自分が運営して、小学生にたのしんでもらえたので良かったです。</t>
  </si>
  <si>
    <t>とてもよかったもっとふやしてほいしい</t>
  </si>
  <si>
    <t>担当の小学生の子と、一緒に楽しめたので良かったです。</t>
  </si>
  <si>
    <t>こういう休日は、増やしていってほしいと思いました</t>
  </si>
  <si>
    <t>家族の人に用事があり、兄妹以外の家族とはあまり過ごす事ができませんでした。</t>
  </si>
  <si>
    <t>テスト勉強をした。</t>
  </si>
  <si>
    <t>小学校と中学校の参観日やマラソン大会が連日していたため、親が続けて休むのは難しかったそうです。そのため、連続しない日程であったら良くなると思いました。</t>
  </si>
  <si>
    <t>これからもあればいいと思う</t>
  </si>
  <si>
    <t>ともだちとあそびにいった</t>
  </si>
  <si>
    <t>かぞくといっしょにすごす</t>
  </si>
  <si>
    <t>親といる時間を大切にしていきたいです</t>
  </si>
  <si>
    <t>これからも続けたほうがいいとおもいます</t>
  </si>
  <si>
    <t>もっとふれあいホリデーを増やしましょう。</t>
  </si>
  <si>
    <t>このままふれあいホリデーを続けてほしい。</t>
  </si>
  <si>
    <t>小学生のイベントのボランティア</t>
  </si>
  <si>
    <t>このような祝日を増やしたらいいと思う</t>
  </si>
  <si>
    <t>イベントをもっと楽しんでできるように大型なイベントを作る！！！！！！！！！！！！</t>
  </si>
  <si>
    <t>年に二回あればいいと思います。</t>
  </si>
  <si>
    <t>あったほうがいいです</t>
  </si>
  <si>
    <t>来年もしてほしい</t>
  </si>
  <si>
    <t>なし</t>
  </si>
  <si>
    <t>中学校や小学校だけ休んでも親が休めなかったら意味ないと思いました。</t>
  </si>
  <si>
    <t>おばあちゃんの家</t>
  </si>
  <si>
    <t xml:space="preserve">これからもあってほし
</t>
  </si>
  <si>
    <t>たのしかった</t>
  </si>
  <si>
    <t>もっと家族と話していきたい。</t>
  </si>
  <si>
    <t>子供だけで過ごせてよかったです。</t>
  </si>
  <si>
    <t>遊べてよかった。</t>
  </si>
  <si>
    <t>友達といっしょに遊んだ</t>
  </si>
  <si>
    <t>楽しかったです</t>
  </si>
  <si>
    <t>休みを増やしてほしい</t>
  </si>
  <si>
    <t>上井公民館のボランティアに参加した</t>
  </si>
  <si>
    <t xml:space="preserve">家族と過ごしたかった…けどボランティアにで子どもたちが喜んでくれて良かった( ^ｖ^ ) </t>
  </si>
  <si>
    <t>とてもたのしかった</t>
  </si>
  <si>
    <t>いいと思う</t>
  </si>
  <si>
    <t>沢山の人と関わり合いたいです</t>
  </si>
  <si>
    <t>もっと休みたい</t>
  </si>
  <si>
    <t>おばあちゃんちに行った。</t>
  </si>
  <si>
    <t>しっかりお手伝いできました。</t>
  </si>
  <si>
    <t>家族との仲がとても深まってとても充実した日になったのでふれあいホリデーを増やしてほしい。</t>
  </si>
  <si>
    <t>２日間にする</t>
  </si>
  <si>
    <t>親が仕事だからどこにも行けなかったけど友達と遊べてよかった</t>
  </si>
  <si>
    <t>家族と仲良くお出かけなどができたのでこれからもあったほうがいいと思いました。</t>
  </si>
  <si>
    <t>ゲーム,friends</t>
  </si>
  <si>
    <t>もっと休日を増やしてほしい</t>
  </si>
  <si>
    <t>ふれあいホリデーかみ</t>
  </si>
  <si>
    <t>家族と過ごす（もっと）</t>
  </si>
  <si>
    <t>友達と勉強しに行ってました</t>
  </si>
  <si>
    <t>休みがもっとあったほうがいいと思う😊</t>
  </si>
  <si>
    <t>ふれあいホリデーは家族と過ごす時間を設けるためと聞いたのですが平日は流石に無理だと思った。できればそうゆうかつどうは親の意見も聞いてやったらいいと思いました。</t>
  </si>
  <si>
    <t>親が仕事なのに子供だけやすみは楽しくなかった</t>
  </si>
  <si>
    <t>猫とたわむれたい</t>
  </si>
  <si>
    <t>平日が休みになるのはいいけど家族は仕事だったからそんなに出かけれなかった</t>
  </si>
  <si>
    <t>めっっっちゃくちゃたのしくて、夢のような世界観だった。
毎年２回あったらいいのになと思った。</t>
  </si>
  <si>
    <t>ゆったりと過ごせた</t>
  </si>
  <si>
    <t>中学校や小学校が、休みでも親が仕事とかで一緒に入れなかったら意味ないと思いました。</t>
  </si>
  <si>
    <t>楽しかったです。</t>
  </si>
  <si>
    <t>友達と遊んだ楽しかった。</t>
  </si>
  <si>
    <t>親が仕事だった</t>
  </si>
  <si>
    <t>次は参加してみたい</t>
  </si>
  <si>
    <t>学童のイベントに行った。</t>
  </si>
  <si>
    <t>火おこしや箸作りが楽しかった。</t>
  </si>
  <si>
    <t xml:space="preserve">積極的にイベントに参加したい
</t>
  </si>
  <si>
    <t>来年もあったほうが良い</t>
  </si>
  <si>
    <t>来年もあった方が良い</t>
  </si>
  <si>
    <t>来年もあった方がいい</t>
  </si>
  <si>
    <t>親がいる時にやった方が良い</t>
  </si>
  <si>
    <t>ポプラで『和菓子作り』をして楽しかったです
来年も　ふれあいホリデー　があったほうが良いと思います</t>
  </si>
  <si>
    <t>家族と楽しい時間を過ごせて良かった</t>
  </si>
  <si>
    <t>子ども会のイベントに家族で参加した。</t>
  </si>
  <si>
    <t>来年もまたあってほしい</t>
  </si>
  <si>
    <t>中学生たちと遊んで楽しかった</t>
  </si>
  <si>
    <t>家族がみんな休みというわけではないので、なかなかイベントに参加できなかったです。ふれあいホリデーは来年以降はなくなってもいいかなと思いました。</t>
  </si>
  <si>
    <t>来年もまたしてほしいです。</t>
  </si>
  <si>
    <t>小学校４年生</t>
  </si>
  <si>
    <t>来年もしたいです。</t>
  </si>
  <si>
    <t>良い三連休を過ごすことができました。</t>
  </si>
  <si>
    <t xml:space="preserve">ふれあいコリデーを増やして欲しい
</t>
  </si>
  <si>
    <t>お母さんの誕生日なのでお手伝いをたくさんした</t>
  </si>
  <si>
    <t>またやりたい</t>
  </si>
  <si>
    <t xml:space="preserve">たのしかったです。
</t>
  </si>
  <si>
    <t>とても良かった</t>
  </si>
  <si>
    <t>またあったらいいなとおもいました。</t>
  </si>
  <si>
    <t>次は、家族だけで、いたいです</t>
  </si>
  <si>
    <t>たのしかった。</t>
  </si>
  <si>
    <t>とってもたのしかったです。</t>
  </si>
  <si>
    <t>またあってほしい</t>
  </si>
  <si>
    <t xml:space="preserve">たのしった。
</t>
  </si>
  <si>
    <t>ゆっくり休めて楽しく過ごせた。</t>
  </si>
  <si>
    <t>誕生日</t>
  </si>
  <si>
    <t xml:space="preserve">すごく楽しかった
</t>
  </si>
  <si>
    <t>お母さんと、いろんなところに行けて良かったです。また行きたいです。</t>
  </si>
  <si>
    <t>楽しかった😀</t>
  </si>
  <si>
    <t>かぞくともっと、あそびたかった。</t>
  </si>
  <si>
    <t>家族ですごせていいお休みだった。</t>
  </si>
  <si>
    <t>とても」楽しかったです。</t>
  </si>
  <si>
    <t xml:space="preserve">ふれあいホリデーがはじめ手だったけどたのしかったです
</t>
  </si>
  <si>
    <t>とっきゅうでんしゃにのってたのしかったです</t>
  </si>
  <si>
    <t>遊んだりして楽しかった</t>
  </si>
  <si>
    <t>かぞくともっとなかよくあそびたい</t>
  </si>
  <si>
    <t>フレアイホルデーのおかげで楽しい1日になりました</t>
  </si>
  <si>
    <t>じどうかんまつりでいろんなおもちゃを、つくって、たのしかったです。</t>
  </si>
  <si>
    <t>ゆっくりすごせました。</t>
  </si>
  <si>
    <t>親が休みじゃないと家族で過ごせない</t>
  </si>
  <si>
    <t>たのしくできた。またあったらいいです。</t>
  </si>
  <si>
    <t>ぴざをたべました。とってもおいしかったです。</t>
  </si>
  <si>
    <t>ともだちとピザ作りをして楽しかったです。</t>
  </si>
  <si>
    <t>またあったらいいです。</t>
  </si>
  <si>
    <t>またふれあいほりでーがあったらいいな</t>
  </si>
  <si>
    <t>らいねんもふれあいほるりいあたっらいいな</t>
  </si>
  <si>
    <t>とてもたのしかったです</t>
  </si>
  <si>
    <t xml:space="preserve">たのしかった
</t>
  </si>
  <si>
    <t>学童でピザ作りをして楽しかったです</t>
  </si>
  <si>
    <t>そうじをしましたとてもたのしかたです</t>
  </si>
  <si>
    <t>習い事</t>
  </si>
  <si>
    <t>あって良かったと思った。これからもあってほしい</t>
  </si>
  <si>
    <t>ふれあいホリデーをもっと増やす</t>
  </si>
  <si>
    <t>弟たちと休めて良かった</t>
  </si>
  <si>
    <t>たくさん家の人と話す</t>
  </si>
  <si>
    <t>ボランティアなどの募集があり、積極的にイベントに参加することができた</t>
  </si>
  <si>
    <t>社会全体での祝日としてやるべきだと思う</t>
  </si>
  <si>
    <t xml:space="preserve"> </t>
  </si>
  <si>
    <t>ゆっくりできた</t>
  </si>
  <si>
    <t>もっと休みがほしいです</t>
  </si>
  <si>
    <t>めっちゃってほしいｖ</t>
  </si>
  <si>
    <t>毎月したい</t>
  </si>
  <si>
    <t>家族と過ごしていったり友達と遊んだりすればいいと思う</t>
  </si>
  <si>
    <t>毎日楽しい生活を続ける</t>
  </si>
  <si>
    <t>もっと休み増やしてほしい</t>
  </si>
  <si>
    <t>テスト期間だったのでたくさん勉強ができてよかったです。</t>
  </si>
  <si>
    <t>これからも続けてほしい。</t>
  </si>
  <si>
    <t>イベントのボランティアに参加した。</t>
  </si>
  <si>
    <t>毎年ふれあいホリデーがあってほしい。</t>
  </si>
  <si>
    <t>またしたい</t>
  </si>
  <si>
    <t>これからも参加していきたいです</t>
  </si>
  <si>
    <t>家の人は一緒できなかったけど一人でイベントに参加しました。</t>
  </si>
  <si>
    <t>ふれあうことができませんでした。</t>
  </si>
  <si>
    <t>親と触れ合う行事がないのであれば良いです。</t>
  </si>
  <si>
    <t>家の人とはふれあえなかったけど、イベントは楽しかったです。</t>
  </si>
  <si>
    <t>七五三に行った。（父と母の祖父母と）</t>
  </si>
  <si>
    <t xml:space="preserve">妹を笑わせるのが、大変でした。
</t>
  </si>
  <si>
    <t>お家の人は先生でお休みでは無かったので中部地区全域ふれあいほりでーにしてほしいです。</t>
  </si>
  <si>
    <t>休みや休みじゃなくても触れ合いたいです</t>
  </si>
  <si>
    <t>お父さんとお兄ちゃんとお姉ちゃんは、仕事でお母さんと一緒に過ごした。</t>
  </si>
  <si>
    <t>来年は家族と一緒に過ごしたい。</t>
  </si>
  <si>
    <t>家族とふれあえたのでまた来年もふれあいたいです。</t>
  </si>
  <si>
    <t>私はあまり家族とふれ合えなかったので、来年からはたくさんイベントがあるとうれしいです。</t>
  </si>
  <si>
    <t>おじいちゃんが心臓が弱くてもう長くは生きれないと言われてていたから会いに行けてよかった。これからは家族で楽しめイベントを作ってくれると嬉しいです。</t>
  </si>
  <si>
    <t>いえのひととふれあいたい</t>
  </si>
  <si>
    <t>家族と触れ合えなかったから触れ合えるようになりたい</t>
  </si>
  <si>
    <t>親と触れ合うイベントがあればうれしいです。</t>
  </si>
  <si>
    <t>お父さんとお母さんは　ふしみやの仕事だったので、大人はいなかった．触れ合えずに、ずっとテレビを見ていた．</t>
  </si>
  <si>
    <t>ふれあえなかったでもしんせきと過ごした</t>
  </si>
  <si>
    <t>今までは、家族と一緒に過ごす時間が少なかったけど、ふれあいホリデーがあって、一緒に過ごす時間が出来て良かったです。</t>
  </si>
  <si>
    <t>来年はもし家族がいたら、倉吉じゃないとこらに行きたいです。もっと家族の時間を増やしたいです。いとこなどとも遊びたいです。とても楽しかったです。</t>
  </si>
  <si>
    <t>とても楽しくできたのでこれからは家族と少しでもふれあう時間をつくる</t>
  </si>
  <si>
    <t>学童ですごした</t>
  </si>
  <si>
    <t>　　　　　　　</t>
  </si>
  <si>
    <t>家族と、仲良く暮らしたいなと、思いました。</t>
  </si>
  <si>
    <t>また家族とゆっくり過ごしたいな。と思いました</t>
  </si>
  <si>
    <t>みんなと楽しくいたい</t>
  </si>
  <si>
    <t>とても楽しかった</t>
  </si>
  <si>
    <t>家族と外食した</t>
  </si>
  <si>
    <t>イベントをふやしてほしい</t>
  </si>
  <si>
    <t>学童でも楽しかったです。</t>
  </si>
  <si>
    <t>ふれあいホリデーで、家族といっしょに過ごせてうれしかったです。</t>
  </si>
  <si>
    <t>船上山へいった</t>
  </si>
  <si>
    <t>頭がいたいときに先生にいいにくいときがある</t>
  </si>
  <si>
    <t>特にいつもと変わらなかった</t>
  </si>
  <si>
    <t>これからも休みにしてください</t>
  </si>
  <si>
    <t>猫をかまってあげたりして暮らしたり母さんと少しでもちゃんと話した</t>
  </si>
  <si>
    <t>家族と一緒に過ごせて楽しかった</t>
  </si>
  <si>
    <t>こらからも、楽しく過ごしていきたい</t>
  </si>
  <si>
    <t>家族は仕事だから、あまり意味がないと思った。</t>
  </si>
  <si>
    <t>家族と一緒に散歩などができてよかったです、これからも家族と過ごす時間を大切にしていきたいです。</t>
  </si>
  <si>
    <t>休みのおかげでふれあいホリデーには行けなかったけど子猫のワクチンを早く打ちに行けました</t>
  </si>
  <si>
    <t>たくさん家族や友達と関わり楽しくくらしたいです</t>
  </si>
  <si>
    <t>家族や友達と触れ合いながら過ごしたいです</t>
  </si>
  <si>
    <t>次は、家族で過ごしたいです。</t>
  </si>
  <si>
    <t>これからも家族や友達と遊んでいきたいです。</t>
  </si>
  <si>
    <t>セノビックバーがもらえて嬉しかった。
防災についても学べて良かった。
これからもふれあいホリデーを続けてほしい。</t>
  </si>
  <si>
    <t>親が会社でいなかったので、あまり関わる事ができなかった。</t>
  </si>
  <si>
    <t>家族は仕事などで一緒に過ごすことが難しかったから、
休みでなくてもよかったが、イベントに行けてよかった。</t>
  </si>
  <si>
    <t>あまりしたことないeスポーツをできてよかった防災グッズを作れてよかったです！</t>
  </si>
  <si>
    <t>これからは親戚などとも触れ合っていきたいです。</t>
  </si>
  <si>
    <t>バスケのゲームをした練習は自分が勝ったけど本番は負けた楽しかった</t>
  </si>
  <si>
    <t>イベントに積極的に参加したいです</t>
  </si>
  <si>
    <t>普段の生活とあまり変わったことはなかったけど、家族と1日を過ごせてよかった。</t>
  </si>
  <si>
    <t>犬とも遊んだ。ふれあいホリデーもっと増やそう！</t>
  </si>
  <si>
    <t>もっと家族と過ごそうと思った。</t>
  </si>
  <si>
    <t>森の幼稚園　キンダガーデン</t>
  </si>
  <si>
    <t>協力して11月22日過ごせた。</t>
  </si>
  <si>
    <t>家族や犬、漫画とふれあいとてもよかった　月に1回欲しいですね</t>
  </si>
  <si>
    <t>　ベんきょうをがんばればいい</t>
  </si>
  <si>
    <t>家族のために行動したい</t>
  </si>
  <si>
    <t>家族でイベントに参加したい</t>
  </si>
  <si>
    <t>家の人たちといっしょに鳥取県にいってたのしかった。</t>
  </si>
  <si>
    <t>イベントに行けなかったのでこれからは､できるだけ行きたいです。</t>
  </si>
  <si>
    <t>家族とイベントにさんかするのが楽しかったです。　これからも家族と遊びたいです。</t>
  </si>
  <si>
    <t>家の人はいなかったけど、でもお姉ちゃんとケンカをせずにすごせてよかった</t>
  </si>
  <si>
    <t>保護しせつで職人と過ごした</t>
  </si>
  <si>
    <t>ゲームができて良かったです。</t>
  </si>
  <si>
    <t>ふれあいホリデーでお母さんはいなかったけど楽しかった</t>
  </si>
  <si>
    <t>ふれあいホリデーで幼稚園の友だちと一緒にイベントに、行けて楽しかったです。</t>
  </si>
  <si>
    <t>ふれあいホリデーたのしかったです。</t>
  </si>
  <si>
    <t>まいにちをたのしくすごす。</t>
  </si>
  <si>
    <t>ピザが美味しかった。</t>
  </si>
  <si>
    <t>ふれあいホリデーで友だちとたくさん遊べて楽しかったです。</t>
  </si>
  <si>
    <t xml:space="preserve">けいせんかくに行ってきて温泉♨️で、たのしくできました。
</t>
  </si>
  <si>
    <t>人と遊んだ</t>
  </si>
  <si>
    <t>またふれあいホリデーをしたいです。</t>
  </si>
  <si>
    <t>イベントに、いきました。イベントのないようは、防災ボトルをつくった</t>
  </si>
  <si>
    <t>船上山へ学童のみんなでいった</t>
  </si>
  <si>
    <t xml:space="preserve">頭がいたいとき先生にいいにくいときがある
</t>
  </si>
  <si>
    <t>おとうとのようちえんですごした</t>
  </si>
  <si>
    <t>またふれあいほりでえがあってほしいです</t>
  </si>
  <si>
    <t>平日や休日は、部活などで家族との時間がないので、もっとこうゆう日を増やして欲しい</t>
  </si>
  <si>
    <t>家族と触れ合えてよかったです</t>
  </si>
  <si>
    <t>休みがあってうれしかったです。</t>
  </si>
  <si>
    <t>イベントが楽しかったです。</t>
  </si>
  <si>
    <t>たのしかったしうれしかったです。</t>
  </si>
  <si>
    <t>さみしかったです</t>
  </si>
  <si>
    <t>とっとりにいけて、よかったです</t>
  </si>
  <si>
    <t>かぞくといつものやすみよりもふれあえてよかったです。</t>
  </si>
  <si>
    <t>おぼえていない</t>
  </si>
  <si>
    <t>がくどうに1日じゅういたけど、楽しっかたです。</t>
  </si>
  <si>
    <t>友だちと学校で話したかったです。</t>
  </si>
  <si>
    <t>家族と触れ合えてよかった</t>
  </si>
  <si>
    <t>おばあちゃんといた</t>
  </si>
  <si>
    <t>楽しかったしうれしかったです。</t>
  </si>
  <si>
    <t>おやすみで良かったし、楽しくおうちで過ごせたので良かったです。</t>
  </si>
  <si>
    <t>おじいちゃんとおばあちゃんといとことあそんだ</t>
  </si>
  <si>
    <t>みんなと楽しくあそべたのでまたみんなとまる一日あそびたいです</t>
  </si>
  <si>
    <t>お母さんといっしょにピザを食べたのが良かった</t>
  </si>
  <si>
    <t>学校うにいたかったです。</t>
  </si>
  <si>
    <t>かぞくでいろんなとこであそべてうれしかったです</t>
  </si>
  <si>
    <t>家族と触れ合えれてよかったです</t>
  </si>
  <si>
    <t>・・・・・・</t>
  </si>
  <si>
    <t>あるいて、いとこんちにいって、とてもたのしかったです。</t>
  </si>
  <si>
    <t>これからも続けてほしいです。</t>
  </si>
  <si>
    <t>毎週金曜日をふれあいホリデーにしてほしい</t>
  </si>
  <si>
    <t>よかったです</t>
  </si>
  <si>
    <t>めっちゃゆっくりできた</t>
  </si>
  <si>
    <t>親の仕事も休みにしてほしい。</t>
  </si>
  <si>
    <t>病院、散髪</t>
  </si>
  <si>
    <t>もっと休みを増やしてほしい</t>
  </si>
  <si>
    <t>毎週行ってください</t>
  </si>
  <si>
    <t>忙しい毎日にこういう休みがくるのが有り難い
でも平日なので親が仕事で家には兄弟（姉妹）しかいない</t>
  </si>
  <si>
    <t>家族と話す機会が増えて良かった。</t>
  </si>
  <si>
    <t>祝日的なものにする</t>
  </si>
  <si>
    <t>毎週作ろう</t>
  </si>
  <si>
    <t>とても楽しかったです。</t>
  </si>
  <si>
    <t>毎週ランダムで休みにしてください</t>
  </si>
  <si>
    <t>よきかな</t>
  </si>
  <si>
    <t>家族と話をしたり、家の手伝いなどができた。</t>
  </si>
  <si>
    <t>親が仕事だったのでふれあいホリデーらしく過ごせなかったなと言うのが本音です。</t>
  </si>
  <si>
    <t>連休だったのでとても過ごしやすかったです</t>
  </si>
  <si>
    <t>家族と過ごすいい休日になった</t>
  </si>
  <si>
    <t>母子家庭で母親は自営業で休日も働いているため普段休日を一緒に過ごせれないから久しぶりに過ごして外食したり、出かけたりしてとても楽しかったです。</t>
  </si>
  <si>
    <t>自分の成長に関わるとても素晴らしい日になった。1ヶ月に1回ほしい。</t>
  </si>
  <si>
    <t>中３になるとテストばっかりで疲れてたので３連休あって嬉しかったです</t>
  </si>
  <si>
    <t>普段は休日でも仕事があったりする両親や、部活がある姉とも一緒に過ごせて良かったです。来年もあったら嬉しいです。</t>
  </si>
  <si>
    <t>子ども同士だと休みの日が一緒で触れ合えるが大人とは過ごしにくいと思った</t>
  </si>
  <si>
    <t>誰かと接することの大切さなどがよくわかった。ふれあいホリデーのときだけではなく、これからも家族や友達と接していきたいと思った。</t>
  </si>
  <si>
    <t>家でダラダラ</t>
  </si>
  <si>
    <t>増やしてほしい</t>
  </si>
  <si>
    <t>友達とクッキーを作った。</t>
  </si>
  <si>
    <t>親が仕事だったから本当に家族と過ごせるようにしたい。</t>
  </si>
  <si>
    <t>良い休日だと思うけど、テスト前で勉強をしていてあまり家族とは一緒にいなかった。もっとたくさんの人が大切な人と過ごせる日になってほしい。（難しいと思うけど）</t>
  </si>
  <si>
    <t>お父さんとお母さんが居なかったけど、お姉ちゃんと一緒に、遊んで居たので楽しかったです。</t>
  </si>
  <si>
    <t>お父さんとお母さんが居なかったけど、お姉ちゃんといっしょに遊んで居たので楽しかったです。</t>
  </si>
  <si>
    <t>忘れましたした</t>
  </si>
  <si>
    <t>休みでうれしかった。</t>
  </si>
  <si>
    <t>家族との時間を増やす</t>
  </si>
  <si>
    <t>ふれあいホリデーがあったことで家族との絆や楽しい時間を過ごすことが出来ました。</t>
  </si>
  <si>
    <t>なくさないでください。</t>
  </si>
  <si>
    <t>友達と自転車で色んなところに行った</t>
  </si>
  <si>
    <t>休みが増えて嬉しい</t>
  </si>
  <si>
    <t>家でゆっくりできたから良かった。</t>
  </si>
  <si>
    <t>急に一日休みになっても親が休めないことがあったからそこを改善したほうがいいと思う</t>
  </si>
  <si>
    <t xml:space="preserve">これからも楽しいく過ごしていきたい
</t>
  </si>
  <si>
    <t>月に１回くらいしてほしい</t>
  </si>
  <si>
    <t>平日は、なかなか家族みんなとゆっくり過ごすということはないから、良かった。</t>
  </si>
  <si>
    <t>ある人とドライブに言ってました</t>
  </si>
  <si>
    <t>もっとゆっくりする時間を作りたい</t>
  </si>
  <si>
    <t>少しでも家族の時間が増えてよかったです。</t>
  </si>
  <si>
    <t>特にいつもと変わりのない日だったので良かったと思います。</t>
  </si>
  <si>
    <t>友達と遊びに行った。</t>
  </si>
  <si>
    <t>毎年あってもいいと思う</t>
  </si>
  <si>
    <t>親も気軽に休めるようにしたらいいと思います。</t>
  </si>
  <si>
    <t>友達と倉吉市内（競技場）へ出かけた</t>
  </si>
  <si>
    <t>休みが増えて嬉しかったし、勉強する時間が増えてよかったです。</t>
  </si>
  <si>
    <t>家族と過ごす時間をつくっていいと思った。</t>
  </si>
  <si>
    <t>お母さんとかも休みだったらいいと思う</t>
  </si>
  <si>
    <t>・もっと家族との仲を深めていきたい。・親孝行</t>
  </si>
  <si>
    <t>平日を休みにすると、親が休みではない人もできてきてしまうので、年に1回ではなく年に数回、曜日を分けて実施したら良いと思う</t>
  </si>
  <si>
    <t>特にない。</t>
  </si>
  <si>
    <t>相撲の稽古</t>
  </si>
  <si>
    <t>休日をもっと増やしてほしいです</t>
  </si>
  <si>
    <t>楽しかったけれど、お父さんは仕事で来れなかったり姉は部活で来れなかった。</t>
  </si>
  <si>
    <t>ふれあいホリデーと言っても親が休みではないところが多いから家族で触れ合えたところがそんなに多くないような気がした</t>
  </si>
  <si>
    <t>週末に休む時間ができて良かったので、これからもふれあいホリデーがあってほしい。</t>
  </si>
  <si>
    <t>自主練で競技場に行った。自転車で。</t>
  </si>
  <si>
    <t>ファミリーホリデーのおかげで沢山の新しい友達ができた。</t>
  </si>
  <si>
    <t>友達と勉強をした。</t>
  </si>
  <si>
    <t>家族のみんなが仕事だったり、妹が児童館に行ったりしていて、家族と一緒に1日を過ごすことはできなかったけど、友達と一緒に勉強をして、お互いのわからないところをわかるようにできたのでよかったです。また、朝と夜はしっかり家族と話せたので良かったです。</t>
  </si>
  <si>
    <t>家で自由に過ごせてリラックスできた</t>
  </si>
  <si>
    <t>ふれあいホリデーは何であるのかや何の日なのかがよくわからないし何をして過ごせばよいのかがあまりわからないけど楽しく勉強したり遊んだりできたので良かったと思う。</t>
  </si>
  <si>
    <t>中学生くらいの子どもであれば、一人でも家で勉強したり休めたりするため、良い取り組みだと思った。
ただ、小学生くらいで一人では家においておけないという子供の場合、休めない親などが児童館などに預けるとして、そこの人達も働かないといけなくなる可能性はあるのかなと思った。</t>
  </si>
  <si>
    <t>とても充実していた
つきいち</t>
  </si>
  <si>
    <t>ふれあいホリデーはあるとありがたいです</t>
  </si>
  <si>
    <t>家族と色んなところに行って楽しめた
これからもあってほしい</t>
  </si>
  <si>
    <t>家族にも休みの時間を設けるというのは良いことだなと感じました。</t>
  </si>
  <si>
    <t>沢山家族と遊ぶ</t>
  </si>
  <si>
    <t>友達の家で遊んだ。</t>
  </si>
  <si>
    <t>ふれあいホリデーはこれからもあっていいと思いました。</t>
  </si>
  <si>
    <t>このまま続けていったほうが良いと思います。なぜなら、この休みがあれば家族といる時間が長くなっていいと思うからです。</t>
  </si>
  <si>
    <t>親を休みにさせたほうがいいと思いました。</t>
  </si>
  <si>
    <t>友だちと遊んだ。</t>
  </si>
  <si>
    <t>家族が仕事じゃなかったら出かける。</t>
  </si>
  <si>
    <t>いつもよりも家族と過ごす時間が増えたし、どのように過ごしたかは人や家庭によってそれぞれだけど、家族と楽しく話す時間や、普段学校のことを話さない人は、それを話す時間が増えたと思うからよかった。</t>
  </si>
  <si>
    <t>FamilyHolidayは一人だったけどとっても充実しました</t>
  </si>
  <si>
    <t>家族と過ごす時間を増やしていきたいと思った。</t>
  </si>
  <si>
    <t>家で一人で過ごした。</t>
  </si>
  <si>
    <t>家族との時間をもっと増やしていきたいです。</t>
  </si>
  <si>
    <t>県外に出て遊んだ</t>
  </si>
  <si>
    <t>楽しく過ごせた</t>
  </si>
  <si>
    <t>1学期に1回など増やしてほしい</t>
  </si>
  <si>
    <t>もっと増やしていい</t>
  </si>
  <si>
    <t>家で過ごすことができた。</t>
  </si>
  <si>
    <t>風邪を引いていたので自分の部屋にいました。</t>
  </si>
  <si>
    <t>次は充実した休日にするために日々手洗い、うがいをして後悔しないようにしたいです。</t>
  </si>
  <si>
    <t>休みがもっとほしい</t>
  </si>
  <si>
    <t>家族と一緒に過ごせれてよかった</t>
  </si>
  <si>
    <t>これからも、ふれあいできる時間をつくってほしいと思いました。</t>
  </si>
  <si>
    <t>みんなと買い物に行けたり遊んだりできて楽しかった</t>
  </si>
  <si>
    <t>続けてほしいです。</t>
  </si>
  <si>
    <t>学童に行ってとても楽しかったです❤️</t>
  </si>
  <si>
    <t>1とりでいべんとにさんかした</t>
  </si>
  <si>
    <t>楽しかった
楽しかった</t>
  </si>
  <si>
    <t xml:space="preserve">家族と過ごせてよかったです
</t>
  </si>
  <si>
    <t xml:space="preserve">これからも色んな楽しいこと楽しい事をたいです
</t>
  </si>
  <si>
    <t>タブレットしてたのでしづかでした。</t>
  </si>
  <si>
    <t>家族とお出かけが行けて楽しかったです。</t>
  </si>
  <si>
    <t>イルミネーションを見ていてとても楽しかったです。☺️</t>
  </si>
  <si>
    <t xml:space="preserve">ゲームもできて楽しかったです。
</t>
  </si>
  <si>
    <t>おばあちゃんと買い物をして楽しかったです。</t>
  </si>
  <si>
    <t>こんどからは､家族で県外に､出かけたいです。</t>
  </si>
  <si>
    <t>学童に行ってみんなと仲良くできて良かったです。</t>
  </si>
  <si>
    <t xml:space="preserve">
これからも、いろんなことを、家族でしていきたいです。</t>
  </si>
  <si>
    <t>家族と過ごせてよかったです</t>
  </si>
  <si>
    <t>ともだちと遊んでたのしかったです</t>
  </si>
  <si>
    <t>家族とお出かけができて楽しかったです。</t>
  </si>
  <si>
    <t>いろいろあっていっしょにねたりして楽しかった</t>
  </si>
  <si>
    <t>香川で野球が楽しかってです</t>
  </si>
  <si>
    <t>これからも家族でいろんなとこを、していきたいです。</t>
  </si>
  <si>
    <t>みんなともっとなかよくすごす</t>
  </si>
  <si>
    <t>がくどうにいった</t>
  </si>
  <si>
    <t>感わ楽しかったです。</t>
  </si>
  <si>
    <t>おばあちゃんとすごした。</t>
  </si>
  <si>
    <t>たのしくかぞくとふれあえればいいです。</t>
  </si>
  <si>
    <t>楽しくなかよくすごすこと</t>
  </si>
  <si>
    <t>とてもいい1日だったと思います。</t>
  </si>
  <si>
    <t>たのしかったとおもいました</t>
  </si>
  <si>
    <t>かぞくといっしょにすごせてたのしかったです。</t>
  </si>
  <si>
    <t>ふれあいホリデーがあるなんて知りませんでした。</t>
  </si>
  <si>
    <t>とても、とても、とても、楽しいじかんだった。</t>
  </si>
  <si>
    <t>いとこのお兄ちゃんとおばあちゃんの家にとまった</t>
  </si>
  <si>
    <t>かぞくといっしょにすごす。</t>
  </si>
  <si>
    <t>家ぞくと楽しくふれあえてよかったです。家で家ぞくとかくれんぼをしてあそびました。</t>
  </si>
  <si>
    <t>とても良いふれ合いホリデーでした</t>
  </si>
  <si>
    <t>みんなとなかよく</t>
  </si>
  <si>
    <t>おばあちゃんちですごした</t>
  </si>
  <si>
    <t>たくさんあそべてよかった</t>
  </si>
  <si>
    <t>感想はホリデーのとき楽しかったです</t>
  </si>
  <si>
    <t>　また行きたいです</t>
  </si>
  <si>
    <t>いっぱいあそべてよかった</t>
  </si>
  <si>
    <t>ふれあいホリデーはとても楽しかったです。</t>
  </si>
  <si>
    <t>パパといっしょにでかけられてうれしかったです。</t>
  </si>
  <si>
    <t>みんなでお出かけできて楽しかった</t>
  </si>
  <si>
    <t>がくどうでみんなですごすのかたのしかったです。</t>
  </si>
  <si>
    <t>おしごとだったからいっしょにあそべなかった</t>
  </si>
  <si>
    <t>楽しくすごす</t>
  </si>
  <si>
    <t>増やしていく</t>
  </si>
  <si>
    <t>家族ですごいせて良かった</t>
  </si>
  <si>
    <t>何もしなかった</t>
  </si>
  <si>
    <t>これからももっと増やしてほしい！！</t>
  </si>
  <si>
    <t>これからも、同じにしてほしい</t>
  </si>
  <si>
    <t>家族と一緒に過ごせた。</t>
  </si>
  <si>
    <t>ずっとあってほしい</t>
  </si>
  <si>
    <t>友達と過ごした</t>
  </si>
  <si>
    <t>最高だったし、一緒に勉強もできたのでこれからも続けて下さい。</t>
  </si>
  <si>
    <t>家族と話せた</t>
  </si>
  <si>
    <t>お母さんと一年生の弟と4歳の弟と成徳コミニティーセンターに行きました。</t>
  </si>
  <si>
    <t>色々な事が知れたり地震の備えをしました。</t>
  </si>
  <si>
    <t>このふれあいホリデーを毎年してほしいと思った。（家族と過ごす時間が増えるから）</t>
  </si>
  <si>
    <t>久しぶりに休めた</t>
  </si>
  <si>
    <t>家族と一緒に触れ合う時間が出来て嬉しかったです。</t>
  </si>
  <si>
    <t>ずっとあってほしい。</t>
  </si>
  <si>
    <t>これからもふれあいホリデーを実施してほしい</t>
  </si>
  <si>
    <t>家族と一緒に過ごすのは良いこと</t>
  </si>
  <si>
    <t>家族と過ごすのは楽しかった。これからもこのような時間を作っていきたい。</t>
  </si>
  <si>
    <t>あげいのスポーツボランティアに参加しました。小学生の子達とたくさん触れ合えてとっても楽しかったです。こうゆう、ボランティア活動ができる行事を増やしてほしいです！！</t>
  </si>
  <si>
    <t>家でのんびり過ごした。</t>
  </si>
  <si>
    <t>のんびりできて嬉しかった。</t>
  </si>
  <si>
    <t>すごかった</t>
  </si>
  <si>
    <t>仕事</t>
  </si>
  <si>
    <t>他の職が勤務があるため、ほんとうのねらいとは違う形での満足度でした。</t>
  </si>
  <si>
    <t>来年もあってほしいです。</t>
  </si>
  <si>
    <t>家族と元気にくらしたい</t>
  </si>
  <si>
    <t>ほしいものを買ってもらえてうれしかった　来年もあるとうれしいです。</t>
  </si>
  <si>
    <t>来年も、楽しいふれあいホリデーをしたいです。</t>
  </si>
  <si>
    <t>ふれあいボリデーが欲しいです</t>
  </si>
  <si>
    <t>来年もふれあいホリデーがあってほしいです。</t>
  </si>
  <si>
    <t>来年もまたふれあいホリデーで、家族といっしょにすごしたいです。</t>
  </si>
  <si>
    <t>お父さんと物を作って楽しかったです。来年もふれあいホリデーをしたいです。</t>
  </si>
  <si>
    <t>来年もまたふれあいホリデーがあってほしいです。　　　　　　　　　　　　　　</t>
  </si>
  <si>
    <t>家で過ごした　　（家族で）</t>
  </si>
  <si>
    <t>やっていないので次あったらさんかしたいです。</t>
  </si>
  <si>
    <t>お父さんのお仕事へ行きました</t>
  </si>
  <si>
    <t>またふりあいホリデーがあってほしいです</t>
  </si>
  <si>
    <t>来年もふれあいホリデーをまたしたいです</t>
  </si>
  <si>
    <t xml:space="preserve">来年もまた、ふれあいホリデーがしたいです。
</t>
  </si>
  <si>
    <t>ふれあいホリデーでは、家族と楽しく過ごせたので来年もあったら嬉しいです。</t>
  </si>
  <si>
    <t>らい年もれあいほりでがあっててほしいです</t>
  </si>
  <si>
    <t>病院に午後から行った</t>
  </si>
  <si>
    <t>健康に過ごす</t>
  </si>
  <si>
    <t>たくさん遊べて楽しかったです。</t>
  </si>
  <si>
    <t>楽っかた</t>
  </si>
  <si>
    <t>1人だったけどゆっくり過ごせてよかったです。</t>
  </si>
  <si>
    <t>野球の練習があった</t>
  </si>
  <si>
    <t>いつも通りの練習でした</t>
  </si>
  <si>
    <t>家族で過ごしてお話ししたりして、とても楽しかったです。</t>
  </si>
  <si>
    <t>家族が仕事で家でだらだらと過ごしていた</t>
  </si>
  <si>
    <t>自分のペースで過ごせたのでよかった。
これからどうすれば良いかはわからない。</t>
  </si>
  <si>
    <t>ふれあいホリデーがあるなら、親も休みにするようにした方がいいと思います。</t>
  </si>
  <si>
    <t>楽しっかた</t>
  </si>
  <si>
    <t>友達と遊べてとてもいい機会だと感じた
理由
これから冬になって遊ぶ機会も減り学校で決められている家に帰る時間も早まっているから
午後の早い時間から遊べてよかった。</t>
  </si>
  <si>
    <t>一緒に過ごせなかったから、夜、店に連れて行ってもらえて嬉しかったです。</t>
  </si>
  <si>
    <t>家で家族と過ごせて楽しかった</t>
  </si>
  <si>
    <t>友達だちと遊んだ</t>
  </si>
  <si>
    <t>子供達だけで過ごして、休憩になった。ふれあいホリデーでも、仕事はあるから親が休めない時があると思う。</t>
  </si>
  <si>
    <t>普通の1日だった。</t>
  </si>
  <si>
    <t>ふれあいホリデーがあるなら親も休めば良いと思う</t>
  </si>
  <si>
    <t>おばあちゃんと一緒に過ごす時間が増えたから嬉しかった。</t>
  </si>
  <si>
    <t>宿題全部終わったので、土日はずっと遊んでれたので楽しかったです。</t>
  </si>
  <si>
    <t>家族で県外に出かけて色んなことをしたので楽しかった</t>
  </si>
  <si>
    <t>ゲームがたくさんできて楽しかったです。</t>
  </si>
  <si>
    <t>家族との時間を過ごせてよかった。</t>
  </si>
  <si>
    <t>自分と兄だけなのでよかったです。</t>
  </si>
  <si>
    <t>いつもより笑顔が増えた気がする</t>
  </si>
  <si>
    <t>家族と一緒になる時間が増えたのでよかったです。</t>
  </si>
  <si>
    <t>来年も続けて欲しいです。</t>
  </si>
  <si>
    <t>平日休みがあってとても良かったので、来年もお願いします</t>
  </si>
  <si>
    <t>ふれあいホリデーを月曜日にしてほしいです。
家族が仕事だったけど、ペットと触れ合えたのでよかったです。</t>
  </si>
  <si>
    <t>これからも、あったら嬉しいです。</t>
  </si>
  <si>
    <t>平日に休みがあったのはよかった。だけど家族とはふれ合っていない。</t>
  </si>
  <si>
    <t>家族は家にいなかったのであまり家族と触れ合ってません</t>
  </si>
  <si>
    <t>ふれあいホリデーは、いらないから代わりに夏休みを１日多くしてほしい</t>
  </si>
  <si>
    <t>家族と出かけた</t>
  </si>
  <si>
    <t>3連休になったら親が離婚してあまり会えない兄弟や姉妹と会えるので嬉しかったです。もっと3連休とか増やしてほしいです。</t>
  </si>
  <si>
    <t>ふれあいホリデーがある事が知らなくて家族の仕事の休みが取れなかったからもっと「ふれあいホリデーという物がありますよ。」みたいなCMなどの宣伝をすれば早くから休みが取れて家族と過ごすひとが増える</t>
  </si>
  <si>
    <t>ゲームをして過ごしている</t>
  </si>
  <si>
    <t>ゲームも楽しいけど、親の手伝いや自分にできることを考えることをすればいいと思います</t>
  </si>
  <si>
    <t>友達と校庭で遊んだりした</t>
  </si>
  <si>
    <t>たくさん友達と遊んだりする。</t>
  </si>
  <si>
    <t>このままでいいと思います(ふれあいホリデーはこのまま続ける)。</t>
  </si>
  <si>
    <t>みんなと遊べて楽しかったです。</t>
  </si>
  <si>
    <t>家族と一緒に思い出を作ることができて、とても充実した日だった。でも、お父さんがいなくて、家族全員とはならなくて、少し寂しい思いもありました。</t>
  </si>
  <si>
    <t>普通に過ごした</t>
  </si>
  <si>
    <t>これからも家で家族と楽しく過ごしたい</t>
  </si>
  <si>
    <t>感想・親と、楽しく過ごすことができました。そのおかげで、勉強も捗り、とても良い休日になりました。
これからどうすれば良いか・これからも、ふれあいホリデーは、続けばいいなと思っています。ただ、11月23日も、祝日なので、少し日にちをずらしてみるのもいいかな。とは思いました。</t>
  </si>
  <si>
    <t>ゲームをして過ごしていた</t>
  </si>
  <si>
    <t>自分にできることを考えることをすれば良いと思います。</t>
  </si>
  <si>
    <t>友達や、知り合いと遊んだりして、過ごしてとても楽しかった。</t>
  </si>
  <si>
    <t>とても楽しかったし、休憩できたのでよかったです。</t>
  </si>
  <si>
    <t>外などにはもっと積極的に出たい</t>
  </si>
  <si>
    <t>水路の葉っぱ取り</t>
  </si>
  <si>
    <t>いろんな楽しい所に出かけれて、久々に家族全員でお出かけができたのでよかったし、楽しかったです。</t>
  </si>
  <si>
    <t>弟と喧嘩をせずに待てました。</t>
  </si>
  <si>
    <t>親に日々の感謝を伝える</t>
  </si>
  <si>
    <t>風邪をひいて寝ていました</t>
  </si>
  <si>
    <t>バスケ</t>
  </si>
  <si>
    <t>バスケ部のメンバーと、仲良く楽しく関われた。でももっといろんな人（学校の友達、親戚、知り合い）と遊べるようにしたい。</t>
  </si>
  <si>
    <t>いろんな所に出かけれて、久々に家族全員でお出かけをすることができて、よかったし、楽しかったです。</t>
  </si>
  <si>
    <t>これからもしっかりと校区内以外には行かないようにする。</t>
  </si>
  <si>
    <t>これからもそういう日を作って欲しい。</t>
  </si>
  <si>
    <t>遊びまし</t>
  </si>
  <si>
    <t>楽しかったです今回のふれあいホリデーは親が仕事だったから親とは過ごさずに友達と過ごしっちゃったけど来年のふれあいホリデーは一緒にすごしたいです</t>
  </si>
  <si>
    <t>午前中は、友達と遊びました。お母さんが昼から帰ってくれました。いつも通りの休日みたいでした。</t>
  </si>
  <si>
    <t>分からない</t>
  </si>
  <si>
    <t>これからもイベントなどに参加していきたいです</t>
  </si>
  <si>
    <t>親がお仕事で家にいなかったからあまりよくなかったけど宿題などができた</t>
  </si>
  <si>
    <t>すごく楽しく、おばあちゃんやおじいちゃんと出かけることができて、楽しかった。また、こうゆう機会が欲しいと思った。</t>
  </si>
  <si>
    <t>親に日々の感謝を伝えること</t>
  </si>
  <si>
    <t>特にありません。</t>
  </si>
  <si>
    <t>スポ少</t>
  </si>
  <si>
    <t>もっとたくさんの人と遊んだりして仲を深めていきたいと思いました。</t>
  </si>
  <si>
    <t>普通だった</t>
  </si>
  <si>
    <t>お姉ちゃんが県外から帰ってきて、姉妹3人で過ごせた良い１日でした。また、金曜日だけど学校が休みだったので、のんびり過ごせてよかったです。</t>
  </si>
  <si>
    <t>楽しかったけど親とあまり触れ合うことができなかったのが残念でした。平日ではない日が触れ合うことができる。</t>
  </si>
  <si>
    <t>友達と遊んでいた</t>
  </si>
  <si>
    <t>ふれあいホリデーなのにお母さんやお父さんは、　なんでお仕事なんですか？
ふれあいホリデーだったらお母さんやお父さんは、休みの日でいいんじゃないですか。
ふれあいホリデーなのにお母さんやお父さんが仕事だったら意味ないんじゃないですか。</t>
  </si>
  <si>
    <t>金曜日じゃなくて月曜日にしてほしい</t>
  </si>
  <si>
    <t>いろいろなところに行くことが出来た</t>
  </si>
  <si>
    <t>家族と一緒に楽しく過ごせて嬉しかったです。</t>
  </si>
  <si>
    <t>家族と一緒にいる時間を楽しく過ごせました。これからもふれあいホリデーのような休みがあってほしいです。</t>
  </si>
  <si>
    <t>家族とふれあうのは普通だと思うから別になくても良いと思う。</t>
  </si>
  <si>
    <t>家族と過ごせる時間があまりないからこういう休みがあると嬉しいです。</t>
  </si>
  <si>
    <t>鳥取にも休みを...</t>
  </si>
  <si>
    <t>これからも休みであってほしい。</t>
  </si>
  <si>
    <t>とても楽しく過ごせたので、また、やってほしいです。</t>
  </si>
  <si>
    <t>家族と色々なところに行って、楽しかったのでこれからも行きたいです。</t>
  </si>
  <si>
    <t>もっとたくさん増やしてほしい</t>
  </si>
  <si>
    <t xml:space="preserve">I </t>
  </si>
  <si>
    <t>Hey I’m gonna go to GameStop</t>
  </si>
  <si>
    <t>楽しかったです。うれしかったです。楽しかったうれしかったです。お母さんとできて嬉しかったです。</t>
  </si>
  <si>
    <t>なんでってきた</t>
  </si>
  <si>
    <t>良い日々になりました</t>
  </si>
  <si>
    <t>楽しかったけど親と触れ合えなくて残念でした。
平日じゃなく休日がいいです。</t>
  </si>
  <si>
    <t>活動自体はいいと思うがやる日にちちついては検討が必要だと思う</t>
  </si>
  <si>
    <t>もう少し家族とふれあいたい</t>
  </si>
  <si>
    <t>休みの日は家族と交流を増やしていきたい</t>
  </si>
  <si>
    <t>よく家族などと一緒にいたいから休みの日をもっと増やしてほしい</t>
  </si>
  <si>
    <t>ふれあいホリデーをもっと増やしてほしい</t>
  </si>
  <si>
    <t>久しぶりに家族と遊んだりして、楽しく過ごすことができました。</t>
  </si>
  <si>
    <t>家族との時間が増えてよかったです。</t>
  </si>
  <si>
    <t>いろんなことをたくさん話すことができた。</t>
  </si>
  <si>
    <t>ふれあいホリデーの日にあるイベントの開催。</t>
  </si>
  <si>
    <t>月曜休みがいいです。</t>
  </si>
  <si>
    <t>風邪ひきました。</t>
  </si>
  <si>
    <t>風邪を引いて予定していた遊びの予定は全部ぱーになったけど、お母さんがいたことで、また、平日だったため病院も空いていたから早めに薬をもらうことができた。</t>
  </si>
  <si>
    <t>これからも続けてほしい</t>
  </si>
  <si>
    <t xml:space="preserve">これからもっと増やしてほしい！！
</t>
  </si>
  <si>
    <t>休めるのは嬉しかった。今のままでいいと思う。</t>
  </si>
  <si>
    <t>テスト期間と被っていて、勉強しなければいけなかったのであまり家族と触れ合う時間がとれなかった。テスト期間と被っていない方が家族とふれあいやすいと思った。</t>
  </si>
  <si>
    <t>家族と関わる</t>
  </si>
  <si>
    <t>テスト前じゃないときにしてほしい。</t>
  </si>
  <si>
    <t>これを金曜日じゃなくて月曜日にすると良さそう</t>
  </si>
  <si>
    <t>これからもう少し家族との時間を増やしていきたい</t>
  </si>
  <si>
    <t>これからも家族との関わりを大切にしていきたいです。</t>
  </si>
  <si>
    <t>いつもの休日と変わらない感じだった。</t>
  </si>
  <si>
    <t>良い休みになった</t>
  </si>
  <si>
    <t>一人</t>
  </si>
  <si>
    <t>休みを増やす</t>
  </si>
  <si>
    <t>このような休日をつくらず、学校に行く。</t>
  </si>
  <si>
    <t>楽しく過ごせた　もっと友だちと遊ぶ機会を増やしたい</t>
  </si>
  <si>
    <t>友だちと出かけた</t>
  </si>
  <si>
    <t>もっと家族と交流する時間を増やしたらいいと思った。</t>
  </si>
  <si>
    <t>楽しく過ごせた　</t>
  </si>
  <si>
    <t>友達と野球した</t>
  </si>
  <si>
    <t>もっと休みを増やしてください</t>
  </si>
  <si>
    <t>家族と楽しく過ごせたので、これからも続けてほしい</t>
  </si>
  <si>
    <t>寝た</t>
  </si>
  <si>
    <t>もっと関わらないとなとは思っているのでもっと出かけたりをしていきたい</t>
  </si>
  <si>
    <t>家族との時間が増えてよかった。</t>
  </si>
  <si>
    <t>たくさん増やしてほしい</t>
  </si>
  <si>
    <t>ふれあいホリデーの日が期末テスト間近だったから負担が大きかった</t>
  </si>
  <si>
    <t>もっとほかの人たちとふれあいをしたいです。</t>
  </si>
  <si>
    <t>家族との時間を大切にする</t>
  </si>
  <si>
    <t>同じ日を設けてほしい。</t>
  </si>
  <si>
    <t>もっとしてほしい</t>
  </si>
  <si>
    <t>家族との時間を大切にしたい。</t>
  </si>
  <si>
    <t>ふれあいホリデーを活用して、家族で遠くにお出かけすることができてとても楽しかったです。</t>
  </si>
  <si>
    <t>家族と一緒にたくさん過ごすことができてよかった</t>
  </si>
  <si>
    <t>今のまま家族と触れ合える時間を増やしたらいいと思いました。</t>
  </si>
  <si>
    <t>鳥取に行って家族と食べたり遊んだりして過ごしました。来年もあっていいと思います</t>
  </si>
  <si>
    <t>お母さんと温泉巡りした</t>
  </si>
  <si>
    <t>ふれあいホリデーはあった方がいいと思う</t>
  </si>
  <si>
    <t>もっと触れ合いを意識していきたい。</t>
  </si>
  <si>
    <t>これからもこゆうのを増やしてほしい</t>
  </si>
  <si>
    <t>もっと増やしてください</t>
  </si>
  <si>
    <t>お母さんが仕事だったから一緒に家で過ごせなかった。夜は家族でスマホは見ず一緒に同じこと。</t>
  </si>
  <si>
    <t>もっと休みを増やす</t>
  </si>
  <si>
    <t>家族と久しぶりにゆっくり休めてとっても嬉しかったし、これからの学校生活も頑張りたいと思えました。でもお父さんの職場など一部の職場では、休めない職場もあるので家族と一緒に過ごせない家庭も少なくないと思うので倉吉市内の職場は、休みにしてほしいと思いました。</t>
  </si>
  <si>
    <t>お出かけできて良かった。これからもあってほしい。</t>
  </si>
  <si>
    <t>休めるのは良いと思うけれど、ふれあいホリデーの目的である「家族と一緒に過ごす」は子どもがいるのに仕事がある親にとっては、大変ではないかなと思った。</t>
  </si>
  <si>
    <t>倉吉市だけで特別感があったし、またあってほしい</t>
  </si>
  <si>
    <t>もっと休みがほしい</t>
  </si>
  <si>
    <t>日常を振り返る日があったり、過ごす時間があってより深まった。</t>
  </si>
  <si>
    <t>これからこういうイベントや他にもこういうのを増やしてほしい</t>
  </si>
  <si>
    <t>友達</t>
  </si>
  <si>
    <t>もっと増やしてもしい</t>
  </si>
  <si>
    <t>家族との時間が凄く増えた</t>
  </si>
  <si>
    <t>家族とか友達と今とおんなじように過ごしたい</t>
  </si>
  <si>
    <t>家族とのコミニケションが取れて良かったです。最近、家族との触れ合いが少なかったので助かりました。ありがとうございました。</t>
  </si>
  <si>
    <t>親が休めないと意味がないと感じた。</t>
  </si>
  <si>
    <t>風邪</t>
  </si>
  <si>
    <t>体調管理に気をつける</t>
  </si>
  <si>
    <t>いい一日になった。月に一回ふれあいホリデーを作る。</t>
  </si>
  <si>
    <t>いつも通りの休日だったとてもゆっくりすることができた</t>
  </si>
  <si>
    <t>続けたほうが良いと思います</t>
  </si>
  <si>
    <t>毎年企画してほしいです。</t>
  </si>
  <si>
    <t>続けよう</t>
  </si>
  <si>
    <t>ふれあいほりでーを月１にしましょう！！！！！！！</t>
  </si>
  <si>
    <t>もっと家族とふれあいたい</t>
  </si>
  <si>
    <t>家族と楽しく過ごせて良かった</t>
  </si>
  <si>
    <t>テスト勉強することができ良かった。３日ぐらいに増やしてほしい（テスト前）</t>
  </si>
  <si>
    <t>たくさんホリデーを作ったことがいいと考える</t>
  </si>
  <si>
    <t>家族と過ごす時間も大事にしていきたい。</t>
  </si>
  <si>
    <t>いい日だと思った。もっと増やすべき。</t>
  </si>
  <si>
    <t>これからもホリデーを増やしたほうが良いと考える</t>
  </si>
  <si>
    <t>特にないです</t>
  </si>
  <si>
    <t>ふれあいホリデーという日は家族といっしょに活動できました。これからは2日に1回お願いします。まじでお願いします！</t>
  </si>
  <si>
    <t>高校生も休みの対象にしてほしい。</t>
  </si>
  <si>
    <t>大人の人も休めるようになってほしい</t>
  </si>
  <si>
    <t>家族との時間を増やしていきたい</t>
  </si>
  <si>
    <t>感想は、テスト期間にあったから、授業がしたかったのもあるけど、自習ができてよかったです</t>
  </si>
  <si>
    <t>このまま続ければ良いと思った。</t>
  </si>
  <si>
    <t>テスト期間中以外にしてほしい</t>
  </si>
  <si>
    <t>平日に家族と思い出を作ることはなかなかないことなので、平日にふれあうことがあっても良い</t>
  </si>
  <si>
    <t>普通の親は簡単に休みが取れないので平日に家に子供だけなのはどうかと思った</t>
  </si>
  <si>
    <t>休みがあるだけでこんなに家族と触れ合えるのがすごいなと思いました。みんなの家庭の都合で家族えと一緒に過ごせない人もいるけど自分の家庭は家族が休みで楽しく過ごせれた。</t>
  </si>
  <si>
    <t>親の仕事の都合と合わない時があるからもう少し早めに知らせてくれると嬉しいです</t>
  </si>
  <si>
    <t>変な気分だった</t>
  </si>
  <si>
    <t>家族が仕事で触れ合う機会があまりありませんでした。家族と触れ合うなら、ふれあいホリデーでなくても、休日でいいかなと思いました。</t>
  </si>
  <si>
    <t>継続してください</t>
  </si>
  <si>
    <t>平日は親が仕事なので、休日とかに家族と過ごせられればいいと思います</t>
  </si>
  <si>
    <t>家族との時間が増えてよかった</t>
  </si>
  <si>
    <t>いい休みが作れるので、来年もふれあいホリデイをつくってほしいと思いました。</t>
  </si>
  <si>
    <t>これからもこのような機会があってもいいと思う</t>
  </si>
  <si>
    <t>家族と楽しい時間を過ごせたのでよかったです</t>
  </si>
  <si>
    <t>親も休みにしてほしい</t>
  </si>
  <si>
    <t>家族と過ごせてよかった</t>
  </si>
  <si>
    <t>良い取り組みだと思った</t>
  </si>
  <si>
    <t>テスト前で勉強ができて良かったし、体を休めるいい休日となりました。
ぜひ、これからも続けてほしいです！</t>
  </si>
  <si>
    <t>ふれあいホリデーを月曜日にしてほしい</t>
  </si>
  <si>
    <t>もっと、家族と過ごす時間やふれあう時間を増やす。</t>
  </si>
  <si>
    <t>続けていってほしい</t>
  </si>
  <si>
    <t>行ってはないけど、土曜日にイベントがあったりで各々がふれあう期間になったと思う</t>
  </si>
  <si>
    <t>交流の場を増やす。</t>
  </si>
  <si>
    <t>これからもふれあいホリデーの日をたくさん作ってほしい
とても良かった</t>
  </si>
  <si>
    <t>休みがあり、姉妹でふれあえたのは良かったが、親は仕事だったので、家族全員でふれあえるようになると良いなと思った。</t>
  </si>
  <si>
    <t>親は仕事で居なくて一人で静かに過ごせて快適だった</t>
  </si>
  <si>
    <t>なかなか会えない友達の家で勉強や遊んだりする良い機会になりました。</t>
  </si>
  <si>
    <t>遊ぶ場所がもっとあればもっと楽しく過ごせると思った。</t>
  </si>
  <si>
    <t>久々に家族と遊ぶって事があって楽しかったです。これからもしてほしいです。</t>
  </si>
  <si>
    <t>休日に家族と出かけた時とは、少し違う感じで買い物もできたので楽しかった。</t>
  </si>
  <si>
    <t>イベントが有るともっと交流できると思った</t>
  </si>
  <si>
    <t>平日に学校が休みということで、特別感があって楽しく過ごせた。</t>
  </si>
  <si>
    <t>いつも通り楽しく過ごすことはできてよかった。でも、両親や家族が仕事の場合、子供だけになってしまいふれあいホリデー以外の日常と変わらなくなってしまう。子供以外について考え直すべきだと思う</t>
  </si>
  <si>
    <t>子どもは休めるが、親は仕事行っていているので大人も休みにしたほうが良い</t>
  </si>
  <si>
    <t>家族と過ごす時間が増えて良かったし、勉強する時間も確保できたと思う。子供が休めても、親は関係なく、仕事にいかなければいけないので、そこがすこし、難だと思う（親がはなしていたこと）。</t>
  </si>
  <si>
    <t>親が仕事でいなかったけど友達と楽しく過ごせた</t>
  </si>
  <si>
    <t>このまま続けていったら良いと思います。</t>
  </si>
  <si>
    <t>このままで良い</t>
  </si>
  <si>
    <t xml:space="preserve">
</t>
  </si>
  <si>
    <t>　</t>
  </si>
  <si>
    <t>すごく楽しかったです。</t>
  </si>
  <si>
    <t>うれしかったです</t>
  </si>
  <si>
    <t>またすごしたいと思った</t>
  </si>
  <si>
    <t>いろいろかぞくと、すごせてとてもよかったです。</t>
  </si>
  <si>
    <t>家ぞくといっしょに楽しめてよかったです</t>
  </si>
  <si>
    <t>かぞくといしょにいれてよかった。</t>
  </si>
  <si>
    <t>家ぞくといっしょに、すごせて、よかったです。</t>
  </si>
  <si>
    <t>家ぞくと一緒に出かけて家族と一緒にくらせたとおもいます。</t>
  </si>
  <si>
    <t>かぞくといっしょにすごせてよかったです。</t>
  </si>
  <si>
    <t>家族と触れてあえた</t>
  </si>
  <si>
    <t>かぞくとすごせてたのしかった。</t>
  </si>
  <si>
    <t>人りで野球のれんしゆうができてよかった。</t>
  </si>
  <si>
    <t>かぞくでいっしょにすごせてうれしかったです。</t>
  </si>
  <si>
    <t>かぞくとくらせてよかったです。</t>
  </si>
  <si>
    <t>ブルーム</t>
  </si>
  <si>
    <t>いしょにすごせれてよかった。</t>
  </si>
  <si>
    <t>楽しい休みででした。</t>
  </si>
  <si>
    <t>楽しくくらす</t>
  </si>
  <si>
    <t>おかあさんといっしょに、いれてうれしかった</t>
  </si>
  <si>
    <t>あと2日追加してください</t>
  </si>
  <si>
    <t>覚えてない</t>
  </si>
  <si>
    <t>かぞくでイべントにさんかできてうれしかったです。イベントで売った方です。</t>
  </si>
  <si>
    <t>来年もふれあいホリデーが欲しいです。</t>
  </si>
  <si>
    <t>家族と過ごすのは楽しいなと思いました。</t>
  </si>
  <si>
    <t>これからは家族と過ごそうかなと思いました</t>
  </si>
  <si>
    <t>来年は1週間にしてください</t>
  </si>
  <si>
    <t>お父さんと僕で少し遠いラーメン屋さんに初めて行ってとても美味しくて嬉しかったです。</t>
  </si>
  <si>
    <t xml:space="preserve">来年も再来年もふれあいホリデー無くさないでほしい
</t>
  </si>
  <si>
    <t>来年は学校にして下さい</t>
  </si>
  <si>
    <t>いっしょにすごせてうれしかった</t>
  </si>
  <si>
    <t>せめて晴れの日がいいので夏にしてください</t>
  </si>
  <si>
    <t>家族と過ごす時間があった方が良いです。</t>
  </si>
  <si>
    <t>来年は夏にしてほしいです。</t>
  </si>
  <si>
    <t>来年もあると良いなと思いました！2日くらいあっても良いなと思いました。
楽しかったです！</t>
  </si>
  <si>
    <t>ふれあいホリデーを夏場にしてほしいです。</t>
  </si>
  <si>
    <t>一年に三回くらいふれあいほりでーをしてほしいです。</t>
  </si>
  <si>
    <t>今回は、遊んで過ごしたけどこんどは、友達とあそびたいです。</t>
  </si>
  <si>
    <t>一緒に一日過ごせたのでうれしかった</t>
  </si>
  <si>
    <t>ふれあいホリデーにドライブをしたから楽しかった</t>
  </si>
  <si>
    <t xml:space="preserve">とくにありません。
</t>
  </si>
  <si>
    <t>同じように続けてほしい</t>
  </si>
  <si>
    <t>ふれあいホリデーに大阪に行ってとても楽しかったです。</t>
  </si>
  <si>
    <t>大切な1日で楽しかったです。</t>
  </si>
  <si>
    <t>デイサービスで過ごした。</t>
  </si>
  <si>
    <t>楽しく過ごせたので増えるといいです。</t>
  </si>
  <si>
    <t>ぼくは、とてもふれあいホリデーは楽しかったけどもうちょっとあったほうが、よいともまいます。</t>
  </si>
  <si>
    <t>デイサービスで過ごした</t>
  </si>
  <si>
    <t xml:space="preserve">デイサービスでいっぱい遊んだりできて楽しかったし、また来年のふれあいホリデーで、楽しいことをしたいです。
</t>
  </si>
  <si>
    <t>私たちは休めても、家族のみんなが休みにはならないから、一緒には過ごせなかったのであまり、楽しくなかったです。</t>
  </si>
  <si>
    <t>わたしは、家族と過ごす時間が夜しかほとんどないのでふれあいホリデーがあったのですごく嬉しかったです</t>
  </si>
  <si>
    <t>また参加してみたいと思いました。</t>
  </si>
  <si>
    <t>まだ続けて欲しいです。</t>
  </si>
  <si>
    <t>とても楽しい1日でした。</t>
  </si>
  <si>
    <t>一緒に過ごせたからたくさん話せてよかった</t>
  </si>
  <si>
    <t>とくにないです。</t>
  </si>
  <si>
    <t>いつも通りに過ごした</t>
  </si>
  <si>
    <t>ぼくは、ふれあいホリデーはたのしかったけど、もっと二日連続やもうちょっとあったほうがいいと思います。</t>
  </si>
  <si>
    <t>ないです。</t>
  </si>
  <si>
    <t>今度は、友達と遊びたいです</t>
  </si>
  <si>
    <t>これからまたふれあいホリデーがあるならその町ごとにイベントを開催してほしい</t>
  </si>
  <si>
    <t>もっと家族と過ごす</t>
  </si>
  <si>
    <t>家族との時間を過ごすことは大切だと思いました。</t>
  </si>
  <si>
    <t xml:space="preserve">
これからもあってほしい
</t>
  </si>
  <si>
    <t>料理教室に行けて良かったです。</t>
  </si>
  <si>
    <t>家族と楽しい時間を過ごせました。</t>
  </si>
  <si>
    <t>タイワンに行けたのでよかったです。</t>
  </si>
  <si>
    <t>家族とマックをたべれてうれしかったです。</t>
  </si>
  <si>
    <t>家族と過ごすことができてたのしかった</t>
  </si>
  <si>
    <t>よく分からない</t>
  </si>
  <si>
    <t>おばあちゃんといっぱい遊べたから</t>
  </si>
  <si>
    <t>まつえのいとこに会いに行けたのでよかったです。</t>
  </si>
  <si>
    <t>いつも行けない所に行けて楽しかった</t>
  </si>
  <si>
    <t>かぞくとかいものをしてたのしかった</t>
  </si>
  <si>
    <t>友だちとあそんだ</t>
  </si>
  <si>
    <t xml:space="preserve">ともだちと、いしょにあそべてうれしい
</t>
  </si>
  <si>
    <t>わかんない</t>
  </si>
  <si>
    <t>楽しかった、家族と過ごす時間を増やしたい</t>
  </si>
  <si>
    <t>風邪をひいていたので、あまり何もしていない。</t>
  </si>
  <si>
    <t>これからもあってほしい</t>
  </si>
  <si>
    <t>外に出てあそんだこと。</t>
  </si>
  <si>
    <t>次は家族とどこかに行きたいです。</t>
  </si>
  <si>
    <t>家族と一緒に楽しく過ごせたのでとかったです。</t>
  </si>
  <si>
    <t>とても楽しかった、また遊びたい</t>
  </si>
  <si>
    <t>大阪に家をきめに行ったのが、楽しかった。</t>
  </si>
  <si>
    <t>親も休みにすると良いと思う</t>
  </si>
  <si>
    <t>みよしともやくんとあそべてたのしかったです。</t>
  </si>
  <si>
    <t>一人で家に過ごせて楽しかった</t>
  </si>
  <si>
    <t>地域の人と関われなかった</t>
  </si>
  <si>
    <t>楽しかったです。来年も休みがいいです</t>
  </si>
  <si>
    <t>家族と楽しく過ごせた。</t>
  </si>
  <si>
    <t>来年も休みが良い</t>
  </si>
  <si>
    <t>家族とたくさん話せた</t>
  </si>
  <si>
    <t>スポーツクラブにいった</t>
  </si>
  <si>
    <t>親も休みにする</t>
  </si>
  <si>
    <t>いろいろな人とふれあう</t>
  </si>
  <si>
    <t>かぞくとかいものにいけてたのしかったです。</t>
  </si>
  <si>
    <t>来年もふれあいホリデーをやってほしい。</t>
  </si>
  <si>
    <t>家族といっしょにホテルに行きました。</t>
  </si>
  <si>
    <t>これからもこういうきかいをつくりたいです</t>
  </si>
  <si>
    <t>家族と1泊2日の旅行ができて楽しかった。</t>
  </si>
  <si>
    <t>結構楽しかったです。</t>
  </si>
  <si>
    <t>とても楽しかった。</t>
  </si>
  <si>
    <t>家族とお出かけしたり、家で過ごしたりした。</t>
  </si>
  <si>
    <t>とってもたのしかった。</t>
  </si>
  <si>
    <t>楽しかったので、良かったです♪</t>
  </si>
  <si>
    <t>暇だった</t>
  </si>
  <si>
    <t>久しぶりに、倉吉市外に出かけてとても楽しかった。</t>
  </si>
  <si>
    <t>親も休みにすれば良いと思います。</t>
  </si>
  <si>
    <t>お母さんの職場</t>
  </si>
  <si>
    <t xml:space="preserve">もっと休みおください
</t>
  </si>
  <si>
    <t>お父さんが休みが取れなくて県外や市外に出れませんでした</t>
  </si>
  <si>
    <t>親など、すべての人が休みにすればいいと思う。</t>
  </si>
  <si>
    <t>意味がない</t>
  </si>
  <si>
    <t>家じゃなくて外に出たりしたいです。</t>
  </si>
  <si>
    <t>とても楽しかったです。
またして欲しいです。</t>
  </si>
  <si>
    <t>県外に大会にいった</t>
  </si>
  <si>
    <t>これらはもっと家族とたくさん触れ合いたいです。</t>
  </si>
  <si>
    <t>とても休みのとれたいい1日でした。またやって欲しいです。</t>
  </si>
  <si>
    <t>一緒ちお出かけできて楽しかったです。</t>
  </si>
  <si>
    <t>友達と遊ぶことができたし、親戚と一緒に過ごすことができて、普段できないことができたので良かったです。</t>
  </si>
  <si>
    <t>友達と遊んで過ごした</t>
  </si>
  <si>
    <t>お母さんとお父さんが仕事で家族と遊びたくても遊べなかったから大人も休みにした方がいいと思います。</t>
  </si>
  <si>
    <t>一人で楽しく家で過ごすことができて楽しかったし、一人で何か食べ物を作って一人で過ごす力がついた</t>
  </si>
  <si>
    <t>親が休みじゃなっかったので、友達とあそ美ました。ゲーム、サッカーが楽しかったです。</t>
  </si>
  <si>
    <t>とても良いふれあいホリデーになりました。</t>
  </si>
  <si>
    <t>家族で、食べに行ったり遊ぶことができて良かったです。</t>
  </si>
  <si>
    <t>家族と一緒に過ごせて良かった。</t>
  </si>
  <si>
    <t>友達と図書館でテスト勉強や、調べ物をしました。宿題が進んでよかったです。</t>
  </si>
  <si>
    <t>父が出張に行っていて、母と妹とぼくとの３人だけだったけど家で楽しく過ごしたので良かったです。</t>
  </si>
  <si>
    <t>1日休みがあるだけでしっかり楽しめたし、平日の休憩みたいでとても良かったです。</t>
  </si>
  <si>
    <t>お家の人といい時間を過ごすことができたからつづけてほしい。</t>
  </si>
  <si>
    <t>ふれあいホリダーの時間で家族と出かけれて、すごく楽しかったです。これからも家族といろんなところに行って楽しみたいです。</t>
  </si>
  <si>
    <t>3日休みがあって、久しぶりにいろんなところに行けたのでよかったです。ふれあいホリデーがあってよかったです。</t>
  </si>
  <si>
    <t>親が仕事で一緒に過ごすことができなかったけど、休みが増えて嬉しかったです</t>
  </si>
  <si>
    <t>自分の幼稚園でイベントがあったからそこに参加した。</t>
  </si>
  <si>
    <t>久しぶりに幼稚園の友達と遊べたし、新しい知識が根付いたので自分にいい経験ができました。例えば、うつぶきやまの言い伝えを初めて知ったしかまどでアップルパイも焼けるようになりました。火の加減がとても難しかったです。でも楽しかったです。</t>
  </si>
  <si>
    <t>ふれあいホリデーの日は、中学校の制服を試着したり、おばあちゃんの家に行ったりしました。楽しかったです。こういう日がまたあったら家族との絆がより深まると思いました。</t>
  </si>
  <si>
    <t>家族と一緒にしさしぶりに楽しく過ごせて楽しかった。</t>
  </si>
  <si>
    <t>1人だけど凄く楽しかったです。1人だからゲームも1人だから好きなだけできて楽しかったです。</t>
  </si>
  <si>
    <t>いつもお休みの日とかは、あんまり関わっていないけれどでも今回のふれあいホリデーは家族みんなで楽しく過ごせたので良い1日になって良かったです。</t>
  </si>
  <si>
    <t>家族で仲良くふれあいできたし、親の仕事や習い事などで、なかなか家族で出かけることがなかったけど、この、ふれあいデーで楽しく触れ合うことができました。たまにも、こういう日があってもいいなと思いました。</t>
  </si>
  <si>
    <t>親が休めなかったのが、残念でした。
ふれあいホリデーの目的にあっていないと思います。
来年は、もう少し気軽に親が休みを取れるような日にしてほしいです。</t>
  </si>
  <si>
    <t>家族と一緒に過ごす時間がたくさんあって、いつもよりたくさんしゃべれた。</t>
  </si>
  <si>
    <t>僕は、中学校の体育館で遊んだり、公民館で料理を作れて楽しかったです。</t>
  </si>
  <si>
    <t>母と妹とぼくだけだったけど家で楽しく過ごしました。</t>
  </si>
  <si>
    <t>ふれあいホリデーの日だけど、お母さん、お父さんは仕事だったので家で過ごしました。仕事をしてくれているので、家でのんびりしていました。これからは、子供だけでも楽しく日ふれあいホリデーを過ごしたいです。</t>
  </si>
  <si>
    <t>楽しく、友達とイベントができてよい1日でした。</t>
  </si>
  <si>
    <t>大人が仕事で遊ぶことができなかったのであまり良くなかった</t>
  </si>
  <si>
    <t>これからもふれあいホリデーを金曜日の休日としてほしいです。家族と一緒に過ごせるし倉吉市のイベントに参加する機会が増えるからです。</t>
  </si>
  <si>
    <t>1人だけど楽しかったです。</t>
  </si>
  <si>
    <t>またしてほしい。</t>
  </si>
  <si>
    <t>その日は、両親が仕事だったので、両親とは夕方から過ごしました。でも、親戚といとこの家が集まって敷地内になっているので、親戚の家に行っていとこと遊びました。とても楽しかったです。
また、友達とも友達の家に行って遊んで、色々な遊びをして凄く楽しかったです。ふれあいホリデーがあってもいいと思います。</t>
  </si>
  <si>
    <t>また企画してほしい。家族と過ごせたから。</t>
  </si>
  <si>
    <t>楽しく過ごせたのでよかったです</t>
  </si>
  <si>
    <t>2日作って欲しい</t>
  </si>
  <si>
    <t>来年もふれあいホリデーをして家族と仲良くなりたいです。</t>
  </si>
  <si>
    <t>来年は友達と一緒に遊びたい</t>
  </si>
  <si>
    <t>来年は６回やってくださいえ</t>
  </si>
  <si>
    <t>来年も作って欲しいです。</t>
  </si>
  <si>
    <t xml:space="preserve">来年は家族と県外に行きたいです
</t>
  </si>
  <si>
    <t>家族とお出掛けに行けてとても楽しかった。これからもふれあいホリデーを楽しみたい！</t>
  </si>
  <si>
    <t>来年は６回よろしくお願いします</t>
  </si>
  <si>
    <t>ふれあいホリデーの日に、児童クラブのみんなでバス遠足に行けてとても楽しかったです。
できれば、来年もふれあいホリデーの日をつくってくれたら、嬉しいです。</t>
  </si>
  <si>
    <t>来年もつくってほしいです。</t>
  </si>
  <si>
    <t>来年は友達とも遊びたいです</t>
  </si>
  <si>
    <t>来年は、家族と一緒にお出かけしたいです。</t>
  </si>
  <si>
    <t>感想とても楽しかったし､またふれあいホリデー　をまたやってほしいと思いました。</t>
  </si>
  <si>
    <t xml:space="preserve">来年「2025年」も、ふれあいホリデーをつくってください。🙇‍♀️ </t>
  </si>
  <si>
    <t>親と楽しく旅行に行けたのでよかった。来年も金曜日にふれあいホリデーをしてください。</t>
  </si>
  <si>
    <t>児童センターの行事で野外炊飯をして楽しかったです。また、ふれあいホリデーがあって欲しいです。</t>
  </si>
  <si>
    <t xml:space="preserve">楽しく
</t>
  </si>
  <si>
    <t>サンサンじゃなくて家で楽しくすごしたかった</t>
  </si>
  <si>
    <t>学校に遊びに行った</t>
  </si>
  <si>
    <t>家でゆっくりして居る</t>
  </si>
  <si>
    <t xml:space="preserve">楽しい時間を過ごせました。
</t>
  </si>
  <si>
    <t>休みだったので家族と楽しく過ごすことができました。また、この休みがあったらいいと思いました。</t>
  </si>
  <si>
    <t>いろいろなことをしてたのしかった。</t>
  </si>
  <si>
    <t>楽しくする</t>
  </si>
  <si>
    <t xml:space="preserve">家でゆっくり過ごす
</t>
  </si>
  <si>
    <t>家族でと一緒に過ごせて嬉しかったです</t>
  </si>
  <si>
    <t>友達と一緒に遊べて楽しかった</t>
  </si>
  <si>
    <t>より良い学校にしていきたい</t>
  </si>
  <si>
    <t>ひょうごに、三日行きました。楽しかったです。</t>
  </si>
  <si>
    <t>もっと楽しく仲良く喧嘩もなく凄いたらいいです！😊</t>
  </si>
  <si>
    <t>お兄ちゃんのへやでゲームをしていた。</t>
  </si>
  <si>
    <t>いっぱい勉強したい</t>
  </si>
  <si>
    <t>U S J</t>
  </si>
  <si>
    <t>楽しかった、元気にすごす</t>
  </si>
  <si>
    <t xml:space="preserve">家でゲーむをしていた。
</t>
  </si>
  <si>
    <t>いとことイオンとごはん食べにいった。</t>
  </si>
  <si>
    <t>楽しかった(あそべて)</t>
  </si>
  <si>
    <t>ほかの県に行った</t>
  </si>
  <si>
    <t>とっとり県内の米子などまだ、入っていない場所に行きたいです。</t>
  </si>
  <si>
    <t>これから家族の時間を過ごす</t>
  </si>
  <si>
    <t>友達と遊べて楽しかった</t>
  </si>
  <si>
    <t xml:space="preserve">楽しっかたです
</t>
  </si>
  <si>
    <t>お手伝いなどを、たくさんしたいです。</t>
  </si>
  <si>
    <t>暇なのでイベント等を作って欲しい</t>
  </si>
  <si>
    <t xml:space="preserve">またこれからも行なって欲しい
</t>
  </si>
  <si>
    <t>おばあちゃんのいえですごした</t>
  </si>
  <si>
    <t>これからは安静にして過ごしたい</t>
  </si>
  <si>
    <t>これからも、ぎょうぎよくしたいです。</t>
  </si>
  <si>
    <t>家の人はいなかったけど楽しく過ごせれて良かった。</t>
  </si>
  <si>
    <t>おばあちゃんとパン作りをして楽しかったです。</t>
  </si>
  <si>
    <t>お母さんと弟と私で遊びました。
楽しかったです。</t>
  </si>
  <si>
    <t>これからもふれあいホリデーでの時は、家族皆んなで出かけたり、イベントに参加したりしたいです。</t>
  </si>
  <si>
    <t>1年いかいだっ田のでまた家族楽しみたいです</t>
  </si>
  <si>
    <t>すごくいい気持ちで1日すごしました</t>
  </si>
  <si>
    <t>家族と一緒に過ごせられたのでよかったです。</t>
  </si>
  <si>
    <t xml:space="preserve">家族と一緒に過ごしたり、お手伝いしたりみんなでいっしょにすごせれてよかったなとおもいました。
</t>
  </si>
  <si>
    <t>家族と友達たちで過ごしました。</t>
  </si>
  <si>
    <t>親と友達と僕でボーリングに行きました。楽しかったです。</t>
  </si>
  <si>
    <t>家族と親戚と旅行に行った</t>
  </si>
  <si>
    <t>とても羽休めになったのでこれからも続けてほしいです</t>
  </si>
  <si>
    <t>家族と友達と倉吉市以外で遊んだ。</t>
  </si>
  <si>
    <t xml:space="preserve">
これからもたくさん思い出を作りたいです。
</t>
  </si>
  <si>
    <t>これからは安全にすごす</t>
  </si>
  <si>
    <t>ケータイでゲームをした。</t>
  </si>
  <si>
    <t>家族と友達で倉吉市外で遊んだ。</t>
  </si>
  <si>
    <t>友達といろいろいけたので楽しかったです。</t>
  </si>
  <si>
    <t>船上山に行って、山の中にはトカゲや水の中にいろいろな生物がいることがわかりました。
途中で川に入りました。魚も見つけました。
楽しかったです。</t>
  </si>
  <si>
    <t>いとこと遊ぶことができて嬉しかったです</t>
  </si>
  <si>
    <t>イベントに行って楽しかった。</t>
  </si>
  <si>
    <t>家族といっしょに楽しくすごせた。</t>
  </si>
  <si>
    <t>イベントに参加して楽しかったです。</t>
  </si>
  <si>
    <t>たのしかったので、y来年もさんかしたいです。</t>
  </si>
  <si>
    <t>かぞくやどうぶつとふれあえてうれしかった。</t>
  </si>
  <si>
    <t>これからもいきたいです。</t>
  </si>
  <si>
    <t>地域の人と触れ合えてよかったです。</t>
  </si>
  <si>
    <t>かぞくで出かけて楽しかったです。</t>
  </si>
  <si>
    <t>パスタ作りました。またふれあいホリデーをしたいです。</t>
  </si>
  <si>
    <t>かぞくでかいものにいって、いろいろあそべてうれしかったです。</t>
  </si>
  <si>
    <t>家族と、鳥取に行っておかいものに行けてよかったです。</t>
  </si>
  <si>
    <t>妹と仲良くしたい。</t>
  </si>
  <si>
    <t>ラッキー</t>
  </si>
  <si>
    <t>家族全員で過ごす時間があまりなかったので、家族全員で過ごせてよかった</t>
  </si>
  <si>
    <t>楽しかった。これからもこういう機会を増やしてほしい。</t>
  </si>
  <si>
    <t>楽しっかたし家族との時間を取れた</t>
  </si>
  <si>
    <t>休みがあるとゆっくりできたので良かったです。</t>
  </si>
  <si>
    <t>勉強していた。</t>
  </si>
  <si>
    <t>家族と一緒に家にいる時間が増えてとても良かった</t>
  </si>
  <si>
    <t>普通の日でももっともっと楽しみたいです。</t>
  </si>
  <si>
    <t>関わり合いがよかった</t>
  </si>
  <si>
    <t>家族と過ごす時間が増えてとても楽しかった！</t>
  </si>
  <si>
    <t>特になし</t>
  </si>
  <si>
    <t>なiい</t>
  </si>
  <si>
    <t>家族との貴重な時間だった
来年も行ってほしい</t>
  </si>
  <si>
    <t>家族と過ごした</t>
  </si>
  <si>
    <t>来年もやってほしい</t>
  </si>
  <si>
    <t>家族と楽しく過ごすことができたので、来年も実施したら良いと思います</t>
  </si>
  <si>
    <t>このまま続けてほしい</t>
  </si>
  <si>
    <t>とくにない</t>
  </si>
  <si>
    <t>休みは良かったけど平日は家族が仕事だったからあまり意味がなかった</t>
  </si>
  <si>
    <t>とてもいいふれあいホリデーだった</t>
  </si>
  <si>
    <t>来年も行ってほしいと思いました</t>
  </si>
  <si>
    <t>良い１日だった</t>
  </si>
  <si>
    <t>家族との時間を久しぶりに取れて楽しかった。</t>
  </si>
  <si>
    <t>来年はもっと多い頻度で行ってほしい</t>
  </si>
  <si>
    <t>家族や出かけれるのでいいと思います</t>
  </si>
  <si>
    <t>地域でもイベントをしたかった</t>
  </si>
  <si>
    <t xml:space="preserve">ない
</t>
  </si>
  <si>
    <t>母が仕事だったので一緒にどこもいけませんでした</t>
  </si>
  <si>
    <t>普段妹や弟と平日に、過ごすことがなかったのでとても良かったです。</t>
  </si>
  <si>
    <t>家族との貴重な時間になった
来年はできれば月に一度行ってほしい</t>
  </si>
  <si>
    <t>家族と関わっていきたいです。</t>
  </si>
  <si>
    <t>家族とお出かけに行ったりご飯を食べに行ったりしてとても楽しかったです。なのでこれからもふれあいホリデーはあってほしいです！</t>
  </si>
  <si>
    <t>大阪まで旅行に行けたのでとてもリラックスできた。</t>
  </si>
  <si>
    <t>家族で話した</t>
  </si>
  <si>
    <t>もっと家族と一緒にいたほうがいい</t>
  </si>
  <si>
    <t>いつもの休日と変わらなかったけど、休みが一日増えて正直嬉しかったです。ふれあいホリデーはあってもなくてもどちらでもいいかなと感じました。</t>
  </si>
  <si>
    <t>月１で</t>
  </si>
  <si>
    <t>あまり覚えていない</t>
  </si>
  <si>
    <t>とても快適に過ごせた　</t>
  </si>
  <si>
    <t>ないし</t>
  </si>
  <si>
    <t>楽しく過ごしたい</t>
  </si>
  <si>
    <t>楽しく仲を深めることができました。</t>
  </si>
  <si>
    <t>来年もあってほしい</t>
  </si>
  <si>
    <t>ふれあいホリデーを増やす</t>
  </si>
  <si>
    <t>もっとべつのところにもいきたい</t>
  </si>
  <si>
    <t>より家族が仲が良くなった</t>
  </si>
  <si>
    <t>イベントなどに参加して休日を楽しみたい</t>
  </si>
  <si>
    <t>久しぶりに家族と関われて楽しかった</t>
  </si>
  <si>
    <t>ともだちとあそんだ</t>
  </si>
  <si>
    <t>良い時間を過ごせた
とってもいいと思うのでもっと増やしてほしい</t>
  </si>
  <si>
    <t>ふれあいホリデーの日は親も会社を休みにしたら、子供とのふれあい時間が増えると思う。</t>
  </si>
  <si>
    <t xml:space="preserve">来年もしたい
</t>
  </si>
  <si>
    <t>もっと家族とふれあう</t>
  </si>
  <si>
    <t>毎月あって欲しい</t>
  </si>
  <si>
    <t>もっと増やしたらいいと思う</t>
  </si>
  <si>
    <t>もう少し増やしてみてもいいと思う</t>
  </si>
  <si>
    <t>ふれあいホリデーをふやす</t>
  </si>
  <si>
    <t>ゆっくり休めてよかった</t>
  </si>
  <si>
    <t>リラックスできた</t>
  </si>
  <si>
    <t>休みならもっと大きな連休にしてほしいです</t>
  </si>
  <si>
    <t>数ヶ月に一回にするともっといいと思う</t>
  </si>
  <si>
    <t>もっと話をする</t>
  </si>
  <si>
    <t>年に10回ほどほしいです</t>
  </si>
  <si>
    <t>親が仕事でいないので普通の休日と同じに感じた。</t>
  </si>
  <si>
    <t>お母さんの職場で小さいこと一緒に関わった</t>
  </si>
  <si>
    <t>家族と触れ合えて楽しかった</t>
  </si>
  <si>
    <t>家族ふれあいホリデーという名前なのでいつもより一緒に過ごそうって思えました</t>
  </si>
  <si>
    <t>祭を開いてほしい</t>
  </si>
  <si>
    <t>親の仕事も休ませる</t>
  </si>
  <si>
    <t>楽しいことをもっとしようと思った</t>
  </si>
  <si>
    <t>休みさいこう</t>
  </si>
  <si>
    <t>いらないと思います</t>
  </si>
  <si>
    <t>必要</t>
  </si>
  <si>
    <t>もっとつくる</t>
  </si>
  <si>
    <t>こういうホリデーとかじゃなくても手伝いを頻繁に出来るようになりたいです。</t>
  </si>
  <si>
    <t>どの世代でも楽しいと思えるようにしたらいいと思う</t>
  </si>
  <si>
    <t>また家族でゆっくり過ごせたら良いです</t>
  </si>
  <si>
    <t>親は両方とも仕事だったからなにもできなかった</t>
  </si>
  <si>
    <t>親が両方休めないから楽しくない</t>
  </si>
  <si>
    <t>大人が仕事でいなくて、結局子供だけで過ごすことになったから、なんのための休みなのかよくわからなかった</t>
  </si>
  <si>
    <t>家族で楽しい時間を過ごすことができました</t>
  </si>
  <si>
    <t>もっとふれあいホリデーを増やす</t>
  </si>
  <si>
    <t>もっと休みを増やしてほしいです</t>
  </si>
  <si>
    <t>楽しめた</t>
  </si>
  <si>
    <t>家族といるのが楽しかった。</t>
  </si>
  <si>
    <t>増やす</t>
  </si>
  <si>
    <t>もっとあってもいい</t>
  </si>
  <si>
    <t>親が半分無理して休まなければならない。こどもとして申し訳ない。休日はありがたいが、親に負担がかかるのであればやめてほしい。</t>
  </si>
  <si>
    <t>もっと休暇を増やしてほしいです</t>
  </si>
  <si>
    <t>次は家族と過ごしたい</t>
  </si>
  <si>
    <t>もっとあってもいいと思います</t>
  </si>
  <si>
    <t>お金援助してくれたら取り組むわ</t>
  </si>
  <si>
    <t>1人で勉強したり、ゲームをしたりした。</t>
  </si>
  <si>
    <t>とても楽しくできた。また、やってみてもいいと思う。</t>
  </si>
  <si>
    <t>家族と過ごせる大切な時間を作ることがとても大切だと思いました。</t>
  </si>
  <si>
    <t>良い一日だった</t>
  </si>
  <si>
    <t>クラブでサッカーしました</t>
  </si>
  <si>
    <t>サッカー頑張る</t>
  </si>
  <si>
    <t>もっと増やす</t>
  </si>
  <si>
    <t>家族との時間を大切にする日を増やす</t>
  </si>
  <si>
    <t>母しかいないのであってもなくてもどちらでもいいと思った</t>
  </si>
  <si>
    <t>父親とラウンドした</t>
  </si>
  <si>
    <t>またあったら、いいなと思った。</t>
  </si>
  <si>
    <t>子どもだけで地域外で遊んだ</t>
  </si>
  <si>
    <t>もっとこうゆう休みを増やす</t>
  </si>
  <si>
    <t xml:space="preserve">これからもどんどんこんな日を増やしてほしいと思います。
これのおかげいつも頑張って家事をしてくれている母を休ませてあげることができました。
</t>
  </si>
  <si>
    <t>めちゃよくてとくにくらよしだけなのもいい</t>
  </si>
  <si>
    <t>毎年行ってください。</t>
  </si>
  <si>
    <t>頻度を年一から三ヶ月に一回</t>
  </si>
  <si>
    <t>友達とゲームや通話してた</t>
  </si>
  <si>
    <t>楽しかった　もう少し家族との時間を増やす</t>
  </si>
  <si>
    <t>倉吉地域の学校だけでなく会社なども休みにする</t>
  </si>
  <si>
    <t>親も休みにしてほしい。</t>
  </si>
  <si>
    <t>倉吉市だけ休みで普段ひとの多いところが人が少なくて良かった</t>
  </si>
  <si>
    <t>湯村温泉に行って楽しかったです</t>
  </si>
  <si>
    <t>家族とすごすのは大切だとおもった</t>
  </si>
  <si>
    <t xml:space="preserve">ふれあいホリデーはとても良いものだと思うから続けたほうがいい
</t>
  </si>
  <si>
    <t>家族といっしょに出かけてとても楽しかったです。</t>
  </si>
  <si>
    <t xml:space="preserve">これからも家族となかよく暮らしていこうとおもいました
</t>
  </si>
  <si>
    <t>受験勉強頑張る</t>
  </si>
  <si>
    <t>家族と過ごせて楽しかった</t>
  </si>
  <si>
    <t>これからもどんどんと取り入れてほしい</t>
  </si>
  <si>
    <t>愛する</t>
  </si>
  <si>
    <t>親子で一緒に過ごすといっても仕事を休んで、休みの子どもの面倒を見ないといけない家庭もあると思うのでそこの負担ももう少し考えたら良かったと思います</t>
  </si>
  <si>
    <t>お母さんは仕事で家で過ごすことが、できなかったけど、おばあちゃんと過ごすことができて良かったです</t>
  </si>
  <si>
    <t>あんまり祝日感はなかった</t>
  </si>
  <si>
    <t>旅行に行きました。楽しかったです。</t>
  </si>
  <si>
    <t>休める日にちを家族で決められるようにしたらいいと思います。</t>
  </si>
  <si>
    <t>たまにはほしい</t>
  </si>
  <si>
    <t>ゴールデンウィークにふれあいホリデーをお願いします</t>
  </si>
  <si>
    <t>遠出が酔いやすくてしんどかった。</t>
  </si>
  <si>
    <t>仲良く生きていく</t>
  </si>
  <si>
    <t>ふれあいを多くする</t>
  </si>
  <si>
    <t>親も仕事休みにしてほしい</t>
  </si>
  <si>
    <t>毎日ファミリーホリデーにしてほしい</t>
  </si>
  <si>
    <t>この日の特別なイベントを開催する</t>
  </si>
  <si>
    <t>親と過ごす時間は大切だとわかった。</t>
  </si>
  <si>
    <t>これからも続け、日数を増やしたらいいと思う</t>
  </si>
  <si>
    <t>家族と過ごせる時間が増えてとても良かったです</t>
  </si>
  <si>
    <t>友だちと遊びました。</t>
  </si>
  <si>
    <t>また機会があったらこのようなお休みをください。</t>
  </si>
  <si>
    <t>家族と過ごすことができた</t>
  </si>
  <si>
    <t>ふれあいホリデーを続けてほしい</t>
  </si>
  <si>
    <t>毎週でいいです。毎週でお願いします</t>
  </si>
  <si>
    <t>これからもふれあいホリデーを続けてほしいです。</t>
  </si>
  <si>
    <t>友達と本を買いに行った</t>
  </si>
  <si>
    <t>家族と過ごす時間を作りたい</t>
  </si>
  <si>
    <t>家族と過ごす時間を増やす。</t>
  </si>
  <si>
    <t>もっとこうゆう機会がほしいです</t>
  </si>
  <si>
    <t>友達と本を買いにいった</t>
  </si>
  <si>
    <t>これからも身近な人との関わりを大事にする</t>
  </si>
  <si>
    <t>アニメが見れた、ごろごろできた</t>
  </si>
  <si>
    <t>家族と居れる時間を増やしたいので休日を増やしてほしい</t>
  </si>
  <si>
    <t>これからもあっていいと思う</t>
  </si>
  <si>
    <t>次はなにかイベントに参加したい</t>
  </si>
  <si>
    <t>もっと家族と何かしたい</t>
  </si>
  <si>
    <t>ずっとふれあいホリデーを続けてほしい</t>
  </si>
  <si>
    <t>こうゆう休みを増やしたらうれしいです</t>
  </si>
  <si>
    <t>家族とお出かけできたし遊べたので良かった</t>
  </si>
  <si>
    <t>楽しかったこれからも続けてほしい</t>
  </si>
  <si>
    <t>毎日にしてほしい</t>
  </si>
  <si>
    <t>あっていいと思います</t>
  </si>
  <si>
    <t>ボランティアにも参加する。</t>
  </si>
  <si>
    <t>休みになるならそれでいいけど親がそもそも休みじゃなかったので意味がないと思います
そしてそんなことをするより学校の授業をしたほうがいいと思いました</t>
  </si>
  <si>
    <t>家族と行けるイベントがなかった。</t>
  </si>
  <si>
    <t>ふれあいたい</t>
  </si>
  <si>
    <t>なにもしてない</t>
  </si>
  <si>
    <t>つづける</t>
  </si>
  <si>
    <t>ふれあいホリデーを１ヶ月に一回にしてほしいです</t>
  </si>
  <si>
    <t>もっと楽しく遊べるようにする</t>
  </si>
  <si>
    <t>行ってない</t>
  </si>
  <si>
    <t>家族の人(おじいちゃん)とお出かけできたから嬉しかった</t>
  </si>
  <si>
    <t>お父さんの会社</t>
  </si>
  <si>
    <t>これからはい遊びたいです</t>
  </si>
  <si>
    <t>家でゲームをしました。</t>
  </si>
  <si>
    <t>家族と仲良くする</t>
  </si>
  <si>
    <t>家族と、旅行とか？</t>
  </si>
  <si>
    <t>平日と、休日は、お母さんと、お父さんが結構いないからフレアイホリデーは、良い日だなと思いました。</t>
  </si>
  <si>
    <t>家族と触れ合えて楽しかった。</t>
  </si>
  <si>
    <t>児童センターで過ごした</t>
  </si>
  <si>
    <t>家族とふれあえた</t>
  </si>
  <si>
    <t>家族とふれあえてよかったです</t>
  </si>
  <si>
    <t>休みが増えてほしうい</t>
  </si>
  <si>
    <t>家族全員で遊んだり、何かをすることが少なくなってしまったので、今回のように、何かをして仲を深めるというのは、これからも大切だと思いました。</t>
  </si>
  <si>
    <t>おとうさんといっしょにあそべてうれしっかたです</t>
  </si>
  <si>
    <t>家族とでかけれてよかったです。</t>
  </si>
  <si>
    <t>楽しくあそべれたり、でかけれて、楽しい休みだった。</t>
  </si>
  <si>
    <t>かぞくがやすみじゃなくてあまり話せなかった。</t>
  </si>
  <si>
    <t>学園の人とあそんだ</t>
  </si>
  <si>
    <t>一日中家族といる時間が多いから楽しかったです。</t>
  </si>
  <si>
    <t>また一緒に過ごしたい</t>
  </si>
  <si>
    <t>来年は、家族で過ごしたいです。</t>
  </si>
  <si>
    <t>昼ごはんお父さんと食べて楽しかった</t>
  </si>
  <si>
    <t xml:space="preserve">またふれあいホリデーが、あってほしい。
</t>
  </si>
  <si>
    <t>自分では快適だったけど親は親の負担がかかるから(仕事などで)やめてほしいと言っていた。</t>
  </si>
  <si>
    <t>その時にイベントがあれば良いと思う</t>
  </si>
  <si>
    <t>おばあちゃんとお兄ちゃんと、イオンで過ごした。</t>
  </si>
  <si>
    <t>これからもこの休みを過ごしたい。</t>
  </si>
  <si>
    <t>今年はイベントに参加できなかったから、来年は参加してみたいです。</t>
  </si>
  <si>
    <t>　無い</t>
  </si>
  <si>
    <t>別にいい</t>
  </si>
  <si>
    <t>ふれあいホリデーは県外に出かけました。家族とたくさん遊べました。
これからも続けて欲しいです。</t>
  </si>
  <si>
    <t>これからも続いてほしい</t>
  </si>
  <si>
    <t>休みが取りやすい日にしてほしい。</t>
  </si>
  <si>
    <t>続けて欲しい。</t>
  </si>
  <si>
    <t xml:space="preserve">休日になってほしい
</t>
  </si>
  <si>
    <t>ふれあいホリデーが月曜日にあってほしい。</t>
  </si>
  <si>
    <t>来年もやって欲しいし、家族の休みの時にして欲しいです。</t>
  </si>
  <si>
    <t>友達と過ごした。</t>
  </si>
  <si>
    <t>これからも続けて欲しい</t>
  </si>
  <si>
    <t>一人でいえですごした</t>
  </si>
  <si>
    <t>これからの、ふれあいホリデーは、家族と一緒に過ごしたい</t>
  </si>
  <si>
    <t>またやって欲しいです。</t>
  </si>
  <si>
    <t>お母さんのしょくばで、５時３０分まではたらいた。</t>
  </si>
  <si>
    <t>またしょくばあではたらきたい</t>
  </si>
  <si>
    <t xml:space="preserve">友達とも、家族とも、遊べたり、いろいろ作れたから楽しかった
</t>
  </si>
  <si>
    <t>良かった</t>
  </si>
  <si>
    <t>また休みになってほしい</t>
  </si>
  <si>
    <t>まだ休みがいい</t>
  </si>
  <si>
    <t>また休みになって欲しい</t>
  </si>
  <si>
    <t>また休みながら家族と出かけたい</t>
  </si>
  <si>
    <t>これから、もっと家族とふれあいたいです</t>
  </si>
  <si>
    <t>また休みにいなって欲しい</t>
  </si>
  <si>
    <t>またやすみになってほしい</t>
  </si>
  <si>
    <t>あ</t>
  </si>
  <si>
    <t>また、休みになってほしい。おばあちゃんと、一緒にいる機会がふえてよかった。</t>
  </si>
  <si>
    <t>　また休
また</t>
  </si>
  <si>
    <t>また休みたいです。</t>
  </si>
  <si>
    <t>これからも続けていけばよいと思う。</t>
  </si>
  <si>
    <t>もっと倉吉市の祝日を増やして取り組んでいきたいです。</t>
  </si>
  <si>
    <t>親や高校生も休みにするべき</t>
  </si>
  <si>
    <t>ふれあいと言うよりやりたいことを楽しむ日だった</t>
  </si>
  <si>
    <t>あまりイベントがない時期にふれあいホリデーをすればいいと思う</t>
  </si>
  <si>
    <t>たくさんの人とふれ合えてうれしかった</t>
  </si>
  <si>
    <t>またこれからもあってほしい</t>
  </si>
  <si>
    <t>良い1日になりました。これからも続けてもらいたいです。</t>
  </si>
  <si>
    <t>勉強ができて良かったです。</t>
  </si>
  <si>
    <t>友達と遊んでいた。</t>
  </si>
  <si>
    <t>またあると、家族との時間がふえたり、友達とも仲を深められると思いました。
あと、10月は、スポーツの日があるので、もう一個祝日があると嬉しいなと思います。</t>
  </si>
  <si>
    <t>9月12日の鳥取県民の日をこのような休日にした方が、関東地方の方では東京都民の日に学校とかが休みになっているから9月12日を休みにした方が良いと思います。</t>
  </si>
  <si>
    <t>家族や友達と過ごせて良かったです</t>
  </si>
  <si>
    <t>友達と楽しい幸せな時間を過ごした。</t>
  </si>
  <si>
    <t>来年はちゃんとふれあいホリデーという名前として家族との大切な時間を過ごしたいです。</t>
  </si>
  <si>
    <t xml:space="preserve">特に、ありません。
</t>
  </si>
  <si>
    <t>たのしかったけど子供が休みで親が仕事だったら意味がないと思いまー水産良いちょまる。</t>
  </si>
  <si>
    <t>私たちだけが休みで家族は普通に平日だったので学校の振替休日みたいな感じでした。これから、半日だけ学校に来て早帰りにしてもいいと私は思います。</t>
  </si>
  <si>
    <t>親も休ませる</t>
  </si>
  <si>
    <t>散髪に行きました。</t>
  </si>
  <si>
    <t>散髪に定期的に行きます。</t>
  </si>
  <si>
    <t>これからもつづけるのがいいとおもう</t>
  </si>
  <si>
    <t>とくになし　</t>
  </si>
  <si>
    <t>もっとこうゆう場を増やす</t>
  </si>
  <si>
    <t>楽しく生きる</t>
  </si>
  <si>
    <t>遊ぶ日にする</t>
  </si>
  <si>
    <t xml:space="preserve">家族の思い出が増えるのでまたやりたい
</t>
  </si>
  <si>
    <t>塾で勉強していた</t>
  </si>
  <si>
    <t>親も仕事を休ませないと、ホリデーとしての日の意味がないと思います。</t>
  </si>
  <si>
    <t>親が仕事だったので意味をなしていなかった。</t>
  </si>
  <si>
    <t>休みが一日増えたので家族とふれあいの時間が増えたので良かったです。</t>
  </si>
  <si>
    <t>勉強ができてよかったですが親が休みじゃなかったです。</t>
  </si>
  <si>
    <t>休日は休日だし、平日は平日なので区別をつけてほしい。</t>
  </si>
  <si>
    <t>家族との時間を過ごすことができてよかった。</t>
  </si>
  <si>
    <t>親も休めるようにする</t>
  </si>
  <si>
    <t>バスケの試合に行った</t>
  </si>
  <si>
    <t>また来年も休みたいです。</t>
  </si>
  <si>
    <t>友達と出かけた</t>
  </si>
  <si>
    <t>来年は、家族との時間を増やしたいので、1週間休みがほしい</t>
  </si>
  <si>
    <t>もっと休みが欲しいです。</t>
  </si>
  <si>
    <t>僕は、外で運動をもっとしたいです。</t>
  </si>
  <si>
    <t>いつも通りの土日みたいな感じでした</t>
  </si>
  <si>
    <t>家族と友達と遊んだ</t>
  </si>
  <si>
    <t>こういう日があることで家族の仲も深まったのでよかったです。</t>
  </si>
  <si>
    <t>僕は、もっと家でゲームをしたいです。</t>
  </si>
  <si>
    <t>楽しかったので、これからもまた遊びたいです。</t>
  </si>
  <si>
    <t>友達、友達のお父さんと県外で遊んだ。</t>
  </si>
  <si>
    <t>ふれあいホリデーは、平日だから、家族と遊べませんでした。</t>
  </si>
  <si>
    <t>旅行に行った</t>
  </si>
  <si>
    <t>　旅行は楽しかった。</t>
  </si>
  <si>
    <t>おばあちゃんちに泊まった。</t>
  </si>
  <si>
    <t>次は、みんなですごしたい。</t>
  </si>
  <si>
    <t>これからもずっと家にいるんじゃなくて、たまには友達と外で遊びたいです。</t>
  </si>
  <si>
    <t>親が仕事の休みを取る事が出来ないので、できれば休みを取れるようにしてほしい</t>
  </si>
  <si>
    <t>進んで課題に取り組むことができました</t>
  </si>
  <si>
    <t>もっと遊びに、行きたい。</t>
  </si>
  <si>
    <t>子供だけでなしっこ館に、はいれて楽しかったです。</t>
  </si>
  <si>
    <t>ふれあいホリデーでいろんなことをして楽しかった</t>
  </si>
  <si>
    <t>家族とご飯を食べに行ったりする。</t>
  </si>
  <si>
    <t>これからは、イベントに参加したい。</t>
  </si>
  <si>
    <t>これからはこの日を使ってもっと家族と親しみたいです。</t>
  </si>
  <si>
    <t>これからも家族と親しみたいです。</t>
  </si>
  <si>
    <t>いろんな人と、ふれあっていきたい。</t>
  </si>
  <si>
    <t xml:space="preserve">楽しむ
</t>
  </si>
  <si>
    <t>家族とに過ごす。</t>
  </si>
  <si>
    <t xml:space="preserve">・ふれあいホリデーなのに家族が仕事だからふれあいホリデーは休みにすればいいと思います。でも楽しかったです。
</t>
  </si>
  <si>
    <t>・ふれあいホリデーの意味がわかっていない人がいるかも知れない。</t>
  </si>
  <si>
    <t>親戚と家族で倉吉市外に出かけた</t>
  </si>
  <si>
    <t>一緒に遊べてよかった</t>
  </si>
  <si>
    <t>休みをもっとふやしてほしい</t>
  </si>
  <si>
    <t>休みを、ふやしてほしい</t>
  </si>
  <si>
    <t>休みをして欲しい</t>
  </si>
  <si>
    <t xml:space="preserve">もっと楽しく過ごしたいです。
</t>
  </si>
  <si>
    <t>子どもだげで次のふれあいホリデーの時お家の人とイベントに参加したいです。</t>
  </si>
  <si>
    <t>これからは、家族ことを大切して、いろんなイベントに行ったりすることです</t>
  </si>
  <si>
    <t>またこのようなお休みがあるといいです。</t>
  </si>
  <si>
    <t>春もふれあいホリデーがあるといいです。</t>
  </si>
  <si>
    <t>またふれあいホリデーがあるとうれしいです。</t>
  </si>
  <si>
    <t>旅行</t>
  </si>
  <si>
    <t>おぼえていNAI</t>
  </si>
  <si>
    <t>来年もふれあいホリデーがあるとうれしいです。</t>
  </si>
  <si>
    <t>家族と一緒に楽しめてよかったなぁと思った</t>
  </si>
  <si>
    <t>私はお父さんの仕事の間でいっぱい遊びました。すごい変な白雪姫を見てびっくりしました。</t>
  </si>
  <si>
    <t>僕はソーマさんと遊びました。僕はそれで青虫さんと遊びました。そしたら楽しかったです。これこれで終わります。ありがとうございました。あと僕と遊び自分と遊びました。これで終わります。</t>
  </si>
  <si>
    <t>学童でおみくじしていろんなものを探して楽しかったです。これで終わります。</t>
  </si>
  <si>
    <t>色々な人とふれ会えました。来年以降もしてほしいです</t>
  </si>
  <si>
    <t>ママのお仕事について行った。</t>
  </si>
  <si>
    <t>ママがテレビに出てるから、そのテレビのお仕事について行った。テレビの裏側を見た。知らないことがいっぱいあってすごかった。テレビにはいろんな人の努力があることがわかった。みんな優しくしてくれたから、来年もふれあいホリデーがあったらいいなと思った。</t>
  </si>
  <si>
    <t>家族ともっと触れあえて嬉しかったです。もっとあってほしいです。</t>
  </si>
  <si>
    <t>友達と倉吉市外に出かけた</t>
  </si>
  <si>
    <t>楽しかったから来年もふれあいホリデーほしいです。</t>
  </si>
  <si>
    <t xml:space="preserve">これからも、かぞくといっしょにいたいです。
</t>
  </si>
  <si>
    <t>らいねんはかぞくといっしょに過ごしたいです。だからなくならないでほしいです。</t>
  </si>
  <si>
    <t>また、来年してほしいです。</t>
  </si>
  <si>
    <t>楽しかたので来年もお願いします</t>
  </si>
  <si>
    <t>広島県の福山市に行ってそこで家族と過ごし、楽しかったから、来年もしてほしいです。</t>
  </si>
  <si>
    <t>来年は家族とゆっくりしたいです。だから無くならないでほしです。</t>
  </si>
  <si>
    <t>母といましたが、特には、何もやっていません。</t>
  </si>
  <si>
    <t xml:space="preserve">楽しかったです。
</t>
  </si>
  <si>
    <t>眼科に行き、その後図書館に行ってイベントに参加しました。</t>
  </si>
  <si>
    <t>一年に何回か欲しいです。もしくは、図書館や未来中心でのイベントを増やして欲しいです。</t>
  </si>
  <si>
    <t>家族で楽しく過ごす事が出来たので来年もふれあいホリデーがあったらいいなと思いました。それからもう少しふれあいホリデーがあったらもっといろんな人と触れ合えるんじゃないかなと思いました。</t>
  </si>
  <si>
    <t>家族と、たくさんいられたから、もっとほしいです。</t>
  </si>
  <si>
    <t>地域の方々と触れ合うことができるのでふれあいほりでーほしいです。</t>
  </si>
  <si>
    <t>僕は、図書館司書体験をしました。とても良い体験ができたのでよかったです。</t>
  </si>
  <si>
    <t xml:space="preserve">無いです
</t>
  </si>
  <si>
    <t>家族とゆっくり過ごせた。</t>
  </si>
  <si>
    <t>休みがある事で体を休めることができました。</t>
  </si>
  <si>
    <t>友達と、家で遊びました。(家族も、いました。)</t>
  </si>
  <si>
    <t>とてもゆったり過ごせてとても良かったです。でもたまには外にも出たいなと思いました。</t>
  </si>
  <si>
    <t>家で過ごした。</t>
  </si>
  <si>
    <t>家族や友達と楽しく過ごす！！</t>
  </si>
  <si>
    <t>病気にならずに元気にすごしたいです</t>
  </si>
  <si>
    <t>家族や友達と遊べたりできてたのしかった！</t>
  </si>
  <si>
    <t xml:space="preserve">安全に過ごしたいです
</t>
  </si>
  <si>
    <t>家族と言い時間を過ごせた。</t>
  </si>
  <si>
    <t>家族といろいろなことをして遊びたい</t>
  </si>
  <si>
    <t>とても良かったし、ゆったりできて気持ちよかったです。</t>
  </si>
  <si>
    <t>休みがあることで家族と休めてよかったです。</t>
  </si>
  <si>
    <t>勉強したりできて、よかった</t>
  </si>
  <si>
    <t>楽しく過ごせた。</t>
  </si>
  <si>
    <t>おばあちゃんと一緒にいた</t>
  </si>
  <si>
    <t>感想はかぞくといたかったです。</t>
  </si>
  <si>
    <t>家族と旅行に行った</t>
  </si>
  <si>
    <t>これからも来年や再来年も地付けてもいいと思う。</t>
  </si>
  <si>
    <t>ふれあいホリデーは子供たちが休んでくださいねってゆう休日なんだなと思いました。</t>
  </si>
  <si>
    <t>もっといろんなお手伝いをしたい</t>
  </si>
  <si>
    <t>おばあちゃん家で過ごして凄く楽しかったです。</t>
  </si>
  <si>
    <t>お母さんやお父さんにたくさんお礼を言ったりしたいと思いました。</t>
  </si>
  <si>
    <t>ずっと家にいたけどいつもより楽しかったです</t>
  </si>
  <si>
    <t>ふれあいホリデーの日は、弟が行けれなかったので今度は家族全員でふれあいホリデーを過ごしたいと思います。</t>
  </si>
  <si>
    <t>私は、家族とお出かけが出来たので、楽しかったし良かったです。</t>
  </si>
  <si>
    <t>みんなと山に登ったりできてよかったです。</t>
  </si>
  <si>
    <t>あまり家族と過ごす時間が無かったから、これからは家族と一緒に過ごす時間を増やしていきたいです。</t>
  </si>
  <si>
    <t>とても楽しかったのでまた家族とおでかけしたいです。</t>
  </si>
  <si>
    <t>これからも、色々な体験をしてい着たいなと思います。</t>
  </si>
  <si>
    <t>三日間ずっと楽しかったです。</t>
  </si>
  <si>
    <t>次のふれあいホリデーは旅行に行きたい✈️</t>
  </si>
  <si>
    <t>三連休で、色々な事ができたし、普段あまりいけないところに行けたので、良かった</t>
  </si>
  <si>
    <t>家の手伝いをするのが楽しかった</t>
  </si>
  <si>
    <t>パンケーキを食べれて良かった</t>
  </si>
  <si>
    <t>パンケーキが食べれた</t>
  </si>
  <si>
    <t>これからずっと同じにしてもらいたい</t>
  </si>
  <si>
    <t>たのしむことと</t>
  </si>
  <si>
    <t>知らない</t>
  </si>
  <si>
    <t>鳥取県まで行けたので楽しかったです♪</t>
  </si>
  <si>
    <t>もう少し触れ合うこと</t>
  </si>
  <si>
    <t>がくどう</t>
  </si>
  <si>
    <t>楽しくすごす。</t>
  </si>
  <si>
    <t xml:space="preserve">来年は、家族と過ごしたいです
</t>
  </si>
  <si>
    <t>すごく楽しかった❗️これからも、時々お願いします♪</t>
  </si>
  <si>
    <t>家で、ゴロゴロできてよかったです！</t>
  </si>
  <si>
    <t>児童クラブでふれあいホリデーちゃレンジをしてたのしかったです</t>
  </si>
  <si>
    <t>学童に行ってた</t>
  </si>
  <si>
    <t xml:space="preserve">家族と一緒に過ごせて楽しかったです。
</t>
  </si>
  <si>
    <t>家族といて楽しい</t>
  </si>
  <si>
    <t>家でゆっくりしてから外に出て遊んだ</t>
  </si>
  <si>
    <t>もうちょっと楽しくしたい</t>
  </si>
  <si>
    <t>来年もまたやってほしいです！</t>
  </si>
  <si>
    <t>来年もして欲しいです</t>
  </si>
  <si>
    <t>来年もふれあいほりでーをつくってほしいです。</t>
  </si>
  <si>
    <t>僕たちが、さらに成長できるように続けてほしいです。</t>
  </si>
  <si>
    <t>来年も続けて欲しいです。家族との時間が増えたからです。</t>
  </si>
  <si>
    <t>ふれあいホリデーは、楽しいことがあったので来年も続けてほしいです。</t>
  </si>
  <si>
    <t>次は、楽しくしたい</t>
  </si>
  <si>
    <t xml:space="preserve">来年も残したい
</t>
  </si>
  <si>
    <t>　来年もまたふれあいホリデーをして欲しい。</t>
  </si>
  <si>
    <t>家族と遊びたい</t>
  </si>
  <si>
    <t>楽しかったので来年もあったら嬉しいです。</t>
  </si>
  <si>
    <t>お兄ちゃんが今年から大学に行っていて、会いに行けたので続いて欲しいです。</t>
  </si>
  <si>
    <t>また来年も続けてほしいけど、親が休みを取らないと一緒にいることができないということを改善してほしいです。</t>
  </si>
  <si>
    <t>来年もやってください。</t>
  </si>
  <si>
    <t>家族と触れ合う時間があっていいと思いました</t>
  </si>
  <si>
    <t>来年もしてほしいです。わけは、家族全員で楽しめたからです。</t>
  </si>
  <si>
    <t>来年は、親戚とかに会いたいと思いました。</t>
  </si>
  <si>
    <t xml:space="preserve">お母さんがいなかったら友達とあそぶかおばあちゃんの家に行く。
</t>
  </si>
  <si>
    <t>触れ合いホリデーの日にお父さんお母さんも休んでください。</t>
  </si>
  <si>
    <t>来年も色んな所に行きたいです。</t>
  </si>
  <si>
    <t>来年はまた家ですごしたいです。。</t>
  </si>
  <si>
    <t>お出かけに行って、お母さんに削ったら絵が描ける物を買ってもらってうれしかったです。</t>
  </si>
  <si>
    <t>これからもそういうのがあるといいと思います</t>
  </si>
  <si>
    <t>お母さんや、お父さんとたまにしか一緒にいられなかったのでのんびり過ごせられて嬉しかったです。</t>
  </si>
  <si>
    <t>色々な経験をしたから良かったです。</t>
  </si>
  <si>
    <t>ずっと一人で家で過ごしていたので暇でした。（宿題はできた）</t>
  </si>
  <si>
    <t>来年は、もっと怠けずにキリキリしたいです。</t>
  </si>
  <si>
    <t>これからは、もっとたくさん遊びたいです。</t>
  </si>
  <si>
    <t>お母さんやお父さんとたまにしか一緒に居られなかったからうれしかったです。</t>
  </si>
  <si>
    <t>みんなで大阪へ行って楽しかったです。ふれあいホリデーが来年もしたいです。</t>
  </si>
  <si>
    <t>また、フレアイホリデーで</t>
  </si>
  <si>
    <t>サッカーの大会に出場した。</t>
  </si>
  <si>
    <t>学校の生徒側としてはそういうことがあれば嬉しいです。</t>
  </si>
  <si>
    <t>もっとイベントを増やしてほしい。</t>
  </si>
  <si>
    <t>またいつかかぞくといきたい</t>
  </si>
  <si>
    <t>とても寒かったけど嬉しかったのでまだ日にちが欲しいです</t>
  </si>
  <si>
    <t>楽しかった　またやって欲しい</t>
  </si>
  <si>
    <t>家族で触れ合えたのでよかったです。また、やってください</t>
  </si>
  <si>
    <t xml:space="preserve">休みをもっと増やしたほうがいい
</t>
  </si>
  <si>
    <t>家族と出かけれて楽しかったのでこれからもあったら嬉しいです。</t>
  </si>
  <si>
    <t>とても楽しかったので来年もあったらとても嬉しいです。</t>
  </si>
  <si>
    <t>金曜日をゆったりと過ごすことが出来たのでまたあれば良いと、思いました。</t>
  </si>
  <si>
    <t>家族で触れあったり、楽しむ機会ができたので、これからも何回かあるとよいです。</t>
  </si>
  <si>
    <t xml:space="preserve">いい1日でした来年もしてほしいです
</t>
  </si>
  <si>
    <t>家族と楽しくすごせたのでこれからも続けてほしいです。</t>
  </si>
  <si>
    <t xml:space="preserve">良い1日を過ごせましたふれあいホールをもっとお日にちが欲しいです
</t>
  </si>
  <si>
    <t>家族と触れ合えたのでよかったです。またやってください</t>
  </si>
  <si>
    <t>ふれあいホリデーがあると家族とふれあえれるから楽しかったです。</t>
  </si>
  <si>
    <t>お母さんとお父さんとは過ごせなかったけどお姉ちゃんと過ごせれてよかったので来年はもっとあったら嬉しいです。</t>
  </si>
  <si>
    <t>また今度やってみたい</t>
  </si>
  <si>
    <t>家族とあまり関わる機会がない人もいるからたまには、ふれあいホリデーを作った方がいいと思います。</t>
  </si>
  <si>
    <t>家族と楽しく過ごせたのでよかったです</t>
  </si>
  <si>
    <t>あったほうがいいと思います。</t>
  </si>
  <si>
    <t>これからもあったら家族とゆっくりしたい</t>
  </si>
  <si>
    <t>もう少し長かったら、もっと触れ合えると思うから日にちを伸ばせばいいと思います。</t>
  </si>
  <si>
    <t>家族で楽しく過ごせたので来年はもっとふれあいホリデーがあったらとても嬉しいです</t>
  </si>
  <si>
    <t>家族と出かけれなかったけど家でやりたいことができたのでよかったです</t>
  </si>
  <si>
    <t>ゲームをした。</t>
  </si>
  <si>
    <t>家族といっしょに過ごせるようになりたい</t>
  </si>
  <si>
    <t>家族でとてもいい時間が過ごせました。家族と触れ合えて嬉しかったです。もっと日にちを伸ばしてくれると嬉しいです。</t>
  </si>
  <si>
    <t>ぼくは、ふれあいホリデーのときに学童へ、いったので学童にいる、友達ともっと仲良くなれたので、来年、ふれあいホリデーがたくさんあると、友達ともっと、もっと、仲良くなれると思います。</t>
  </si>
  <si>
    <t>楽しかったかららいねんはもっと増えるといいとおもいます</t>
  </si>
  <si>
    <t>家族と楽しく過ごせたからすごくよかったです。</t>
  </si>
  <si>
    <t>楽しかったです。したら</t>
  </si>
  <si>
    <t>家族と一緒に居る事が出来なかったけど、のんびり出来て良かったです。
ふれあいホリデーをもっと増やして欲しいです。</t>
  </si>
  <si>
    <t>友達の家で遊んだ</t>
  </si>
  <si>
    <t>無いです。</t>
  </si>
  <si>
    <t>とても良かったのでまたしてほしいとおもいます。</t>
  </si>
  <si>
    <t>楽しかったし、触れ合う時間を大切にしたい</t>
  </si>
  <si>
    <t>ふれあいホリデーの時間をまた作って欲しいと思いました。</t>
  </si>
  <si>
    <t>こういう日は家族とたくさん触れ合えたいです。</t>
  </si>
  <si>
    <t>家族で楽しい時間を過ごせたし、いい思い出が作れたのでよかったし、何より楽しかったので、よかったです。</t>
  </si>
  <si>
    <t>お父さんの仕事についていった</t>
  </si>
  <si>
    <t>けんかをしないようにする</t>
  </si>
  <si>
    <t>家で1人で塾の宿題をした</t>
  </si>
  <si>
    <t>家族が仕事でいないから、平日にやってもあまりふれあえなかった。</t>
  </si>
  <si>
    <t>ゆっくり過ごせました。</t>
  </si>
  <si>
    <t>わたしは、学童でふれあいホリデーチャレンジという遊びをしてとても楽しかったです。
また、来年もあると思うから次は、家族とふれあいホリデーを楽しみたいです。</t>
  </si>
  <si>
    <t>行く時間がなくていけなかったのでふれあえなかったです。なので次はイベントに少しは参加したいなと思いました。</t>
  </si>
  <si>
    <t>平日だから親がいなくて何をすればいいかわからなくて暇していた</t>
  </si>
  <si>
    <t>僕は、家族と遊んだり、楽しいこともしました。またあって欲しい</t>
  </si>
  <si>
    <t>習い事があった</t>
  </si>
  <si>
    <t>わたしは、またふれあいホリデーがあった時に、家族とお出かけしたいと思いました。</t>
  </si>
  <si>
    <t>旅行にいけて家族とごろごろできたからずっと続けてほしい</t>
  </si>
  <si>
    <t>これを毎日やってほしい</t>
  </si>
  <si>
    <t>家族と触れ合う時間は楽しかったです。</t>
  </si>
  <si>
    <t>旅行に行けて家族とごろごろできたのでずっと続けてほしい</t>
  </si>
  <si>
    <t>親が仕事のことが多いので触れ合うことがあまりできませんでした　でも最高の休日でした</t>
  </si>
  <si>
    <t>家族と一緒に過ごせれて楽しかった。</t>
  </si>
  <si>
    <t>もう少し家族といられる時間を増やしてほしい</t>
  </si>
  <si>
    <t>とても充実した、休みでした</t>
  </si>
  <si>
    <t>お父さんとお母さんが休みを取れなくて家にずっといたけれどたまたま外に出る</t>
  </si>
  <si>
    <t>ふれあいホリデーというか三連休の金曜日と同じだた</t>
  </si>
  <si>
    <t>保護施設でテレビを見たりテレビを見たり、本を読んだりした。</t>
  </si>
  <si>
    <t>このまま、普通でいいです</t>
  </si>
  <si>
    <t>毎年続けたらいいと思いました。</t>
  </si>
  <si>
    <t>楽しかった休みでした。</t>
  </si>
  <si>
    <t>熱だったので病院に行った</t>
  </si>
  <si>
    <t>お父さんと弟二人とわたしで遊びました。</t>
  </si>
  <si>
    <t xml:space="preserve">家族と仲良くできてよかったです
</t>
  </si>
  <si>
    <t>僕は、出かけれたけど出かけれてない人もいるから考えて欲しい</t>
  </si>
  <si>
    <t>これからもかぞくとすごした行きたい</t>
  </si>
  <si>
    <t>なかなか会えないおばあちゃんに会えて色々なことをしてくれて嬉しかったです。</t>
  </si>
  <si>
    <t>・家族とそんなに触れ合ったりすることができなかったので、次は、家族と大事な時間を過ごしたいです。</t>
  </si>
  <si>
    <t>ゲームと触れ合った</t>
  </si>
  <si>
    <t>特に無いですね……</t>
  </si>
  <si>
    <t>イベントで普段できないことができてよかったです</t>
  </si>
  <si>
    <t>特に無いです…….</t>
  </si>
  <si>
    <t>ふだん親とか親戚とか忙しくてなかなか出かけることが出来ないけどふれあいホリデーの時に一緒にご飯を食べることが出来たのでよかったです。</t>
  </si>
  <si>
    <t>もっと休みを増やして家族といる時間を増やしたいです。</t>
  </si>
  <si>
    <t>楽しかったので、また休みがいいです。</t>
  </si>
  <si>
    <t>マタカ族といいじ間がほしいです</t>
  </si>
  <si>
    <t xml:space="preserve">
また休みか゛欲しいて゛す。</t>
  </si>
  <si>
    <t>ラッキーでした。</t>
  </si>
  <si>
    <t>また三連休休みたいて゛す</t>
  </si>
  <si>
    <t>またしてほしいですどきどきでいいでいいんですよ。」さくらより</t>
  </si>
  <si>
    <t>　　もっとお休みがいい。</t>
  </si>
  <si>
    <t>買いもの</t>
  </si>
  <si>
    <t>とーてもよかたっです。」</t>
  </si>
  <si>
    <t>自分のしたいことができた</t>
  </si>
  <si>
    <t>森の芸術祭に行った</t>
  </si>
  <si>
    <t>普段出来ないことができて楽しかった</t>
  </si>
  <si>
    <t>平日は親が仕事だった。私はいつもから親とよく過ごすので特に変わりなかった</t>
  </si>
  <si>
    <t>家族とすごせて楽しかった</t>
  </si>
  <si>
    <t xml:space="preserve">楽しかった。
</t>
  </si>
  <si>
    <t xml:space="preserve">いつもの学校の息抜きができてよかった　　楽しかった！！！！
</t>
  </si>
  <si>
    <t xml:space="preserve">めっちゃ楽しかった
</t>
  </si>
  <si>
    <t>めっちゃ嬉しかった。</t>
  </si>
  <si>
    <t>たくさんの時間遊べたので良かったです。</t>
  </si>
  <si>
    <t>キンダーガーデンの人と仲良くなった。凛子さんと一緒に。</t>
  </si>
  <si>
    <t xml:space="preserve">これからも、お手伝いなどをする。　
</t>
  </si>
  <si>
    <t>おばあちゃんのいえに行った。</t>
  </si>
  <si>
    <t>参観日やオープンデーとかが並んでおかさんが休めなかったから並ばないようにせて欲しいです</t>
  </si>
  <si>
    <t>楽しかった・よかった</t>
  </si>
  <si>
    <t>中学生のお姉さんと吹き矢をしました。楽しかったです。3位になりました。上本りくとさんは1位になっててすごいと思いました。</t>
  </si>
  <si>
    <t>楽しかったけど、急に休みがとられてお母さんやお父さんと触れ合えなかった</t>
  </si>
  <si>
    <t>和菓子を作って楽しかった。</t>
  </si>
  <si>
    <t>ふれあいホリデーは、親とも過ごしたいので祝日にしてほしい。（お母さんと、お父さんとは仕事から帰ってくる時ぐらいしか、触れ合ってない）</t>
  </si>
  <si>
    <t xml:space="preserve">もっと家族全員で一緒にふれあいしたいです
</t>
  </si>
  <si>
    <t>家や学校でももっとがんびりたいです</t>
  </si>
  <si>
    <t>家族と過ごしていく時間を大切にしていきたい。</t>
  </si>
  <si>
    <t xml:space="preserve">お父さんと家でバスケをした
</t>
  </si>
  <si>
    <t>うれしかったです。</t>
  </si>
  <si>
    <t>外に出てうれしかった</t>
  </si>
  <si>
    <t>また、金曜日に休みが欲しいです</t>
  </si>
  <si>
    <t>また来年もやりたい</t>
  </si>
  <si>
    <t>学童でふれあいチャレンジと言う遊びをしたのが楽しかったです</t>
  </si>
  <si>
    <t>楽しいかったです。</t>
  </si>
  <si>
    <t>金曜日が休みで嬉しかったです</t>
  </si>
  <si>
    <t xml:space="preserve">友達と遊べてだからとてもうれしかった
</t>
  </si>
  <si>
    <t xml:space="preserve">これからもふれあいホリデー
があったらいいなと思います
</t>
  </si>
  <si>
    <t>JQ2L3E2LW、 TEE</t>
  </si>
  <si>
    <t>　家でゴロゴロして楽しかったです。　　　　　　　　　　　　　　　　　</t>
  </si>
  <si>
    <t xml:space="preserve">アンケートは、楽しくないけど、ふれあいホリデーは楽しかったです。
</t>
  </si>
  <si>
    <t>お父さんとは過ごせたけど、お母さんとは過ごせなかったです。でも、スポーツの練習はできたからよかったです。</t>
  </si>
  <si>
    <t>学校が休みで、その日で家族と楽しく過ごせたのでよかったです。
家族と、笑ったり遊んだりできたのでよかったです。
また、遊んだり家族と一緒に過ごしたいです。</t>
  </si>
  <si>
    <t>いつもと違って金曜日が休みで、普段の休日と同じように過ごせました。
いつもと違う過ごし方だと、沢山遊べることができ、色々な予定が入れれていいなと思いました。</t>
  </si>
  <si>
    <t>はばたきで友達と遊んだ</t>
  </si>
  <si>
    <t>ふれあいホリデーなのに家族とあんまり過ごせなかった。これからはもっと家族との触れ合いを増やしていきたい。</t>
  </si>
  <si>
    <t>暇だったので友達と楽しく遊びたい。</t>
  </si>
  <si>
    <t>家でゲームしかしてなかったのでもう少しこういうイベントなどに参加したいです。また、月に2、3回ぐらい回数を増やしてほしいです。</t>
  </si>
  <si>
    <t>友達と遊ぶ時間も増えてよかったので一回だけではなく月に2から3回はあって欲しいです。</t>
  </si>
  <si>
    <t>5年生の友達とはばたき人権文化センターで遊んだ</t>
  </si>
  <si>
    <t>親が仕事で一緒にどこかに出かけることができなかったから。1回は少ないと思ったから回数を増やして欲しい。</t>
  </si>
  <si>
    <t>あまり、市街や、遠い場所に行く機会がなかったので、このような長期休みがあり、家族とも、楽しく過ごせたので良かったし、おばあちゃんも喜んでいていいと思った。</t>
  </si>
  <si>
    <t>一日休んで妹と過ごしました。妹と過ごす時間が増えたのでよかったです。</t>
  </si>
  <si>
    <t xml:space="preserve">いつもは、一人の時が多いので、家族と過ごして楽しい時間ができてよかったです。
</t>
  </si>
  <si>
    <t>もっと家族と過ごしたいと思いました。</t>
  </si>
  <si>
    <t>またしたいです</t>
  </si>
  <si>
    <t>すごくかのしかったのでまたイオンに行こうと思った。</t>
  </si>
  <si>
    <t>いつもはあまり出かけないから楽しかったです。</t>
  </si>
  <si>
    <t>また家族と過ごしたいと思いました</t>
  </si>
  <si>
    <t>いつもは、学校の時をすごしてたのしかった。</t>
  </si>
  <si>
    <t>お母さんやお父さんが仕事でおじいちゃんやおばあちゃんと妹ですごしました。よかったです。</t>
  </si>
  <si>
    <t>家族といっしょにすごせたので良かったです。また、一年間に一回くらいふれあいホリデーがあったらいいとおもいます。</t>
  </si>
  <si>
    <t>家族と楽しくすごっせれたのでよかったです。</t>
  </si>
  <si>
    <t>いつもは学校だけどやすみで良かったし日曜日しかかぞくで出かけることはないけど行けたから良かったです。</t>
  </si>
  <si>
    <t>また、来年もあったら楽しもうかと思いました。</t>
  </si>
  <si>
    <t>家族といっしょにすごせなかったから、休みの日は、いっしょにすごしたいです。</t>
  </si>
  <si>
    <t>金曜日が休みだったので嬉しかったです。</t>
  </si>
  <si>
    <t>小中区分</t>
    <rPh sb="0" eb="2">
      <t>ショウチュウ</t>
    </rPh>
    <rPh sb="2" eb="4">
      <t>クブン</t>
    </rPh>
    <phoneticPr fontId="3"/>
  </si>
  <si>
    <t>家族と家で過ごした（かぞくといえですごした）</t>
    <phoneticPr fontId="3"/>
  </si>
  <si>
    <t>家族と倉吉市内に出かけた（かぞくとくらよししないにでかけた）</t>
    <phoneticPr fontId="3"/>
  </si>
  <si>
    <t>子どもだけでイベントに参加した（こどもだけでイベントにさんかした）</t>
    <phoneticPr fontId="3"/>
  </si>
  <si>
    <t>その他</t>
    <rPh sb="2" eb="3">
      <t>タ</t>
    </rPh>
    <phoneticPr fontId="3"/>
  </si>
  <si>
    <t>小中</t>
    <rPh sb="0" eb="2">
      <t>ショウチュウ</t>
    </rPh>
    <phoneticPr fontId="3"/>
  </si>
  <si>
    <t>小学校</t>
    <rPh sb="0" eb="3">
      <t>ショウガッコウ</t>
    </rPh>
    <phoneticPr fontId="3"/>
  </si>
  <si>
    <t>中学校</t>
    <rPh sb="0" eb="3">
      <t>チュウガッコウ</t>
    </rPh>
    <phoneticPr fontId="3"/>
  </si>
  <si>
    <t>全体</t>
    <rPh sb="0" eb="2">
      <t>ゼンタイ</t>
    </rPh>
    <phoneticPr fontId="3"/>
  </si>
  <si>
    <t>合計</t>
    <rPh sb="0" eb="2">
      <t>ゴウケイ</t>
    </rPh>
    <phoneticPr fontId="3"/>
  </si>
  <si>
    <t>問３　どのように感じましたか。</t>
    <phoneticPr fontId="3"/>
  </si>
  <si>
    <t>とてもよかった</t>
    <phoneticPr fontId="3"/>
  </si>
  <si>
    <t>よかった</t>
    <phoneticPr fontId="3"/>
  </si>
  <si>
    <t>あまりよくなかった</t>
    <phoneticPr fontId="3"/>
  </si>
  <si>
    <t>よくなかった</t>
    <phoneticPr fontId="3"/>
  </si>
  <si>
    <t>児童生徒</t>
    <rPh sb="0" eb="2">
      <t>ジドウ</t>
    </rPh>
    <rPh sb="2" eb="4">
      <t>セイト</t>
    </rPh>
    <phoneticPr fontId="3"/>
  </si>
  <si>
    <t>№</t>
    <phoneticPr fontId="3"/>
  </si>
  <si>
    <t>家族と家で過ごした</t>
    <phoneticPr fontId="3"/>
  </si>
  <si>
    <t>家族と一緒にイベントに参加した</t>
    <phoneticPr fontId="3"/>
  </si>
  <si>
    <t>家族と倉吉市内に出かけた</t>
    <phoneticPr fontId="3"/>
  </si>
  <si>
    <t>家族と倉吉市外に出かけた</t>
    <phoneticPr fontId="3"/>
  </si>
  <si>
    <t>親戚や知り合いと過ごした</t>
    <phoneticPr fontId="3"/>
  </si>
  <si>
    <t>子どもだけで家で過ごした</t>
    <phoneticPr fontId="3"/>
  </si>
  <si>
    <t>子どもだけで地域で過ごした</t>
    <phoneticPr fontId="3"/>
  </si>
  <si>
    <t>子どもだけでイベントに参加した</t>
    <phoneticPr fontId="3"/>
  </si>
  <si>
    <t>児童館、放課後児童クラブなどで過ごした</t>
    <phoneticPr fontId="3"/>
  </si>
  <si>
    <t>実数</t>
    <rPh sb="0" eb="2">
      <t>ジッスウ</t>
    </rPh>
    <phoneticPr fontId="3"/>
  </si>
  <si>
    <t>率</t>
    <rPh sb="0" eb="1">
      <t>リツ</t>
    </rPh>
    <phoneticPr fontId="3"/>
  </si>
  <si>
    <t>11月22日（ふれあいホリデー）はどのように過ごしましたか。</t>
  </si>
  <si>
    <t>選択肢</t>
    <rPh sb="0" eb="3">
      <t>センタクシ</t>
    </rPh>
    <phoneticPr fontId="3"/>
  </si>
  <si>
    <t>どのように感じましたか。</t>
    <phoneticPr fontId="3"/>
  </si>
  <si>
    <t>とてもよかった</t>
    <phoneticPr fontId="3"/>
  </si>
  <si>
    <t>よかった</t>
    <phoneticPr fontId="3"/>
  </si>
  <si>
    <t>あまりよくなかった</t>
    <phoneticPr fontId="3"/>
  </si>
  <si>
    <t>よくなかった</t>
    <phoneticPr fontId="3"/>
  </si>
  <si>
    <t>【児童生徒】</t>
    <rPh sb="1" eb="3">
      <t>ジドウ</t>
    </rPh>
    <rPh sb="3" eb="5">
      <t>セイト</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</si>
</sst>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m/d/yyyy\ h:mm:ss"/>
    <numFmt numFmtId="177" formatCode="0.0%"/>
    <numFmt numFmtId="178" formatCode="0_ ;[Red]\-0\ "/>
  </numFmts>
  <fonts count="7">
    <font>
      <sz val="10"/>
      <color rgb="FF000000"/>
      <name val="Arial"/>
      <scheme val="minor"/>
    </font>
    <font>
      <sz val="10"/>
      <color theme="1"/>
      <name val="Arial"/>
      <scheme val="minor"/>
    </font>
    <font>
      <sz val="10"/>
      <color rgb="FF000000"/>
      <name val="Arial"/>
      <scheme val="minor"/>
    </font>
    <font>
      <sz val="6"/>
      <name val="Arial"/>
      <family val="3"/>
      <charset val="128"/>
      <scheme val="minor"/>
    </font>
    <font>
      <sz val="10"/>
      <color theme="1"/>
      <name val="Arial"/>
      <family val="2"/>
      <scheme val="minor"/>
    </font>
    <font>
      <sz val="12"/>
      <color rgb="FF000000"/>
      <name val="UD デジタル 教科書体 N"/>
      <family val="1"/>
      <charset val="128"/>
    </font>
    <font>
      <sz val="12"/>
      <color rgb="FF000000"/>
      <name val="UD デジタル 教科書体 N-R"/>
      <family val="1"/>
      <charset val="128"/>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F3FFFF"/>
        <bgColor indexed="64"/>
      </patternFill>
    </fill>
  </fills>
  <borders count="40">
    <border>
      <left/>
      <right/>
      <top/>
      <bottom/>
      <diagonal/>
    </border>
    <border>
      <left style="hair">
        <color rgb="FF442F65"/>
      </left>
      <right style="hair">
        <color rgb="FF442F65"/>
      </right>
      <top style="hair">
        <color rgb="FF442F65"/>
      </top>
      <bottom style="hair">
        <color rgb="FF442F65"/>
      </bottom>
      <diagonal/>
    </border>
    <border>
      <left style="thin">
        <color rgb="FF442F65"/>
      </left>
      <right style="thin">
        <color rgb="FF5B3F86"/>
      </right>
      <top style="thin">
        <color rgb="FF442F65"/>
      </top>
      <bottom/>
      <diagonal/>
    </border>
    <border>
      <left style="thin">
        <color rgb="FF5B3F86"/>
      </left>
      <right style="thin">
        <color rgb="FF5B3F86"/>
      </right>
      <top style="thin">
        <color rgb="FF442F65"/>
      </top>
      <bottom/>
      <diagonal/>
    </border>
    <border>
      <left style="thin">
        <color rgb="FF5B3F86"/>
      </left>
      <right style="thin">
        <color rgb="FF442F65"/>
      </right>
      <top style="thin">
        <color rgb="FF442F65"/>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thin">
        <color indexed="64"/>
      </left>
      <right style="hair">
        <color auto="1"/>
      </right>
      <top style="thin">
        <color indexed="64"/>
      </top>
      <bottom/>
      <diagonal/>
    </border>
    <border>
      <left style="hair">
        <color auto="1"/>
      </left>
      <right style="hair">
        <color auto="1"/>
      </right>
      <top style="thin">
        <color indexed="64"/>
      </top>
      <bottom/>
      <diagonal/>
    </border>
    <border>
      <left style="thin">
        <color indexed="64"/>
      </left>
      <right style="hair">
        <color auto="1"/>
      </right>
      <top/>
      <bottom style="thin">
        <color indexed="64"/>
      </bottom>
      <diagonal/>
    </border>
    <border>
      <left style="thin">
        <color indexed="64"/>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hair">
        <color auto="1"/>
      </left>
      <right/>
      <top style="thin">
        <color indexed="64"/>
      </top>
      <bottom/>
      <diagonal/>
    </border>
    <border>
      <left style="hair">
        <color auto="1"/>
      </left>
      <right/>
      <top/>
      <bottom style="thin">
        <color indexed="64"/>
      </bottom>
      <diagonal/>
    </border>
    <border>
      <left style="hair">
        <color auto="1"/>
      </left>
      <right/>
      <top style="thin">
        <color indexed="64"/>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indexed="64"/>
      </bottom>
      <diagonal/>
    </border>
    <border>
      <left style="hair">
        <color auto="1"/>
      </left>
      <right/>
      <top style="thin">
        <color indexed="64"/>
      </top>
      <bottom style="thin">
        <color indexed="64"/>
      </bottom>
      <diagonal/>
    </border>
    <border>
      <left/>
      <right style="hair">
        <color auto="1"/>
      </right>
      <top style="thin">
        <color indexed="64"/>
      </top>
      <bottom style="hair">
        <color auto="1"/>
      </bottom>
      <diagonal/>
    </border>
    <border>
      <left/>
      <right style="hair">
        <color auto="1"/>
      </right>
      <top style="hair">
        <color auto="1"/>
      </top>
      <bottom style="thin">
        <color indexed="64"/>
      </bottom>
      <diagonal/>
    </border>
    <border>
      <left/>
      <right style="hair">
        <color auto="1"/>
      </right>
      <top style="hair">
        <color auto="1"/>
      </top>
      <bottom style="hair">
        <color auto="1"/>
      </bottom>
      <diagonal/>
    </border>
    <border>
      <left/>
      <right style="hair">
        <color auto="1"/>
      </right>
      <top style="thin">
        <color indexed="64"/>
      </top>
      <bottom style="thin">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indexed="64"/>
      </bottom>
      <diagonal/>
    </border>
    <border>
      <left style="hair">
        <color auto="1"/>
      </left>
      <right style="thin">
        <color indexed="64"/>
      </right>
      <top style="thin">
        <color indexed="64"/>
      </top>
      <bottom/>
      <diagonal/>
    </border>
  </borders>
  <cellStyleXfs count="3">
    <xf numFmtId="0" fontId="0" fillId="0" borderId="0"/>
    <xf numFmtId="38"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77">
    <xf numFmtId="0" fontId="0" fillId="0" borderId="0" xfId="0"/>
    <xf numFmtId="0" fontId="1" fillId="0" borderId="0" xfId="0" applyFont="1" applyAlignment="1">
      <alignment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1" xfId="0" applyFont="1" applyBorder="1" applyAlignment="1">
      <alignment vertical="center" wrapText="1"/>
    </xf>
    <xf numFmtId="176" fontId="1" fillId="0" borderId="1" xfId="0" applyNumberFormat="1" applyFont="1" applyBorder="1" applyAlignment="1">
      <alignment vertical="center"/>
    </xf>
    <xf numFmtId="0" fontId="1" fillId="0" borderId="1" xfId="0" applyFont="1" applyBorder="1" applyAlignment="1">
      <alignment vertical="center"/>
    </xf>
    <xf numFmtId="0" fontId="0" fillId="0" borderId="1" xfId="0" applyBorder="1"/>
    <xf numFmtId="0" fontId="4" fillId="0" borderId="3" xfId="0" applyFont="1" applyBorder="1" applyAlignment="1">
      <alignment horizontal="left" vertical="center" wrapText="1"/>
    </xf>
    <xf numFmtId="0" fontId="5" fillId="0" borderId="0" xfId="0" applyFont="1"/>
    <xf numFmtId="0" fontId="5" fillId="0" borderId="5" xfId="0" applyFont="1" applyBorder="1"/>
    <xf numFmtId="38" fontId="5" fillId="0" borderId="5" xfId="1" applyFont="1" applyBorder="1" applyAlignment="1"/>
    <xf numFmtId="9" fontId="5" fillId="0" borderId="5" xfId="2" applyFont="1" applyBorder="1" applyAlignment="1"/>
    <xf numFmtId="0" fontId="5" fillId="0" borderId="5" xfId="0" applyFont="1" applyBorder="1" applyAlignment="1">
      <alignment textRotation="255" wrapText="1"/>
    </xf>
    <xf numFmtId="0" fontId="6" fillId="0" borderId="0" xfId="0" applyFont="1" applyAlignment="1">
      <alignment vertical="center"/>
    </xf>
    <xf numFmtId="0" fontId="6" fillId="3" borderId="0" xfId="0" applyFont="1" applyFill="1" applyAlignment="1">
      <alignment vertical="center"/>
    </xf>
    <xf numFmtId="0" fontId="6" fillId="4" borderId="7" xfId="0" applyFont="1" applyFill="1" applyBorder="1" applyAlignment="1">
      <alignment vertical="center"/>
    </xf>
    <xf numFmtId="0" fontId="6" fillId="4" borderId="8" xfId="0" applyFont="1" applyFill="1" applyBorder="1" applyAlignment="1">
      <alignment vertical="center"/>
    </xf>
    <xf numFmtId="0" fontId="6" fillId="4" borderId="9" xfId="0" applyFont="1" applyFill="1" applyBorder="1" applyAlignment="1">
      <alignment vertical="center"/>
    </xf>
    <xf numFmtId="0" fontId="6" fillId="4" borderId="10" xfId="0" applyFont="1" applyFill="1" applyBorder="1" applyAlignment="1">
      <alignment vertical="center"/>
    </xf>
    <xf numFmtId="0" fontId="6" fillId="4" borderId="0" xfId="0" applyFont="1" applyFill="1" applyBorder="1" applyAlignment="1">
      <alignment vertical="center"/>
    </xf>
    <xf numFmtId="0" fontId="6" fillId="4" borderId="11" xfId="0" applyFont="1" applyFill="1" applyBorder="1" applyAlignment="1">
      <alignment vertical="center"/>
    </xf>
    <xf numFmtId="0" fontId="6" fillId="4" borderId="12" xfId="0" applyFont="1" applyFill="1" applyBorder="1" applyAlignment="1">
      <alignment vertical="center"/>
    </xf>
    <xf numFmtId="0" fontId="6" fillId="4" borderId="13" xfId="0" applyFont="1" applyFill="1" applyBorder="1" applyAlignment="1">
      <alignment vertical="center"/>
    </xf>
    <xf numFmtId="0" fontId="6" fillId="4" borderId="14" xfId="0" applyFont="1" applyFill="1" applyBorder="1" applyAlignment="1">
      <alignment vertical="center"/>
    </xf>
    <xf numFmtId="177" fontId="6" fillId="4" borderId="16" xfId="2" applyNumberFormat="1" applyFont="1" applyFill="1" applyBorder="1" applyAlignment="1">
      <alignment vertical="center"/>
    </xf>
    <xf numFmtId="177" fontId="6" fillId="4" borderId="18" xfId="2" applyNumberFormat="1" applyFont="1" applyFill="1" applyBorder="1" applyAlignment="1">
      <alignment vertical="center"/>
    </xf>
    <xf numFmtId="0" fontId="6" fillId="4" borderId="24" xfId="0" applyFont="1" applyFill="1" applyBorder="1" applyAlignment="1">
      <alignment vertical="center"/>
    </xf>
    <xf numFmtId="0" fontId="6" fillId="4" borderId="31" xfId="0" applyFont="1" applyFill="1" applyBorder="1" applyAlignment="1">
      <alignment vertical="center" wrapText="1"/>
    </xf>
    <xf numFmtId="177" fontId="6" fillId="4" borderId="32" xfId="2" applyNumberFormat="1" applyFont="1" applyFill="1" applyBorder="1" applyAlignment="1">
      <alignment vertical="center"/>
    </xf>
    <xf numFmtId="177" fontId="6" fillId="4" borderId="34" xfId="2" applyNumberFormat="1" applyFont="1" applyFill="1" applyBorder="1" applyAlignment="1">
      <alignment vertical="center"/>
    </xf>
    <xf numFmtId="38" fontId="6" fillId="4" borderId="16" xfId="1" applyFont="1" applyFill="1" applyBorder="1" applyAlignment="1">
      <alignment vertical="center"/>
    </xf>
    <xf numFmtId="38" fontId="6" fillId="4" borderId="18" xfId="1" applyFont="1" applyFill="1" applyBorder="1" applyAlignment="1">
      <alignment vertical="center"/>
    </xf>
    <xf numFmtId="38" fontId="6" fillId="4" borderId="25" xfId="1" applyFont="1" applyFill="1" applyBorder="1" applyAlignment="1">
      <alignment vertical="center"/>
    </xf>
    <xf numFmtId="0" fontId="6" fillId="4" borderId="28" xfId="0" applyFont="1" applyFill="1" applyBorder="1" applyAlignment="1">
      <alignment vertical="center" shrinkToFit="1"/>
    </xf>
    <xf numFmtId="0" fontId="6" fillId="4" borderId="29" xfId="0" applyFont="1" applyFill="1" applyBorder="1" applyAlignment="1">
      <alignment vertical="center" shrinkToFit="1"/>
    </xf>
    <xf numFmtId="177" fontId="6" fillId="4" borderId="25" xfId="0" applyNumberFormat="1" applyFont="1" applyFill="1" applyBorder="1" applyAlignment="1">
      <alignment vertical="center"/>
    </xf>
    <xf numFmtId="0" fontId="6" fillId="5" borderId="29" xfId="0" applyFont="1" applyFill="1" applyBorder="1" applyAlignment="1">
      <alignment vertical="center" shrinkToFit="1"/>
    </xf>
    <xf numFmtId="38" fontId="6" fillId="5" borderId="18" xfId="1" applyFont="1" applyFill="1" applyBorder="1" applyAlignment="1">
      <alignment vertical="center"/>
    </xf>
    <xf numFmtId="177" fontId="6" fillId="5" borderId="18" xfId="2" applyNumberFormat="1" applyFont="1" applyFill="1" applyBorder="1" applyAlignment="1">
      <alignment vertical="center"/>
    </xf>
    <xf numFmtId="0" fontId="6" fillId="5" borderId="30" xfId="0" applyFont="1" applyFill="1" applyBorder="1" applyAlignment="1">
      <alignment vertical="center" shrinkToFit="1"/>
    </xf>
    <xf numFmtId="38" fontId="6" fillId="5" borderId="20" xfId="1" applyFont="1" applyFill="1" applyBorder="1" applyAlignment="1">
      <alignment vertical="center"/>
    </xf>
    <xf numFmtId="177" fontId="6" fillId="5" borderId="20" xfId="2" applyNumberFormat="1" applyFont="1" applyFill="1" applyBorder="1" applyAlignment="1">
      <alignment vertical="center"/>
    </xf>
    <xf numFmtId="38" fontId="6" fillId="4" borderId="32" xfId="1" applyFont="1" applyFill="1" applyBorder="1" applyAlignment="1">
      <alignment vertical="center"/>
    </xf>
    <xf numFmtId="38" fontId="6" fillId="5" borderId="34" xfId="1" applyFont="1" applyFill="1" applyBorder="1" applyAlignment="1">
      <alignment vertical="center"/>
    </xf>
    <xf numFmtId="38" fontId="6" fillId="4" borderId="34" xfId="1" applyFont="1" applyFill="1" applyBorder="1" applyAlignment="1">
      <alignment vertical="center"/>
    </xf>
    <xf numFmtId="38" fontId="6" fillId="5" borderId="33" xfId="1" applyFont="1" applyFill="1" applyBorder="1" applyAlignment="1">
      <alignment vertical="center"/>
    </xf>
    <xf numFmtId="38" fontId="6" fillId="4" borderId="35" xfId="1" applyFont="1" applyFill="1" applyBorder="1" applyAlignment="1">
      <alignment vertical="center"/>
    </xf>
    <xf numFmtId="38" fontId="6" fillId="4" borderId="36" xfId="1" applyFont="1" applyFill="1" applyBorder="1" applyAlignment="1">
      <alignment vertical="center"/>
    </xf>
    <xf numFmtId="38" fontId="6" fillId="5" borderId="37" xfId="1" applyFont="1" applyFill="1" applyBorder="1" applyAlignment="1">
      <alignment vertical="center"/>
    </xf>
    <xf numFmtId="38" fontId="6" fillId="4" borderId="37" xfId="1" applyFont="1" applyFill="1" applyBorder="1" applyAlignment="1">
      <alignment vertical="center"/>
    </xf>
    <xf numFmtId="38" fontId="6" fillId="5" borderId="38" xfId="1" applyFont="1" applyFill="1" applyBorder="1" applyAlignment="1">
      <alignment vertical="center"/>
    </xf>
    <xf numFmtId="38" fontId="6" fillId="4" borderId="6" xfId="1" applyFont="1" applyFill="1" applyBorder="1" applyAlignment="1">
      <alignment vertical="center"/>
    </xf>
    <xf numFmtId="177" fontId="6" fillId="5" borderId="34" xfId="2" applyNumberFormat="1" applyFont="1" applyFill="1" applyBorder="1" applyAlignment="1">
      <alignment vertical="center"/>
    </xf>
    <xf numFmtId="177" fontId="6" fillId="5" borderId="33" xfId="2" applyNumberFormat="1" applyFont="1" applyFill="1" applyBorder="1" applyAlignment="1">
      <alignment vertical="center"/>
    </xf>
    <xf numFmtId="177" fontId="6" fillId="4" borderId="35" xfId="0" applyNumberFormat="1" applyFont="1" applyFill="1" applyBorder="1" applyAlignment="1">
      <alignment vertical="center"/>
    </xf>
    <xf numFmtId="177" fontId="6" fillId="4" borderId="36" xfId="2" applyNumberFormat="1" applyFont="1" applyFill="1" applyBorder="1" applyAlignment="1">
      <alignment vertical="center"/>
    </xf>
    <xf numFmtId="177" fontId="6" fillId="5" borderId="37" xfId="2" applyNumberFormat="1" applyFont="1" applyFill="1" applyBorder="1" applyAlignment="1">
      <alignment vertical="center"/>
    </xf>
    <xf numFmtId="177" fontId="6" fillId="4" borderId="37" xfId="2" applyNumberFormat="1" applyFont="1" applyFill="1" applyBorder="1" applyAlignment="1">
      <alignment vertical="center"/>
    </xf>
    <xf numFmtId="177" fontId="6" fillId="5" borderId="38" xfId="2" applyNumberFormat="1" applyFont="1" applyFill="1" applyBorder="1" applyAlignment="1">
      <alignment vertical="center"/>
    </xf>
    <xf numFmtId="177" fontId="6" fillId="4" borderId="6" xfId="0" applyNumberFormat="1" applyFont="1" applyFill="1" applyBorder="1" applyAlignment="1">
      <alignment vertical="center"/>
    </xf>
    <xf numFmtId="178" fontId="6" fillId="4" borderId="17" xfId="0" applyNumberFormat="1" applyFont="1" applyFill="1" applyBorder="1" applyAlignment="1">
      <alignment vertical="center"/>
    </xf>
    <xf numFmtId="178" fontId="6" fillId="5" borderId="17" xfId="0" applyNumberFormat="1" applyFont="1" applyFill="1" applyBorder="1" applyAlignment="1">
      <alignment vertical="center"/>
    </xf>
    <xf numFmtId="178" fontId="6" fillId="5" borderId="19" xfId="0" applyNumberFormat="1" applyFont="1" applyFill="1" applyBorder="1" applyAlignment="1">
      <alignment vertical="center"/>
    </xf>
    <xf numFmtId="178" fontId="6" fillId="4" borderId="15" xfId="0" applyNumberFormat="1" applyFont="1" applyFill="1" applyBorder="1" applyAlignment="1">
      <alignment vertical="center"/>
    </xf>
    <xf numFmtId="0" fontId="0" fillId="4" borderId="0" xfId="0" applyFill="1"/>
    <xf numFmtId="0" fontId="6" fillId="2" borderId="6" xfId="1" applyNumberFormat="1" applyFont="1" applyFill="1" applyBorder="1" applyAlignment="1">
      <alignment horizontal="center" vertical="center"/>
    </xf>
    <xf numFmtId="0" fontId="6" fillId="2" borderId="35" xfId="1" applyNumberFormat="1" applyFont="1" applyFill="1" applyBorder="1" applyAlignment="1">
      <alignment horizontal="center" vertical="center"/>
    </xf>
    <xf numFmtId="0" fontId="6" fillId="2" borderId="25" xfId="1" applyNumberFormat="1" applyFont="1" applyFill="1" applyBorder="1" applyAlignment="1">
      <alignment horizontal="center" vertical="center"/>
    </xf>
    <xf numFmtId="0" fontId="6" fillId="2" borderId="21"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39" xfId="0" applyFont="1" applyFill="1" applyBorder="1" applyAlignment="1">
      <alignment horizontal="center" vertical="center"/>
    </xf>
    <xf numFmtId="0" fontId="6" fillId="2" borderId="23" xfId="0" applyFont="1" applyFill="1" applyBorder="1" applyAlignment="1">
      <alignment horizontal="center" vertical="center"/>
    </xf>
    <xf numFmtId="0" fontId="6" fillId="2" borderId="26" xfId="0" applyFont="1" applyFill="1" applyBorder="1" applyAlignment="1">
      <alignment vertical="center"/>
    </xf>
    <xf numFmtId="0" fontId="6" fillId="2" borderId="27" xfId="0" applyFont="1" applyFill="1" applyBorder="1" applyAlignment="1">
      <alignment vertical="center"/>
    </xf>
    <xf numFmtId="0" fontId="6" fillId="4" borderId="0" xfId="0" applyFont="1" applyFill="1" applyBorder="1" applyAlignment="1">
      <alignment horizontal="left" vertical="center"/>
    </xf>
  </cellXfs>
  <cellStyles count="3">
    <cellStyle name="パーセント" xfId="2" builtinId="5"/>
    <cellStyle name="桁区切り" xfId="1" builtinId="6"/>
    <cellStyle name="標準" xfId="0" builtinId="0"/>
  </cellStyles>
  <dxfs count="9">
    <dxf>
      <border diagonalUp="0" diagonalDown="0">
        <left style="hair">
          <color rgb="FF442F65"/>
        </left>
        <right style="hair">
          <color rgb="FF442F65"/>
        </right>
        <top style="hair">
          <color rgb="FF442F65"/>
        </top>
        <bottom style="hair">
          <color rgb="FF442F65"/>
        </bottom>
        <vertical style="hair">
          <color rgb="FF442F65"/>
        </vertical>
        <horizontal style="hair">
          <color rgb="FF442F65"/>
        </horizontal>
      </border>
    </dxf>
    <dxf>
      <border diagonalUp="0" diagonalDown="0">
        <left style="hair">
          <color rgb="FF442F65"/>
        </left>
        <right style="hair">
          <color rgb="FF442F65"/>
        </right>
        <top style="hair">
          <color rgb="FF442F65"/>
        </top>
        <bottom style="hair">
          <color rgb="FF442F65"/>
        </bottom>
        <vertical style="hair">
          <color rgb="FF442F65"/>
        </vertical>
        <horizontal style="hair">
          <color rgb="FF442F65"/>
        </horizontal>
      </border>
    </dxf>
    <dxf>
      <border diagonalUp="0" diagonalDown="0">
        <left style="hair">
          <color rgb="FF442F65"/>
        </left>
        <right style="hair">
          <color rgb="FF442F65"/>
        </right>
        <top style="hair">
          <color rgb="FF442F65"/>
        </top>
        <bottom style="hair">
          <color rgb="FF442F65"/>
        </bottom>
        <vertical style="hair">
          <color rgb="FF442F65"/>
        </vertical>
        <horizontal style="hair">
          <color rgb="FF442F65"/>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hair">
          <color rgb="FF442F65"/>
        </left>
        <right style="hair">
          <color rgb="FF442F65"/>
        </right>
        <top style="hair">
          <color rgb="FF442F65"/>
        </top>
        <bottom style="hair">
          <color rgb="FF442F65"/>
        </bottom>
        <vertical/>
        <horizontal/>
      </border>
    </dxf>
    <dxf>
      <border diagonalUp="0" diagonalDown="0">
        <left style="hair">
          <color rgb="FF442F65"/>
        </left>
        <right style="hair">
          <color rgb="FF442F65"/>
        </right>
        <top style="hair">
          <color rgb="FF442F65"/>
        </top>
        <bottom style="hair">
          <color rgb="FF442F65"/>
        </bottom>
        <vertical style="hair">
          <color rgb="FF442F65"/>
        </vertical>
        <horizontal style="hair">
          <color rgb="FF442F65"/>
        </horizontal>
      </border>
    </dxf>
    <dxf>
      <border diagonalUp="0" diagonalDown="0">
        <left style="hair">
          <color rgb="FF442F65"/>
        </left>
        <right style="hair">
          <color rgb="FF442F65"/>
        </right>
        <top style="hair">
          <color rgb="FF442F65"/>
        </top>
        <bottom style="hair">
          <color rgb="FF442F65"/>
        </bottom>
        <vertical style="hair">
          <color rgb="FF442F65"/>
        </vertical>
        <horizontal style="hair">
          <color rgb="FF442F65"/>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フォームの回答 1-style" pivot="0" count="3">
      <tableStyleElement type="headerRow" dxfId="8"/>
      <tableStyleElement type="firstRowStripe" dxfId="7"/>
      <tableStyleElement type="secondRowStripe" dxfId="6"/>
    </tableStyle>
  </tableStyles>
  <colors>
    <mruColors>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19050</xdr:colOff>
      <xdr:row>21</xdr:row>
      <xdr:rowOff>0</xdr:rowOff>
    </xdr:from>
    <xdr:to>
      <xdr:col>12</xdr:col>
      <xdr:colOff>409575</xdr:colOff>
      <xdr:row>52</xdr:row>
      <xdr:rowOff>57150</xdr:rowOff>
    </xdr:to>
    <xdr:sp macro="" textlink="">
      <xdr:nvSpPr>
        <xdr:cNvPr id="2" name="テキスト ボックス 1">
          <a:extLst>
            <a:ext uri="{FF2B5EF4-FFF2-40B4-BE49-F238E27FC236}">
              <a16:creationId xmlns:a16="http://schemas.microsoft.com/office/drawing/2014/main" id="{5781A81E-6A66-B5AD-72CE-9A5BB3B4F985}"/>
            </a:ext>
          </a:extLst>
        </xdr:cNvPr>
        <xdr:cNvSpPr txBox="1"/>
      </xdr:nvSpPr>
      <xdr:spPr>
        <a:xfrm>
          <a:off x="209550" y="7167563"/>
          <a:ext cx="8296275" cy="596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kern="1200">
              <a:latin typeface="UD デジタル 教科書体 N" panose="02020400000000000000" pitchFamily="17" charset="-128"/>
              <a:ea typeface="UD デジタル 教科書体 N" panose="02020400000000000000" pitchFamily="17" charset="-128"/>
            </a:rPr>
            <a:t>データ分析①全体</a:t>
          </a:r>
        </a:p>
        <a:p>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肯定的な意見</a:t>
          </a:r>
          <a:r>
            <a:rPr kumimoji="1" lang="en-US" altLang="ja-JP" sz="1200" kern="1200">
              <a:latin typeface="UD デジタル 教科書体 N" panose="02020400000000000000" pitchFamily="17" charset="-128"/>
              <a:ea typeface="UD デジタル 教科書体 N" panose="02020400000000000000" pitchFamily="17" charset="-128"/>
            </a:rPr>
            <a:t>】</a:t>
          </a:r>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ja-JP" altLang="en-US" sz="1200" kern="1200">
              <a:latin typeface="UD デジタル 教科書体 N" panose="02020400000000000000" pitchFamily="17" charset="-128"/>
              <a:ea typeface="UD デジタル 教科書体 N" panose="02020400000000000000" pitchFamily="17" charset="-128"/>
            </a:rPr>
            <a:t>・家族と過ごす時間が増えて良かった</a:t>
          </a:r>
        </a:p>
        <a:p>
          <a:r>
            <a:rPr kumimoji="1" lang="ja-JP" altLang="en-US" sz="1200" kern="1200">
              <a:latin typeface="UD デジタル 教科書体 N" panose="02020400000000000000" pitchFamily="17" charset="-128"/>
              <a:ea typeface="UD デジタル 教科書体 N" panose="02020400000000000000" pitchFamily="17" charset="-128"/>
            </a:rPr>
            <a:t>・普段できない家族旅行やお出かけができた</a:t>
          </a:r>
        </a:p>
        <a:p>
          <a:r>
            <a:rPr kumimoji="1" lang="ja-JP" altLang="en-US" sz="1200" kern="1200">
              <a:latin typeface="UD デジタル 教科書体 N" panose="02020400000000000000" pitchFamily="17" charset="-128"/>
              <a:ea typeface="UD デジタル 教科書体 N" panose="02020400000000000000" pitchFamily="17" charset="-128"/>
            </a:rPr>
            <a:t>・ゆっくり休める時間があって良かった</a:t>
          </a:r>
        </a:p>
        <a:p>
          <a:r>
            <a:rPr kumimoji="1" lang="ja-JP" altLang="en-US" sz="1200" kern="1200">
              <a:latin typeface="UD デジタル 教科書体 N" panose="02020400000000000000" pitchFamily="17" charset="-128"/>
              <a:ea typeface="UD デジタル 教科書体 N" panose="02020400000000000000" pitchFamily="17" charset="-128"/>
            </a:rPr>
            <a:t>・イベントに参加して楽しかった</a:t>
          </a:r>
        </a:p>
        <a:p>
          <a:r>
            <a:rPr kumimoji="1" lang="ja-JP" altLang="en-US" sz="1200" kern="1200">
              <a:latin typeface="UD デジタル 教科書体 N" panose="02020400000000000000" pitchFamily="17" charset="-128"/>
              <a:ea typeface="UD デジタル 教科書体 N" panose="02020400000000000000" pitchFamily="17" charset="-128"/>
            </a:rPr>
            <a:t>・友達と遊べる時間があって良かった</a:t>
          </a:r>
        </a:p>
        <a:p>
          <a:r>
            <a:rPr kumimoji="1" lang="ja-JP" altLang="en-US" sz="1200" kern="1200">
              <a:latin typeface="UD デジタル 教科書体 N" panose="02020400000000000000" pitchFamily="17" charset="-128"/>
              <a:ea typeface="UD デジタル 教科書体 N" panose="02020400000000000000" pitchFamily="17" charset="-128"/>
            </a:rPr>
            <a:t>・テスト勉強の時間が確保できた</a:t>
          </a:r>
        </a:p>
        <a:p>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改善要望</a:t>
          </a:r>
          <a:r>
            <a:rPr kumimoji="1" lang="en-US" altLang="ja-JP" sz="1200" kern="1200">
              <a:latin typeface="UD デジタル 教科書体 N" panose="02020400000000000000" pitchFamily="17" charset="-128"/>
              <a:ea typeface="UD デジタル 教科書体 N" panose="02020400000000000000" pitchFamily="17" charset="-128"/>
            </a:rPr>
            <a:t>】</a:t>
          </a:r>
        </a:p>
        <a:p>
          <a:r>
            <a:rPr kumimoji="1" lang="ja-JP" altLang="en-US" sz="1200" kern="1200">
              <a:latin typeface="UD デジタル 教科書体 N" panose="02020400000000000000" pitchFamily="17" charset="-128"/>
              <a:ea typeface="UD デジタル 教科書体 N" panose="02020400000000000000" pitchFamily="17" charset="-128"/>
            </a:rPr>
            <a:t>・親が仕事で休めないため、家族で過ごせない家庭が多かった</a:t>
          </a:r>
        </a:p>
        <a:p>
          <a:r>
            <a:rPr kumimoji="1" lang="ja-JP" altLang="en-US" sz="1200" kern="1200">
              <a:latin typeface="UD デジタル 教科書体 N" panose="02020400000000000000" pitchFamily="17" charset="-128"/>
              <a:ea typeface="UD デジタル 教科書体 N" panose="02020400000000000000" pitchFamily="17" charset="-128"/>
            </a:rPr>
            <a:t>・テスト期間と重なっていたので、時期の調整を希望</a:t>
          </a:r>
        </a:p>
        <a:p>
          <a:r>
            <a:rPr kumimoji="1" lang="ja-JP" altLang="en-US" sz="1200" kern="1200">
              <a:latin typeface="UD デジタル 教科書体 N" panose="02020400000000000000" pitchFamily="17" charset="-128"/>
              <a:ea typeface="UD デジタル 教科書体 N" panose="02020400000000000000" pitchFamily="17" charset="-128"/>
            </a:rPr>
            <a:t>・もっと回数を増やしてほしい（月</a:t>
          </a:r>
          <a:r>
            <a:rPr kumimoji="1" lang="en-US" altLang="ja-JP" sz="1200" kern="1200">
              <a:latin typeface="UD デジタル 教科書体 N" panose="02020400000000000000" pitchFamily="17" charset="-128"/>
              <a:ea typeface="UD デジタル 教科書体 N" panose="02020400000000000000" pitchFamily="17" charset="-128"/>
            </a:rPr>
            <a:t>1</a:t>
          </a:r>
          <a:r>
            <a:rPr kumimoji="1" lang="ja-JP" altLang="en-US" sz="1200" kern="1200">
              <a:latin typeface="UD デジタル 教科書体 N" panose="02020400000000000000" pitchFamily="17" charset="-128"/>
              <a:ea typeface="UD デジタル 教科書体 N" panose="02020400000000000000" pitchFamily="17" charset="-128"/>
            </a:rPr>
            <a:t>回、年に数回など）</a:t>
          </a:r>
        </a:p>
        <a:p>
          <a:r>
            <a:rPr kumimoji="1" lang="ja-JP" altLang="en-US" sz="1200" kern="1200">
              <a:latin typeface="UD デジタル 教科書体 N" panose="02020400000000000000" pitchFamily="17" charset="-128"/>
              <a:ea typeface="UD デジタル 教科書体 N" panose="02020400000000000000" pitchFamily="17" charset="-128"/>
            </a:rPr>
            <a:t>・子どもだけでなく親も確実に休めるようにしてほしい</a:t>
          </a:r>
        </a:p>
        <a:p>
          <a:r>
            <a:rPr kumimoji="1" lang="ja-JP" altLang="en-US" sz="1200" kern="1200">
              <a:latin typeface="UD デジタル 教科書体 N" panose="02020400000000000000" pitchFamily="17" charset="-128"/>
              <a:ea typeface="UD デジタル 教科書体 N" panose="02020400000000000000" pitchFamily="17" charset="-128"/>
            </a:rPr>
            <a:t>・より多くのイベントを開催してほしい</a:t>
          </a:r>
        </a:p>
        <a:p>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課題</a:t>
          </a:r>
          <a:r>
            <a:rPr kumimoji="1" lang="en-US" altLang="ja-JP" sz="1200" kern="1200">
              <a:latin typeface="UD デジタル 教科書体 N" panose="02020400000000000000" pitchFamily="17" charset="-128"/>
              <a:ea typeface="UD デジタル 教科書体 N" panose="02020400000000000000" pitchFamily="17" charset="-128"/>
            </a:rPr>
            <a:t>】</a:t>
          </a:r>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ja-JP" altLang="en-US" sz="1200" kern="1200">
              <a:latin typeface="UD デジタル 教科書体 N" panose="02020400000000000000" pitchFamily="17" charset="-128"/>
              <a:ea typeface="UD デジタル 教科書体 N" panose="02020400000000000000" pitchFamily="17" charset="-128"/>
            </a:rPr>
            <a:t>・子どもは休みでも親が仕事の場合、ふれあいの目的が達成できない</a:t>
          </a:r>
        </a:p>
        <a:p>
          <a:r>
            <a:rPr kumimoji="1" lang="ja-JP" altLang="en-US" sz="1200" kern="1200">
              <a:latin typeface="UD デジタル 教科書体 N" panose="02020400000000000000" pitchFamily="17" charset="-128"/>
              <a:ea typeface="UD デジタル 教科書体 N" panose="02020400000000000000" pitchFamily="17" charset="-128"/>
            </a:rPr>
            <a:t>・急な休みで親が休暇を取りづらい</a:t>
          </a:r>
        </a:p>
        <a:p>
          <a:r>
            <a:rPr kumimoji="1" lang="ja-JP" altLang="en-US" sz="1200" kern="1200">
              <a:latin typeface="UD デジタル 教科書体 N" panose="02020400000000000000" pitchFamily="17" charset="-128"/>
              <a:ea typeface="UD デジタル 教科書体 N" panose="02020400000000000000" pitchFamily="17" charset="-128"/>
            </a:rPr>
            <a:t>・平日の休みより休日のほうが家族で過ごしやすい</a:t>
          </a:r>
        </a:p>
        <a:p>
          <a:r>
            <a:rPr kumimoji="1" lang="ja-JP" altLang="en-US" sz="1200" kern="1200">
              <a:latin typeface="UD デジタル 教科書体 N" panose="02020400000000000000" pitchFamily="17" charset="-128"/>
              <a:ea typeface="UD デジタル 教科書体 N" panose="02020400000000000000" pitchFamily="17" charset="-128"/>
            </a:rPr>
            <a:t>・一部の家庭では普通の休日と変わらない過ごし方になってしまった</a:t>
          </a:r>
        </a:p>
        <a:p>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ja-JP" altLang="en-US" sz="1200" kern="1200">
              <a:latin typeface="UD デジタル 教科書体 N" panose="02020400000000000000" pitchFamily="17" charset="-128"/>
              <a:ea typeface="UD デジタル 教科書体 N" panose="02020400000000000000" pitchFamily="17" charset="-128"/>
            </a:rPr>
            <a:t>全体として、休日自体は歓迎する声が多いものの、実施時期や親の休暇取得に関する課題が指摘されている</a:t>
          </a:r>
          <a:endParaRPr kumimoji="1" lang="en-US" altLang="ja-JP" sz="1200" kern="1200">
            <a:latin typeface="UD デジタル 教科書体 N" panose="02020400000000000000" pitchFamily="17" charset="-128"/>
            <a:ea typeface="UD デジタル 教科書体 N" panose="02020400000000000000" pitchFamily="17" charset="-128"/>
          </a:endParaRPr>
        </a:p>
      </xdr:txBody>
    </xdr:sp>
    <xdr:clientData/>
  </xdr:twoCellAnchor>
  <xdr:twoCellAnchor>
    <xdr:from>
      <xdr:col>1</xdr:col>
      <xdr:colOff>4762</xdr:colOff>
      <xdr:row>58</xdr:row>
      <xdr:rowOff>176213</xdr:rowOff>
    </xdr:from>
    <xdr:to>
      <xdr:col>12</xdr:col>
      <xdr:colOff>395287</xdr:colOff>
      <xdr:row>95</xdr:row>
      <xdr:rowOff>87923</xdr:rowOff>
    </xdr:to>
    <xdr:sp macro="" textlink="">
      <xdr:nvSpPr>
        <xdr:cNvPr id="3" name="テキスト ボックス 2">
          <a:extLst>
            <a:ext uri="{FF2B5EF4-FFF2-40B4-BE49-F238E27FC236}">
              <a16:creationId xmlns:a16="http://schemas.microsoft.com/office/drawing/2014/main" id="{5781A81E-6A66-B5AD-72CE-9A5BB3B4F985}"/>
            </a:ext>
          </a:extLst>
        </xdr:cNvPr>
        <xdr:cNvSpPr txBox="1"/>
      </xdr:nvSpPr>
      <xdr:spPr>
        <a:xfrm>
          <a:off x="187935" y="13980136"/>
          <a:ext cx="8193698" cy="6689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kern="1200">
              <a:latin typeface="UD デジタル 教科書体 N" panose="02020400000000000000" pitchFamily="17" charset="-128"/>
              <a:ea typeface="UD デジタル 教科書体 N" panose="02020400000000000000" pitchFamily="17" charset="-128"/>
            </a:rPr>
            <a:t>データ分析②小学校と中学校の違い（傾向）</a:t>
          </a:r>
        </a:p>
        <a:p>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問２　どのように過ごしましたか</a:t>
          </a:r>
          <a:r>
            <a:rPr kumimoji="1" lang="en-US" altLang="ja-JP" sz="1200" kern="1200">
              <a:latin typeface="UD デジタル 教科書体 N" panose="02020400000000000000" pitchFamily="17" charset="-128"/>
              <a:ea typeface="UD デジタル 教科書体 N" panose="02020400000000000000" pitchFamily="17" charset="-128"/>
            </a:rPr>
            <a:t>】</a:t>
          </a:r>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小学校</a:t>
          </a:r>
          <a:r>
            <a:rPr kumimoji="1" lang="en-US" altLang="ja-JP" sz="1200" kern="1200">
              <a:latin typeface="UD デジタル 教科書体 N" panose="02020400000000000000" pitchFamily="17" charset="-128"/>
              <a:ea typeface="UD デジタル 教科書体 N" panose="02020400000000000000" pitchFamily="17" charset="-128"/>
            </a:rPr>
            <a:t>〉 </a:t>
          </a:r>
        </a:p>
        <a:p>
          <a:r>
            <a:rPr kumimoji="1" lang="ja-JP" altLang="en-US" sz="1200" kern="1200">
              <a:latin typeface="UD デジタル 教科書体 N" panose="02020400000000000000" pitchFamily="17" charset="-128"/>
              <a:ea typeface="UD デジタル 教科書体 N" panose="02020400000000000000" pitchFamily="17" charset="-128"/>
            </a:rPr>
            <a:t>・最も多かったのは「家族と家で過ごした」</a:t>
          </a:r>
          <a:r>
            <a:rPr kumimoji="1" lang="en-US" altLang="ja-JP" sz="1200" kern="1200">
              <a:latin typeface="UD デジタル 教科書体 N" panose="02020400000000000000" pitchFamily="17" charset="-128"/>
              <a:ea typeface="UD デジタル 教科書体 N" panose="02020400000000000000" pitchFamily="17" charset="-128"/>
            </a:rPr>
            <a:t>(513</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 </a:t>
          </a:r>
        </a:p>
        <a:p>
          <a:r>
            <a:rPr kumimoji="1" lang="ja-JP" altLang="en-US" sz="1200" kern="1200">
              <a:latin typeface="UD デジタル 教科書体 N" panose="02020400000000000000" pitchFamily="17" charset="-128"/>
              <a:ea typeface="UD デジタル 教科書体 N" panose="02020400000000000000" pitchFamily="17" charset="-128"/>
            </a:rPr>
            <a:t>・次いで「家族と倉吉市外に出かけた」</a:t>
          </a:r>
          <a:r>
            <a:rPr kumimoji="1" lang="en-US" altLang="ja-JP" sz="1200" kern="1200">
              <a:latin typeface="UD デジタル 教科書体 N" panose="02020400000000000000" pitchFamily="17" charset="-128"/>
              <a:ea typeface="UD デジタル 教科書体 N" panose="02020400000000000000" pitchFamily="17" charset="-128"/>
            </a:rPr>
            <a:t>(263</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、「子どもだけで家で過ごした」</a:t>
          </a:r>
          <a:r>
            <a:rPr kumimoji="1" lang="en-US" altLang="ja-JP" sz="1200" kern="1200">
              <a:latin typeface="UD デジタル 教科書体 N" panose="02020400000000000000" pitchFamily="17" charset="-128"/>
              <a:ea typeface="UD デジタル 教科書体 N" panose="02020400000000000000" pitchFamily="17" charset="-128"/>
            </a:rPr>
            <a:t>(135</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 </a:t>
          </a:r>
        </a:p>
        <a:p>
          <a:r>
            <a:rPr kumimoji="1" lang="ja-JP" altLang="en-US" sz="1200" kern="1200">
              <a:latin typeface="UD デジタル 教科書体 N" panose="02020400000000000000" pitchFamily="17" charset="-128"/>
              <a:ea typeface="UD デジタル 教科書体 N" panose="02020400000000000000" pitchFamily="17" charset="-128"/>
            </a:rPr>
            <a:t>・  「児童館や放課後児童クラブで過ごした」</a:t>
          </a:r>
          <a:r>
            <a:rPr kumimoji="1" lang="en-US" altLang="ja-JP" sz="1200" kern="1200">
              <a:latin typeface="UD デジタル 教科書体 N" panose="02020400000000000000" pitchFamily="17" charset="-128"/>
              <a:ea typeface="UD デジタル 教科書体 N" panose="02020400000000000000" pitchFamily="17" charset="-128"/>
            </a:rPr>
            <a:t>(118</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も一定数見られた。 </a:t>
          </a:r>
        </a:p>
        <a:p>
          <a:endParaRPr kumimoji="1" lang="en-US" altLang="ja-JP"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中学校</a:t>
          </a:r>
          <a:r>
            <a:rPr kumimoji="1" lang="en-US" altLang="ja-JP" sz="1200" kern="1200">
              <a:latin typeface="UD デジタル 教科書体 N" panose="02020400000000000000" pitchFamily="17" charset="-128"/>
              <a:ea typeface="UD デジタル 教科書体 N" panose="02020400000000000000" pitchFamily="17" charset="-128"/>
            </a:rPr>
            <a:t>〉 </a:t>
          </a:r>
        </a:p>
        <a:p>
          <a:r>
            <a:rPr kumimoji="1" lang="ja-JP" altLang="en-US" sz="1200" kern="1200">
              <a:latin typeface="UD デジタル 教科書体 N" panose="02020400000000000000" pitchFamily="17" charset="-128"/>
              <a:ea typeface="UD デジタル 教科書体 N" panose="02020400000000000000" pitchFamily="17" charset="-128"/>
            </a:rPr>
            <a:t>・小学生と同様に「家族と家で過ごした」</a:t>
          </a:r>
          <a:r>
            <a:rPr kumimoji="1" lang="en-US" altLang="ja-JP" sz="1200" kern="1200">
              <a:latin typeface="UD デジタル 教科書体 N" panose="02020400000000000000" pitchFamily="17" charset="-128"/>
              <a:ea typeface="UD デジタル 教科書体 N" panose="02020400000000000000" pitchFamily="17" charset="-128"/>
            </a:rPr>
            <a:t>(321</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が最も多い。  しかし、「子どもだけで家で過ごした」</a:t>
          </a:r>
          <a:r>
            <a:rPr kumimoji="1" lang="en-US" altLang="ja-JP" sz="1200" kern="1200">
              <a:latin typeface="UD デジタル 教科書体 N" panose="02020400000000000000" pitchFamily="17" charset="-128"/>
              <a:ea typeface="UD デジタル 教科書体 N" panose="02020400000000000000" pitchFamily="17" charset="-128"/>
            </a:rPr>
            <a:t>(208</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が小学生より割合が高い。 </a:t>
          </a:r>
        </a:p>
        <a:p>
          <a:r>
            <a:rPr kumimoji="1" lang="ja-JP" altLang="en-US" sz="1200" kern="1200">
              <a:latin typeface="UD デジタル 教科書体 N" panose="02020400000000000000" pitchFamily="17" charset="-128"/>
              <a:ea typeface="UD デジタル 教科書体 N" panose="02020400000000000000" pitchFamily="17" charset="-128"/>
            </a:rPr>
            <a:t>・外出（市内または市外）は小学生に比べて少なめ。 </a:t>
          </a:r>
        </a:p>
        <a:p>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問３　どのように感じましたか</a:t>
          </a:r>
          <a:r>
            <a:rPr kumimoji="1" lang="en-US" altLang="ja-JP" sz="1200" kern="1200">
              <a:latin typeface="UD デジタル 教科書体 N" panose="02020400000000000000" pitchFamily="17" charset="-128"/>
              <a:ea typeface="UD デジタル 教科書体 N" panose="02020400000000000000" pitchFamily="17" charset="-128"/>
            </a:rPr>
            <a:t>】</a:t>
          </a: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小学校</a:t>
          </a:r>
          <a:r>
            <a:rPr kumimoji="1" lang="en-US" altLang="ja-JP" sz="1200" kern="1200">
              <a:latin typeface="UD デジタル 教科書体 N" panose="02020400000000000000" pitchFamily="17" charset="-128"/>
              <a:ea typeface="UD デジタル 教科書体 N" panose="02020400000000000000" pitchFamily="17" charset="-128"/>
            </a:rPr>
            <a:t>〉 </a:t>
          </a:r>
        </a:p>
        <a:p>
          <a:r>
            <a:rPr kumimoji="1" lang="ja-JP" altLang="en-US" sz="1200" kern="1200">
              <a:latin typeface="UD デジタル 教科書体 N" panose="02020400000000000000" pitchFamily="17" charset="-128"/>
              <a:ea typeface="UD デジタル 教科書体 N" panose="02020400000000000000" pitchFamily="17" charset="-128"/>
            </a:rPr>
            <a:t>・「とてもよかった」</a:t>
          </a:r>
          <a:r>
            <a:rPr kumimoji="1" lang="en-US" altLang="ja-JP" sz="1200" kern="1200">
              <a:latin typeface="UD デジタル 教科書体 N" panose="02020400000000000000" pitchFamily="17" charset="-128"/>
              <a:ea typeface="UD デジタル 教科書体 N" panose="02020400000000000000" pitchFamily="17" charset="-128"/>
            </a:rPr>
            <a:t>(988</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が最多で、次いで「よかった」</a:t>
          </a:r>
          <a:r>
            <a:rPr kumimoji="1" lang="en-US" altLang="ja-JP" sz="1200" kern="1200">
              <a:latin typeface="UD デジタル 教科書体 N" panose="02020400000000000000" pitchFamily="17" charset="-128"/>
              <a:ea typeface="UD デジタル 教科書体 N" panose="02020400000000000000" pitchFamily="17" charset="-128"/>
            </a:rPr>
            <a:t>(392</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 </a:t>
          </a:r>
        </a:p>
        <a:p>
          <a:r>
            <a:rPr kumimoji="1" lang="ja-JP" altLang="en-US" sz="1200" kern="1200">
              <a:latin typeface="UD デジタル 教科書体 N" panose="02020400000000000000" pitchFamily="17" charset="-128"/>
              <a:ea typeface="UD デジタル 教科書体 N" panose="02020400000000000000" pitchFamily="17" charset="-128"/>
            </a:rPr>
            <a:t>・否定的な回答（「あまりよくなかった」または「よくなかった」）は</a:t>
          </a:r>
          <a:r>
            <a:rPr kumimoji="1" lang="en-US" altLang="ja-JP" sz="1200" kern="1200">
              <a:latin typeface="UD デジタル 教科書体 N" panose="02020400000000000000" pitchFamily="17" charset="-128"/>
              <a:ea typeface="UD デジタル 教科書体 N" panose="02020400000000000000" pitchFamily="17" charset="-128"/>
            </a:rPr>
            <a:t>99</a:t>
          </a:r>
          <a:r>
            <a:rPr kumimoji="1" lang="ja-JP" altLang="en-US" sz="1200" kern="1200">
              <a:latin typeface="UD デジタル 教科書体 N" panose="02020400000000000000" pitchFamily="17" charset="-128"/>
              <a:ea typeface="UD デジタル 教科書体 N" panose="02020400000000000000" pitchFamily="17" charset="-128"/>
            </a:rPr>
            <a:t>人。 </a:t>
          </a:r>
        </a:p>
        <a:p>
          <a:endParaRPr kumimoji="1" lang="en-US" altLang="ja-JP"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中学校</a:t>
          </a:r>
          <a:r>
            <a:rPr kumimoji="1" lang="en-US" altLang="ja-JP" sz="1200" kern="1200">
              <a:latin typeface="UD デジタル 教科書体 N" panose="02020400000000000000" pitchFamily="17" charset="-128"/>
              <a:ea typeface="UD デジタル 教科書体 N" panose="02020400000000000000" pitchFamily="17" charset="-128"/>
            </a:rPr>
            <a:t>〉 </a:t>
          </a:r>
        </a:p>
        <a:p>
          <a:r>
            <a:rPr kumimoji="1" lang="ja-JP" altLang="en-US" sz="1200" kern="1200">
              <a:latin typeface="UD デジタル 教科書体 N" panose="02020400000000000000" pitchFamily="17" charset="-128"/>
              <a:ea typeface="UD デジタル 教科書体 N" panose="02020400000000000000" pitchFamily="17" charset="-128"/>
            </a:rPr>
            <a:t>・「とてもよかった」</a:t>
          </a:r>
          <a:r>
            <a:rPr kumimoji="1" lang="en-US" altLang="ja-JP" sz="1200" kern="1200">
              <a:latin typeface="UD デジタル 教科書体 N" panose="02020400000000000000" pitchFamily="17" charset="-128"/>
              <a:ea typeface="UD デジタル 教科書体 N" panose="02020400000000000000" pitchFamily="17" charset="-128"/>
            </a:rPr>
            <a:t>(554</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と「よかった」</a:t>
          </a:r>
          <a:r>
            <a:rPr kumimoji="1" lang="en-US" altLang="ja-JP" sz="1200" kern="1200">
              <a:latin typeface="UD デジタル 教科書体 N" panose="02020400000000000000" pitchFamily="17" charset="-128"/>
              <a:ea typeface="UD デジタル 教科書体 N" panose="02020400000000000000" pitchFamily="17" charset="-128"/>
            </a:rPr>
            <a:t>(264</a:t>
          </a:r>
          <a:r>
            <a:rPr kumimoji="1" lang="ja-JP" altLang="en-US" sz="1200" kern="1200">
              <a:latin typeface="UD デジタル 教科書体 N" panose="02020400000000000000" pitchFamily="17" charset="-128"/>
              <a:ea typeface="UD デジタル 教科書体 N" panose="02020400000000000000" pitchFamily="17" charset="-128"/>
            </a:rPr>
            <a:t>人</a:t>
          </a:r>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が主。 </a:t>
          </a:r>
        </a:p>
        <a:p>
          <a:r>
            <a:rPr kumimoji="1" lang="ja-JP" altLang="en-US" sz="1200" kern="1200">
              <a:latin typeface="UD デジタル 教科書体 N" panose="02020400000000000000" pitchFamily="17" charset="-128"/>
              <a:ea typeface="UD デジタル 教科書体 N" panose="02020400000000000000" pitchFamily="17" charset="-128"/>
            </a:rPr>
            <a:t>・否定的な回答は小学生より少なく、合計</a:t>
          </a:r>
          <a:r>
            <a:rPr kumimoji="1" lang="en-US" altLang="ja-JP" sz="1200" kern="1200">
              <a:latin typeface="UD デジタル 教科書体 N" panose="02020400000000000000" pitchFamily="17" charset="-128"/>
              <a:ea typeface="UD デジタル 教科書体 N" panose="02020400000000000000" pitchFamily="17" charset="-128"/>
            </a:rPr>
            <a:t>51</a:t>
          </a:r>
          <a:r>
            <a:rPr kumimoji="1" lang="ja-JP" altLang="en-US" sz="1200" kern="1200">
              <a:latin typeface="UD デジタル 教科書体 N" panose="02020400000000000000" pitchFamily="17" charset="-128"/>
              <a:ea typeface="UD デジタル 教科書体 N" panose="02020400000000000000" pitchFamily="17" charset="-128"/>
            </a:rPr>
            <a:t>人。 </a:t>
          </a:r>
        </a:p>
        <a:p>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主な傾向</a:t>
          </a:r>
          <a:r>
            <a:rPr kumimoji="1" lang="en-US" altLang="ja-JP" sz="1200" kern="1200">
              <a:latin typeface="UD デジタル 教科書体 N" panose="02020400000000000000" pitchFamily="17" charset="-128"/>
              <a:ea typeface="UD デジタル 教科書体 N" panose="02020400000000000000" pitchFamily="17" charset="-128"/>
            </a:rPr>
            <a:t>】</a:t>
          </a: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活動の違い</a:t>
          </a:r>
          <a:r>
            <a:rPr kumimoji="1" lang="en-US" altLang="ja-JP" sz="1200" kern="1200">
              <a:latin typeface="UD デジタル 教科書体 N" panose="02020400000000000000" pitchFamily="17" charset="-128"/>
              <a:ea typeface="UD デジタル 教科書体 N" panose="02020400000000000000" pitchFamily="17" charset="-128"/>
            </a:rPr>
            <a:t>〉 </a:t>
          </a:r>
        </a:p>
        <a:p>
          <a:r>
            <a:rPr kumimoji="1" lang="ja-JP" altLang="en-US" sz="1200" kern="1200">
              <a:latin typeface="UD デジタル 教科書体 N" panose="02020400000000000000" pitchFamily="17" charset="-128"/>
              <a:ea typeface="UD デジタル 教科書体 N" panose="02020400000000000000" pitchFamily="17" charset="-128"/>
            </a:rPr>
            <a:t>・小学生は家族との外出や地域の施設を活用する傾向が強い一方、中学生は自宅（特に子どもだけ）で過ごす割合が高い。 </a:t>
          </a:r>
        </a:p>
        <a:p>
          <a:r>
            <a:rPr kumimoji="1" lang="ja-JP" altLang="en-US" sz="1200" kern="1200">
              <a:latin typeface="UD デジタル 教科書体 N" panose="02020400000000000000" pitchFamily="17" charset="-128"/>
              <a:ea typeface="UD デジタル 教科書体 N" panose="02020400000000000000" pitchFamily="17" charset="-128"/>
            </a:rPr>
            <a:t>・中学生は自主性が高い活動（友達と過ごす、地域で過ごす）も増加。 </a:t>
          </a:r>
          <a:endParaRPr kumimoji="1" lang="en-US" altLang="ja-JP" sz="1200" kern="1200">
            <a:latin typeface="UD デジタル 教科書体 N" panose="02020400000000000000" pitchFamily="17" charset="-128"/>
            <a:ea typeface="UD デジタル 教科書体 N" panose="02020400000000000000" pitchFamily="17" charset="-128"/>
          </a:endParaRPr>
        </a:p>
        <a:p>
          <a:endParaRPr kumimoji="1" lang="ja-JP" altLang="en-US" sz="1200" kern="1200">
            <a:latin typeface="UD デジタル 教科書体 N" panose="02020400000000000000" pitchFamily="17" charset="-128"/>
            <a:ea typeface="UD デジタル 教科書体 N" panose="02020400000000000000" pitchFamily="17" charset="-128"/>
          </a:endParaRPr>
        </a:p>
        <a:p>
          <a:r>
            <a:rPr kumimoji="1" lang="en-US" altLang="ja-JP" sz="1200" kern="1200">
              <a:latin typeface="UD デジタル 教科書体 N" panose="02020400000000000000" pitchFamily="17" charset="-128"/>
              <a:ea typeface="UD デジタル 教科書体 N" panose="02020400000000000000" pitchFamily="17" charset="-128"/>
            </a:rPr>
            <a:t>〈</a:t>
          </a:r>
          <a:r>
            <a:rPr kumimoji="1" lang="ja-JP" altLang="en-US" sz="1200" kern="1200">
              <a:latin typeface="UD デジタル 教科書体 N" panose="02020400000000000000" pitchFamily="17" charset="-128"/>
              <a:ea typeface="UD デジタル 教科書体 N" panose="02020400000000000000" pitchFamily="17" charset="-128"/>
            </a:rPr>
            <a:t>感想の違い</a:t>
          </a:r>
          <a:r>
            <a:rPr kumimoji="1" lang="en-US" altLang="ja-JP" sz="1200" kern="1200">
              <a:latin typeface="UD デジタル 教科書体 N" panose="02020400000000000000" pitchFamily="17" charset="-128"/>
              <a:ea typeface="UD デジタル 教科書体 N" panose="02020400000000000000" pitchFamily="17" charset="-128"/>
            </a:rPr>
            <a:t>〉</a:t>
          </a:r>
        </a:p>
        <a:p>
          <a:r>
            <a:rPr kumimoji="1" lang="ja-JP" altLang="en-US" sz="1200" kern="1200">
              <a:latin typeface="UD デジタル 教科書体 N" panose="02020400000000000000" pitchFamily="17" charset="-128"/>
              <a:ea typeface="UD デジタル 教科書体 N" panose="02020400000000000000" pitchFamily="17" charset="-128"/>
            </a:rPr>
            <a:t>・小学生の方が「とてもよかった」と答える割合が高い。 </a:t>
          </a:r>
        </a:p>
        <a:p>
          <a:r>
            <a:rPr kumimoji="1" lang="ja-JP" altLang="en-US" sz="1200" kern="1200">
              <a:latin typeface="UD デジタル 教科書体 N" panose="02020400000000000000" pitchFamily="17" charset="-128"/>
              <a:ea typeface="UD デジタル 教科書体 N" panose="02020400000000000000" pitchFamily="17" charset="-128"/>
            </a:rPr>
            <a:t>・中学生では「よかった」との回答が相対的に増えるが、否定的な意見は全体として少ない。 </a:t>
          </a:r>
        </a:p>
        <a:p>
          <a:endParaRPr kumimoji="1" lang="en-US" altLang="ja-JP" sz="1200" kern="1200">
            <a:latin typeface="UD デジタル 教科書体 N" panose="02020400000000000000" pitchFamily="17" charset="-128"/>
            <a:ea typeface="UD デジタル 教科書体 N" panose="02020400000000000000" pitchFamily="17" charset="-128"/>
          </a:endParaRPr>
        </a:p>
        <a:p>
          <a:r>
            <a:rPr kumimoji="1" lang="ja-JP" altLang="en-US" sz="1200" kern="1200">
              <a:latin typeface="UD デジタル 教科書体 N" panose="02020400000000000000" pitchFamily="17" charset="-128"/>
              <a:ea typeface="UD デジタル 教科書体 N" panose="02020400000000000000" pitchFamily="17" charset="-128"/>
            </a:rPr>
            <a:t>この違いから、小学生には親子での交流を中心とした活動が好まれる一方、中学生には自主性や自由を活かした選択肢が求められることが伺える。</a:t>
          </a:r>
        </a:p>
        <a:p>
          <a:endParaRPr kumimoji="1" lang="ja-JP" altLang="en-US" sz="1200" kern="1200">
            <a:latin typeface="UD デジタル 教科書体 N" panose="02020400000000000000" pitchFamily="17" charset="-128"/>
            <a:ea typeface="UD デジタル 教科書体 N" panose="02020400000000000000"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66675</xdr:colOff>
      <xdr:row>33</xdr:row>
      <xdr:rowOff>114300</xdr:rowOff>
    </xdr:from>
    <xdr:to>
      <xdr:col>10</xdr:col>
      <xdr:colOff>923925</xdr:colOff>
      <xdr:row>60</xdr:row>
      <xdr:rowOff>171450</xdr:rowOff>
    </xdr:to>
    <xdr:sp macro="" textlink="">
      <xdr:nvSpPr>
        <xdr:cNvPr id="2" name="テキスト ボックス 1">
          <a:extLst>
            <a:ext uri="{FF2B5EF4-FFF2-40B4-BE49-F238E27FC236}">
              <a16:creationId xmlns:a16="http://schemas.microsoft.com/office/drawing/2014/main" id="{5781A81E-6A66-B5AD-72CE-9A5BB3B4F985}"/>
            </a:ext>
          </a:extLst>
        </xdr:cNvPr>
        <xdr:cNvSpPr txBox="1"/>
      </xdr:nvSpPr>
      <xdr:spPr>
        <a:xfrm>
          <a:off x="600075" y="8220075"/>
          <a:ext cx="8572500" cy="6067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kern="1200">
              <a:latin typeface="UD デジタル 教科書体 NK-R" panose="02020400000000000000" pitchFamily="18" charset="-128"/>
              <a:ea typeface="UD デジタル 教科書体 NK-R" panose="02020400000000000000" pitchFamily="18" charset="-128"/>
            </a:rPr>
            <a:t>データ分析①全体</a:t>
          </a:r>
        </a:p>
        <a:p>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肯定的な意見</a:t>
          </a:r>
          <a:r>
            <a:rPr kumimoji="1" lang="en-US" altLang="ja-JP" sz="1050" kern="1200">
              <a:latin typeface="UD デジタル 教科書体 NK-R" panose="02020400000000000000" pitchFamily="18" charset="-128"/>
              <a:ea typeface="UD デジタル 教科書体 NK-R" panose="02020400000000000000" pitchFamily="18" charset="-128"/>
            </a:rPr>
            <a:t>】</a:t>
          </a:r>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ja-JP" altLang="en-US" sz="1050" kern="1200">
              <a:latin typeface="UD デジタル 教科書体 NK-R" panose="02020400000000000000" pitchFamily="18" charset="-128"/>
              <a:ea typeface="UD デジタル 教科書体 NK-R" panose="02020400000000000000" pitchFamily="18" charset="-128"/>
            </a:rPr>
            <a:t>・家族と過ごす時間が増えて良かった。</a:t>
          </a:r>
        </a:p>
        <a:p>
          <a:r>
            <a:rPr kumimoji="1" lang="ja-JP" altLang="en-US" sz="1050" kern="1200">
              <a:latin typeface="UD デジタル 教科書体 NK-R" panose="02020400000000000000" pitchFamily="18" charset="-128"/>
              <a:ea typeface="UD デジタル 教科書体 NK-R" panose="02020400000000000000" pitchFamily="18" charset="-128"/>
            </a:rPr>
            <a:t>・普段できない家族旅行やお出かけができた。</a:t>
          </a:r>
          <a:endParaRPr kumimoji="1" lang="en-US" altLang="ja-JP" sz="1050" kern="1200">
            <a:latin typeface="UD デジタル 教科書体 NK-R" panose="02020400000000000000" pitchFamily="18" charset="-128"/>
            <a:ea typeface="UD デジタル 教科書体 NK-R" panose="02020400000000000000" pitchFamily="18" charset="-128"/>
          </a:endParaRPr>
        </a:p>
        <a:p>
          <a:r>
            <a:rPr kumimoji="1" lang="ja-JP" altLang="en-US" sz="1050" kern="1200">
              <a:latin typeface="UD デジタル 教科書体 NK-R" panose="02020400000000000000" pitchFamily="18" charset="-128"/>
              <a:ea typeface="UD デジタル 教科書体 NK-R" panose="02020400000000000000" pitchFamily="18" charset="-128"/>
            </a:rPr>
            <a:t>・家族と話す機会になって良かった。</a:t>
          </a:r>
        </a:p>
        <a:p>
          <a:r>
            <a:rPr kumimoji="1" lang="ja-JP" altLang="en-US" sz="1050" kern="1200">
              <a:latin typeface="UD デジタル 教科書体 NK-R" panose="02020400000000000000" pitchFamily="18" charset="-128"/>
              <a:ea typeface="UD デジタル 教科書体 NK-R" panose="02020400000000000000" pitchFamily="18" charset="-128"/>
            </a:rPr>
            <a:t>・ゆっくり休める時間があって良かった。</a:t>
          </a:r>
        </a:p>
        <a:p>
          <a:r>
            <a:rPr kumimoji="1" lang="ja-JP" altLang="en-US" sz="1050" kern="1200">
              <a:latin typeface="UD デジタル 教科書体 NK-R" panose="02020400000000000000" pitchFamily="18" charset="-128"/>
              <a:ea typeface="UD デジタル 教科書体 NK-R" panose="02020400000000000000" pitchFamily="18" charset="-128"/>
            </a:rPr>
            <a:t>・イベントに参加して楽しかった。</a:t>
          </a:r>
        </a:p>
        <a:p>
          <a:r>
            <a:rPr kumimoji="1" lang="ja-JP" altLang="en-US" sz="1050" kern="1200">
              <a:latin typeface="UD デジタル 教科書体 NK-R" panose="02020400000000000000" pitchFamily="18" charset="-128"/>
              <a:ea typeface="UD デジタル 教科書体 NK-R" panose="02020400000000000000" pitchFamily="18" charset="-128"/>
            </a:rPr>
            <a:t>・友達と遊べる時間があって良かった。</a:t>
          </a:r>
        </a:p>
        <a:p>
          <a:r>
            <a:rPr kumimoji="1" lang="ja-JP" altLang="en-US" sz="1050" kern="1200">
              <a:latin typeface="UD デジタル 教科書体 NK-R" panose="02020400000000000000" pitchFamily="18" charset="-128"/>
              <a:ea typeface="UD デジタル 教科書体 NK-R" panose="02020400000000000000" pitchFamily="18" charset="-128"/>
            </a:rPr>
            <a:t>・テスト勉強の時間が確保できた。</a:t>
          </a:r>
          <a:endParaRPr kumimoji="1" lang="en-US" altLang="ja-JP" sz="1050" kern="1200">
            <a:latin typeface="UD デジタル 教科書体 NK-R" panose="02020400000000000000" pitchFamily="18" charset="-128"/>
            <a:ea typeface="UD デジタル 教科書体 NK-R" panose="02020400000000000000" pitchFamily="18" charset="-128"/>
          </a:endParaRPr>
        </a:p>
        <a:p>
          <a:r>
            <a:rPr kumimoji="1" lang="ja-JP" altLang="en-US" sz="1050" kern="1200">
              <a:latin typeface="UD デジタル 教科書体 NK-R" panose="02020400000000000000" pitchFamily="18" charset="-128"/>
              <a:ea typeface="UD デジタル 教科書体 NK-R" panose="02020400000000000000" pitchFamily="18" charset="-128"/>
            </a:rPr>
            <a:t>・イベントのボランティアに参加して、小学生と関わることができた。</a:t>
          </a:r>
        </a:p>
        <a:p>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改善要望</a:t>
          </a:r>
          <a:r>
            <a:rPr kumimoji="1" lang="en-US" altLang="ja-JP" sz="1050" kern="1200">
              <a:latin typeface="UD デジタル 教科書体 NK-R" panose="02020400000000000000" pitchFamily="18" charset="-128"/>
              <a:ea typeface="UD デジタル 教科書体 NK-R" panose="02020400000000000000" pitchFamily="18" charset="-128"/>
            </a:rPr>
            <a:t>】</a:t>
          </a:r>
        </a:p>
        <a:p>
          <a:r>
            <a:rPr kumimoji="1" lang="ja-JP" altLang="en-US" sz="1050" kern="1200">
              <a:latin typeface="UD デジタル 教科書体 NK-R" panose="02020400000000000000" pitchFamily="18" charset="-128"/>
              <a:ea typeface="UD デジタル 教科書体 NK-R" panose="02020400000000000000" pitchFamily="18" charset="-128"/>
            </a:rPr>
            <a:t>・親が仕事で休めないため、家族で過ごせない家庭が多かった。</a:t>
          </a:r>
        </a:p>
        <a:p>
          <a:r>
            <a:rPr kumimoji="1" lang="ja-JP" altLang="en-US" sz="1050" kern="1200">
              <a:latin typeface="UD デジタル 教科書体 NK-R" panose="02020400000000000000" pitchFamily="18" charset="-128"/>
              <a:ea typeface="UD デジタル 教科書体 NK-R" panose="02020400000000000000" pitchFamily="18" charset="-128"/>
            </a:rPr>
            <a:t>・テスト期間と重なっていたので、時期の調整を希望する。</a:t>
          </a:r>
        </a:p>
        <a:p>
          <a:r>
            <a:rPr kumimoji="1" lang="ja-JP" altLang="en-US" sz="1050" kern="1200">
              <a:latin typeface="UD デジタル 教科書体 NK-R" panose="02020400000000000000" pitchFamily="18" charset="-128"/>
              <a:ea typeface="UD デジタル 教科書体 NK-R" panose="02020400000000000000" pitchFamily="18" charset="-128"/>
            </a:rPr>
            <a:t>・もっと回数を増やしてほしい（月</a:t>
          </a:r>
          <a:r>
            <a:rPr kumimoji="1" lang="en-US" altLang="ja-JP" sz="1050" kern="1200">
              <a:latin typeface="UD デジタル 教科書体 NK-R" panose="02020400000000000000" pitchFamily="18" charset="-128"/>
              <a:ea typeface="UD デジタル 教科書体 NK-R" panose="02020400000000000000" pitchFamily="18" charset="-128"/>
            </a:rPr>
            <a:t>1</a:t>
          </a:r>
          <a:r>
            <a:rPr kumimoji="1" lang="ja-JP" altLang="en-US" sz="1050" kern="1200">
              <a:latin typeface="UD デジタル 教科書体 NK-R" panose="02020400000000000000" pitchFamily="18" charset="-128"/>
              <a:ea typeface="UD デジタル 教科書体 NK-R" panose="02020400000000000000" pitchFamily="18" charset="-128"/>
            </a:rPr>
            <a:t>回、年に数回など）</a:t>
          </a:r>
        </a:p>
        <a:p>
          <a:r>
            <a:rPr kumimoji="1" lang="ja-JP" altLang="en-US" sz="1050" kern="1200">
              <a:latin typeface="UD デジタル 教科書体 NK-R" panose="02020400000000000000" pitchFamily="18" charset="-128"/>
              <a:ea typeface="UD デジタル 教科書体 NK-R" panose="02020400000000000000" pitchFamily="18" charset="-128"/>
            </a:rPr>
            <a:t>・子どもだけでなく親も確実に休めるようにしてほしい。</a:t>
          </a:r>
        </a:p>
        <a:p>
          <a:r>
            <a:rPr kumimoji="1" lang="ja-JP" altLang="en-US" sz="1050" kern="1200">
              <a:latin typeface="UD デジタル 教科書体 NK-R" panose="02020400000000000000" pitchFamily="18" charset="-128"/>
              <a:ea typeface="UD デジタル 教科書体 NK-R" panose="02020400000000000000" pitchFamily="18" charset="-128"/>
            </a:rPr>
            <a:t>・より多くのイベントを開催してほしい。</a:t>
          </a:r>
          <a:endParaRPr kumimoji="1" lang="en-US" altLang="ja-JP" sz="1050" kern="1200">
            <a:latin typeface="UD デジタル 教科書体 NK-R" panose="02020400000000000000" pitchFamily="18" charset="-128"/>
            <a:ea typeface="UD デジタル 教科書体 NK-R" panose="02020400000000000000" pitchFamily="18" charset="-128"/>
          </a:endParaRPr>
        </a:p>
        <a:p>
          <a:r>
            <a:rPr kumimoji="1" lang="ja-JP" altLang="en-US" sz="1050" kern="1200">
              <a:latin typeface="UD デジタル 教科書体 NK-R" panose="02020400000000000000" pitchFamily="18" charset="-128"/>
              <a:ea typeface="UD デジタル 教科書体 NK-R" panose="02020400000000000000" pitchFamily="18" charset="-128"/>
            </a:rPr>
            <a:t>・保育園も対象にしたらよいと思った。</a:t>
          </a:r>
          <a:endParaRPr kumimoji="1" lang="en-US" altLang="ja-JP" sz="1050" kern="1200">
            <a:latin typeface="UD デジタル 教科書体 NK-R" panose="02020400000000000000" pitchFamily="18" charset="-128"/>
            <a:ea typeface="UD デジタル 教科書体 NK-R" panose="02020400000000000000" pitchFamily="18" charset="-128"/>
          </a:endParaRPr>
        </a:p>
        <a:p>
          <a:r>
            <a:rPr kumimoji="1" lang="ja-JP" altLang="en-US" sz="1050" kern="1200">
              <a:latin typeface="UD デジタル 教科書体 NK-R" panose="02020400000000000000" pitchFamily="18" charset="-128"/>
              <a:ea typeface="UD デジタル 教科書体 NK-R" panose="02020400000000000000" pitchFamily="18" charset="-128"/>
            </a:rPr>
            <a:t>・高校生も対象にしたらよいと思った。</a:t>
          </a:r>
          <a:endParaRPr kumimoji="1" lang="en-US" altLang="ja-JP" sz="1050" kern="1200">
            <a:latin typeface="UD デジタル 教科書体 NK-R" panose="02020400000000000000" pitchFamily="18" charset="-128"/>
            <a:ea typeface="UD デジタル 教科書体 NK-R" panose="02020400000000000000" pitchFamily="18" charset="-128"/>
          </a:endParaRPr>
        </a:p>
        <a:p>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課題</a:t>
          </a:r>
          <a:r>
            <a:rPr kumimoji="1" lang="en-US" altLang="ja-JP" sz="1050" kern="1200">
              <a:latin typeface="UD デジタル 教科書体 NK-R" panose="02020400000000000000" pitchFamily="18" charset="-128"/>
              <a:ea typeface="UD デジタル 教科書体 NK-R" panose="02020400000000000000" pitchFamily="18" charset="-128"/>
            </a:rPr>
            <a:t>】</a:t>
          </a:r>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ja-JP" altLang="en-US" sz="1050" kern="1200">
              <a:latin typeface="UD デジタル 教科書体 NK-R" panose="02020400000000000000" pitchFamily="18" charset="-128"/>
              <a:ea typeface="UD デジタル 教科書体 NK-R" panose="02020400000000000000" pitchFamily="18" charset="-128"/>
            </a:rPr>
            <a:t>・子どもは休みでも親が仕事の場合、ふれあいの目的が達成できない。</a:t>
          </a:r>
        </a:p>
        <a:p>
          <a:r>
            <a:rPr kumimoji="1" lang="ja-JP" altLang="en-US" sz="1050" kern="1200">
              <a:latin typeface="UD デジタル 教科書体 NK-R" panose="02020400000000000000" pitchFamily="18" charset="-128"/>
              <a:ea typeface="UD デジタル 教科書体 NK-R" panose="02020400000000000000" pitchFamily="18" charset="-128"/>
            </a:rPr>
            <a:t>・急な休みで親が休暇を取りづらい。</a:t>
          </a:r>
        </a:p>
        <a:p>
          <a:r>
            <a:rPr kumimoji="1" lang="ja-JP" altLang="en-US" sz="1050" kern="1200">
              <a:latin typeface="UD デジタル 教科書体 NK-R" panose="02020400000000000000" pitchFamily="18" charset="-128"/>
              <a:ea typeface="UD デジタル 教科書体 NK-R" panose="02020400000000000000" pitchFamily="18" charset="-128"/>
            </a:rPr>
            <a:t>・平日の休みより（週末のような）休日のほうが家族で過ごしやすい。</a:t>
          </a:r>
        </a:p>
        <a:p>
          <a:r>
            <a:rPr kumimoji="1" lang="ja-JP" altLang="en-US" sz="1050" kern="1200">
              <a:latin typeface="UD デジタル 教科書体 NK-R" panose="02020400000000000000" pitchFamily="18" charset="-128"/>
              <a:ea typeface="UD デジタル 教科書体 NK-R" panose="02020400000000000000" pitchFamily="18" charset="-128"/>
            </a:rPr>
            <a:t>・一部の家庭では普通の休日と変わらない過ごし方になってしまった。</a:t>
          </a:r>
        </a:p>
        <a:p>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ja-JP" altLang="en-US" sz="1050" kern="1200">
              <a:latin typeface="UD デジタル 教科書体 NK-R" panose="02020400000000000000" pitchFamily="18" charset="-128"/>
              <a:ea typeface="UD デジタル 教科書体 NK-R" panose="02020400000000000000" pitchFamily="18" charset="-128"/>
            </a:rPr>
            <a:t>全体として、休日自体は歓迎する声が多いものの、親の休暇取得に関する課題が指摘されている。</a:t>
          </a:r>
          <a:endParaRPr kumimoji="1" lang="en-US" altLang="ja-JP" sz="1050" kern="1200">
            <a:latin typeface="UD デジタル 教科書体 NK-R" panose="02020400000000000000" pitchFamily="18" charset="-128"/>
            <a:ea typeface="UD デジタル 教科書体 NK-R" panose="02020400000000000000" pitchFamily="18" charset="-128"/>
          </a:endParaRPr>
        </a:p>
      </xdr:txBody>
    </xdr:sp>
    <xdr:clientData/>
  </xdr:twoCellAnchor>
  <xdr:twoCellAnchor>
    <xdr:from>
      <xdr:col>3</xdr:col>
      <xdr:colOff>0</xdr:colOff>
      <xdr:row>64</xdr:row>
      <xdr:rowOff>104775</xdr:rowOff>
    </xdr:from>
    <xdr:to>
      <xdr:col>10</xdr:col>
      <xdr:colOff>1066800</xdr:colOff>
      <xdr:row>91</xdr:row>
      <xdr:rowOff>28575</xdr:rowOff>
    </xdr:to>
    <xdr:sp macro="" textlink="">
      <xdr:nvSpPr>
        <xdr:cNvPr id="3" name="テキスト ボックス 2">
          <a:extLst>
            <a:ext uri="{FF2B5EF4-FFF2-40B4-BE49-F238E27FC236}">
              <a16:creationId xmlns:a16="http://schemas.microsoft.com/office/drawing/2014/main" id="{5781A81E-6A66-B5AD-72CE-9A5BB3B4F985}"/>
            </a:ext>
          </a:extLst>
        </xdr:cNvPr>
        <xdr:cNvSpPr txBox="1"/>
      </xdr:nvSpPr>
      <xdr:spPr>
        <a:xfrm>
          <a:off x="533400" y="15668625"/>
          <a:ext cx="8782050" cy="5934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kern="1200">
              <a:latin typeface="UD デジタル 教科書体 NK-R" panose="02020400000000000000" pitchFamily="18" charset="-128"/>
              <a:ea typeface="UD デジタル 教科書体 NK-R" panose="02020400000000000000" pitchFamily="18" charset="-128"/>
            </a:rPr>
            <a:t>データ分析②小学校と中学校の違い（傾向）</a:t>
          </a:r>
        </a:p>
        <a:p>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問２　どのように過ごしましたか</a:t>
          </a:r>
          <a:r>
            <a:rPr kumimoji="1" lang="en-US" altLang="ja-JP" sz="1050" kern="1200">
              <a:latin typeface="UD デジタル 教科書体 NK-R" panose="02020400000000000000" pitchFamily="18" charset="-128"/>
              <a:ea typeface="UD デジタル 教科書体 NK-R" panose="02020400000000000000" pitchFamily="18" charset="-128"/>
            </a:rPr>
            <a:t>】</a:t>
          </a:r>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小学校</a:t>
          </a:r>
          <a:r>
            <a:rPr kumimoji="1" lang="en-US" altLang="ja-JP" sz="1050" kern="1200">
              <a:latin typeface="UD デジタル 教科書体 NK-R" panose="02020400000000000000" pitchFamily="18" charset="-128"/>
              <a:ea typeface="UD デジタル 教科書体 NK-R" panose="02020400000000000000" pitchFamily="18" charset="-128"/>
            </a:rPr>
            <a:t>〉 </a:t>
          </a:r>
        </a:p>
        <a:p>
          <a:r>
            <a:rPr kumimoji="1" lang="ja-JP" altLang="en-US" sz="1050" kern="1200">
              <a:latin typeface="UD デジタル 教科書体 NK-R" panose="02020400000000000000" pitchFamily="18" charset="-128"/>
              <a:ea typeface="UD デジタル 教科書体 NK-R" panose="02020400000000000000" pitchFamily="18" charset="-128"/>
            </a:rPr>
            <a:t>・最も多かったのは「家族と家で過ごした」</a:t>
          </a:r>
          <a:r>
            <a:rPr kumimoji="1" lang="en-US" altLang="ja-JP" sz="1050" kern="1200">
              <a:latin typeface="UD デジタル 教科書体 NK-R" panose="02020400000000000000" pitchFamily="18" charset="-128"/>
              <a:ea typeface="UD デジタル 教科書体 NK-R" panose="02020400000000000000" pitchFamily="18" charset="-128"/>
            </a:rPr>
            <a:t>(513</a:t>
          </a:r>
          <a:r>
            <a:rPr kumimoji="1" lang="ja-JP" altLang="en-US" sz="1050" kern="1200">
              <a:latin typeface="UD デジタル 教科書体 NK-R" panose="02020400000000000000" pitchFamily="18" charset="-128"/>
              <a:ea typeface="UD デジタル 教科書体 NK-R" panose="02020400000000000000" pitchFamily="18" charset="-128"/>
            </a:rPr>
            <a:t>人</a:t>
          </a:r>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次いで「家族と倉吉市外に出かけた」</a:t>
          </a:r>
          <a:r>
            <a:rPr kumimoji="1" lang="en-US" altLang="ja-JP" sz="1050" kern="1200">
              <a:latin typeface="UD デジタル 教科書体 NK-R" panose="02020400000000000000" pitchFamily="18" charset="-128"/>
              <a:ea typeface="UD デジタル 教科書体 NK-R" panose="02020400000000000000" pitchFamily="18" charset="-128"/>
            </a:rPr>
            <a:t>(263</a:t>
          </a:r>
          <a:r>
            <a:rPr kumimoji="1" lang="ja-JP" altLang="en-US" sz="1050" kern="1200">
              <a:latin typeface="UD デジタル 教科書体 NK-R" panose="02020400000000000000" pitchFamily="18" charset="-128"/>
              <a:ea typeface="UD デジタル 教科書体 NK-R" panose="02020400000000000000" pitchFamily="18" charset="-128"/>
            </a:rPr>
            <a:t>人</a:t>
          </a:r>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「子どもだけで家で過ごした」</a:t>
          </a:r>
          <a:r>
            <a:rPr kumimoji="1" lang="en-US" altLang="ja-JP" sz="1050" kern="1200">
              <a:latin typeface="UD デジタル 教科書体 NK-R" panose="02020400000000000000" pitchFamily="18" charset="-128"/>
              <a:ea typeface="UD デジタル 教科書体 NK-R" panose="02020400000000000000" pitchFamily="18" charset="-128"/>
            </a:rPr>
            <a:t>(135</a:t>
          </a:r>
          <a:r>
            <a:rPr kumimoji="1" lang="ja-JP" altLang="en-US" sz="1050" kern="1200">
              <a:latin typeface="UD デジタル 教科書体 NK-R" panose="02020400000000000000" pitchFamily="18" charset="-128"/>
              <a:ea typeface="UD デジタル 教科書体 NK-R" panose="02020400000000000000" pitchFamily="18" charset="-128"/>
            </a:rPr>
            <a:t>人</a:t>
          </a:r>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 </a:t>
          </a:r>
        </a:p>
        <a:p>
          <a:r>
            <a:rPr kumimoji="1" lang="ja-JP" altLang="en-US" sz="1050" kern="1200">
              <a:latin typeface="UD デジタル 教科書体 NK-R" panose="02020400000000000000" pitchFamily="18" charset="-128"/>
              <a:ea typeface="UD デジタル 教科書体 NK-R" panose="02020400000000000000" pitchFamily="18" charset="-128"/>
            </a:rPr>
            <a:t>・  「児童館や放課後児童クラブで過ごした」も一定数見られた（</a:t>
          </a:r>
          <a:r>
            <a:rPr kumimoji="1" lang="en-US" altLang="ja-JP" sz="1050" kern="1200">
              <a:latin typeface="UD デジタル 教科書体 NK-R" panose="02020400000000000000" pitchFamily="18" charset="-128"/>
              <a:ea typeface="UD デジタル 教科書体 NK-R" panose="02020400000000000000" pitchFamily="18" charset="-128"/>
            </a:rPr>
            <a:t>118</a:t>
          </a:r>
          <a:r>
            <a:rPr kumimoji="1" lang="ja-JP" altLang="en-US" sz="1050" kern="1200">
              <a:latin typeface="UD デジタル 教科書体 NK-R" panose="02020400000000000000" pitchFamily="18" charset="-128"/>
              <a:ea typeface="UD デジタル 教科書体 NK-R" panose="02020400000000000000" pitchFamily="18" charset="-128"/>
            </a:rPr>
            <a:t>人） </a:t>
          </a:r>
        </a:p>
        <a:p>
          <a:endParaRPr kumimoji="1" lang="en-US" altLang="ja-JP"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中学校</a:t>
          </a:r>
          <a:r>
            <a:rPr kumimoji="1" lang="en-US" altLang="ja-JP" sz="1050" kern="1200">
              <a:latin typeface="UD デジタル 教科書体 NK-R" panose="02020400000000000000" pitchFamily="18" charset="-128"/>
              <a:ea typeface="UD デジタル 教科書体 NK-R" panose="02020400000000000000" pitchFamily="18" charset="-128"/>
            </a:rPr>
            <a:t>〉 </a:t>
          </a:r>
        </a:p>
        <a:p>
          <a:r>
            <a:rPr kumimoji="1" lang="ja-JP" altLang="en-US" sz="1050" kern="1200">
              <a:latin typeface="UD デジタル 教科書体 NK-R" panose="02020400000000000000" pitchFamily="18" charset="-128"/>
              <a:ea typeface="UD デジタル 教科書体 NK-R" panose="02020400000000000000" pitchFamily="18" charset="-128"/>
            </a:rPr>
            <a:t>・小学生と同様に「家族と家で過ごした」</a:t>
          </a:r>
          <a:r>
            <a:rPr kumimoji="1" lang="en-US" altLang="ja-JP" sz="1050" kern="1200">
              <a:latin typeface="UD デジタル 教科書体 NK-R" panose="02020400000000000000" pitchFamily="18" charset="-128"/>
              <a:ea typeface="UD デジタル 教科書体 NK-R" panose="02020400000000000000" pitchFamily="18" charset="-128"/>
            </a:rPr>
            <a:t>(321</a:t>
          </a:r>
          <a:r>
            <a:rPr kumimoji="1" lang="ja-JP" altLang="en-US" sz="1050" kern="1200">
              <a:latin typeface="UD デジタル 教科書体 NK-R" panose="02020400000000000000" pitchFamily="18" charset="-128"/>
              <a:ea typeface="UD デジタル 教科書体 NK-R" panose="02020400000000000000" pitchFamily="18" charset="-128"/>
            </a:rPr>
            <a:t>人</a:t>
          </a:r>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が最も多い。  しかし、「子どもだけで家で過ごした」</a:t>
          </a:r>
          <a:r>
            <a:rPr kumimoji="1" lang="en-US" altLang="ja-JP" sz="1050" kern="1200">
              <a:latin typeface="UD デジタル 教科書体 NK-R" panose="02020400000000000000" pitchFamily="18" charset="-128"/>
              <a:ea typeface="UD デジタル 教科書体 NK-R" panose="02020400000000000000" pitchFamily="18" charset="-128"/>
            </a:rPr>
            <a:t>(208</a:t>
          </a:r>
          <a:r>
            <a:rPr kumimoji="1" lang="ja-JP" altLang="en-US" sz="1050" kern="1200">
              <a:latin typeface="UD デジタル 教科書体 NK-R" panose="02020400000000000000" pitchFamily="18" charset="-128"/>
              <a:ea typeface="UD デジタル 教科書体 NK-R" panose="02020400000000000000" pitchFamily="18" charset="-128"/>
            </a:rPr>
            <a:t>人</a:t>
          </a:r>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が小学生より割合が高い。 </a:t>
          </a:r>
        </a:p>
        <a:p>
          <a:r>
            <a:rPr kumimoji="1" lang="ja-JP" altLang="en-US" sz="1050" kern="1200">
              <a:latin typeface="UD デジタル 教科書体 NK-R" panose="02020400000000000000" pitchFamily="18" charset="-128"/>
              <a:ea typeface="UD デジタル 教科書体 NK-R" panose="02020400000000000000" pitchFamily="18" charset="-128"/>
            </a:rPr>
            <a:t>・外出（市内または市外）は小学生に比べて少なめ。 </a:t>
          </a:r>
        </a:p>
        <a:p>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問３　どのように感じましたか</a:t>
          </a:r>
          <a:r>
            <a:rPr kumimoji="1" lang="en-US" altLang="ja-JP" sz="1050" kern="1200">
              <a:latin typeface="UD デジタル 教科書体 NK-R" panose="02020400000000000000" pitchFamily="18" charset="-128"/>
              <a:ea typeface="UD デジタル 教科書体 NK-R" panose="02020400000000000000" pitchFamily="18" charset="-128"/>
            </a:rPr>
            <a:t>】</a:t>
          </a: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小学校</a:t>
          </a:r>
          <a:r>
            <a:rPr kumimoji="1" lang="en-US" altLang="ja-JP" sz="1050" kern="1200">
              <a:latin typeface="UD デジタル 教科書体 NK-R" panose="02020400000000000000" pitchFamily="18" charset="-128"/>
              <a:ea typeface="UD デジタル 教科書体 NK-R" panose="02020400000000000000" pitchFamily="18" charset="-128"/>
            </a:rPr>
            <a:t>〉 </a:t>
          </a:r>
        </a:p>
        <a:p>
          <a:r>
            <a:rPr kumimoji="1" lang="ja-JP" altLang="en-US" sz="1050" kern="1200">
              <a:latin typeface="UD デジタル 教科書体 NK-R" panose="02020400000000000000" pitchFamily="18" charset="-128"/>
              <a:ea typeface="UD デジタル 教科書体 NK-R" panose="02020400000000000000" pitchFamily="18" charset="-128"/>
            </a:rPr>
            <a:t>・「とてもよかった」</a:t>
          </a:r>
          <a:r>
            <a:rPr kumimoji="1" lang="en-US" altLang="ja-JP" sz="1050" kern="1200">
              <a:latin typeface="UD デジタル 教科書体 NK-R" panose="02020400000000000000" pitchFamily="18" charset="-128"/>
              <a:ea typeface="UD デジタル 教科書体 NK-R" panose="02020400000000000000" pitchFamily="18" charset="-128"/>
            </a:rPr>
            <a:t>(988</a:t>
          </a:r>
          <a:r>
            <a:rPr kumimoji="1" lang="ja-JP" altLang="en-US" sz="1050" kern="1200">
              <a:latin typeface="UD デジタル 教科書体 NK-R" panose="02020400000000000000" pitchFamily="18" charset="-128"/>
              <a:ea typeface="UD デジタル 教科書体 NK-R" panose="02020400000000000000" pitchFamily="18" charset="-128"/>
            </a:rPr>
            <a:t>人</a:t>
          </a:r>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が最多で、次いで「よかった」</a:t>
          </a:r>
          <a:r>
            <a:rPr kumimoji="1" lang="en-US" altLang="ja-JP" sz="1050" kern="1200">
              <a:latin typeface="UD デジタル 教科書体 NK-R" panose="02020400000000000000" pitchFamily="18" charset="-128"/>
              <a:ea typeface="UD デジタル 教科書体 NK-R" panose="02020400000000000000" pitchFamily="18" charset="-128"/>
            </a:rPr>
            <a:t>(392</a:t>
          </a:r>
          <a:r>
            <a:rPr kumimoji="1" lang="ja-JP" altLang="en-US" sz="1050" kern="1200">
              <a:latin typeface="UD デジタル 教科書体 NK-R" panose="02020400000000000000" pitchFamily="18" charset="-128"/>
              <a:ea typeface="UD デジタル 教科書体 NK-R" panose="02020400000000000000" pitchFamily="18" charset="-128"/>
            </a:rPr>
            <a:t>人</a:t>
          </a:r>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 </a:t>
          </a:r>
        </a:p>
        <a:p>
          <a:r>
            <a:rPr kumimoji="1" lang="ja-JP" altLang="en-US" sz="1050" kern="1200">
              <a:latin typeface="UD デジタル 教科書体 NK-R" panose="02020400000000000000" pitchFamily="18" charset="-128"/>
              <a:ea typeface="UD デジタル 教科書体 NK-R" panose="02020400000000000000" pitchFamily="18" charset="-128"/>
            </a:rPr>
            <a:t>・否定的な回答（「あまりよくなかった」または「よくなかった」）は</a:t>
          </a:r>
          <a:r>
            <a:rPr kumimoji="1" lang="en-US" altLang="ja-JP" sz="1050" kern="1200">
              <a:latin typeface="UD デジタル 教科書体 NK-R" panose="02020400000000000000" pitchFamily="18" charset="-128"/>
              <a:ea typeface="UD デジタル 教科書体 NK-R" panose="02020400000000000000" pitchFamily="18" charset="-128"/>
            </a:rPr>
            <a:t>99</a:t>
          </a:r>
          <a:r>
            <a:rPr kumimoji="1" lang="ja-JP" altLang="en-US" sz="1050" kern="1200">
              <a:latin typeface="UD デジタル 教科書体 NK-R" panose="02020400000000000000" pitchFamily="18" charset="-128"/>
              <a:ea typeface="UD デジタル 教科書体 NK-R" panose="02020400000000000000" pitchFamily="18" charset="-128"/>
            </a:rPr>
            <a:t>人。 </a:t>
          </a:r>
        </a:p>
        <a:p>
          <a:endParaRPr kumimoji="1" lang="en-US" altLang="ja-JP"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中学校</a:t>
          </a:r>
          <a:r>
            <a:rPr kumimoji="1" lang="en-US" altLang="ja-JP" sz="1050" kern="1200">
              <a:latin typeface="UD デジタル 教科書体 NK-R" panose="02020400000000000000" pitchFamily="18" charset="-128"/>
              <a:ea typeface="UD デジタル 教科書体 NK-R" panose="02020400000000000000" pitchFamily="18" charset="-128"/>
            </a:rPr>
            <a:t>〉 </a:t>
          </a:r>
        </a:p>
        <a:p>
          <a:r>
            <a:rPr kumimoji="1" lang="ja-JP" altLang="en-US" sz="1050" kern="1200">
              <a:latin typeface="UD デジタル 教科書体 NK-R" panose="02020400000000000000" pitchFamily="18" charset="-128"/>
              <a:ea typeface="UD デジタル 教科書体 NK-R" panose="02020400000000000000" pitchFamily="18" charset="-128"/>
            </a:rPr>
            <a:t>・「とてもよかった」</a:t>
          </a:r>
          <a:r>
            <a:rPr kumimoji="1" lang="en-US" altLang="ja-JP" sz="1050" kern="1200">
              <a:latin typeface="UD デジタル 教科書体 NK-R" panose="02020400000000000000" pitchFamily="18" charset="-128"/>
              <a:ea typeface="UD デジタル 教科書体 NK-R" panose="02020400000000000000" pitchFamily="18" charset="-128"/>
            </a:rPr>
            <a:t>(554</a:t>
          </a:r>
          <a:r>
            <a:rPr kumimoji="1" lang="ja-JP" altLang="en-US" sz="1050" kern="1200">
              <a:latin typeface="UD デジタル 教科書体 NK-R" panose="02020400000000000000" pitchFamily="18" charset="-128"/>
              <a:ea typeface="UD デジタル 教科書体 NK-R" panose="02020400000000000000" pitchFamily="18" charset="-128"/>
            </a:rPr>
            <a:t>人</a:t>
          </a:r>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が最多で、次いで「よかった」</a:t>
          </a:r>
          <a:r>
            <a:rPr kumimoji="1" lang="en-US" altLang="ja-JP" sz="1050" kern="1200">
              <a:latin typeface="UD デジタル 教科書体 NK-R" panose="02020400000000000000" pitchFamily="18" charset="-128"/>
              <a:ea typeface="UD デジタル 教科書体 NK-R" panose="02020400000000000000" pitchFamily="18" charset="-128"/>
            </a:rPr>
            <a:t>(264</a:t>
          </a:r>
          <a:r>
            <a:rPr kumimoji="1" lang="ja-JP" altLang="en-US" sz="1050" kern="1200">
              <a:latin typeface="UD デジタル 教科書体 NK-R" panose="02020400000000000000" pitchFamily="18" charset="-128"/>
              <a:ea typeface="UD デジタル 教科書体 NK-R" panose="02020400000000000000" pitchFamily="18" charset="-128"/>
            </a:rPr>
            <a:t>人</a:t>
          </a:r>
          <a:r>
            <a:rPr kumimoji="1" lang="en-US" altLang="ja-JP" sz="1050" kern="1200">
              <a:latin typeface="UD デジタル 教科書体 NK-R" panose="02020400000000000000" pitchFamily="18" charset="-128"/>
              <a:ea typeface="UD デジタル 教科書体 NK-R" panose="02020400000000000000" pitchFamily="18" charset="-128"/>
            </a:rPr>
            <a:t>)</a:t>
          </a:r>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ja-JP" altLang="en-US" sz="1050" kern="1200">
              <a:latin typeface="UD デジタル 教科書体 NK-R" panose="02020400000000000000" pitchFamily="18" charset="-128"/>
              <a:ea typeface="UD デジタル 教科書体 NK-R" panose="02020400000000000000" pitchFamily="18" charset="-128"/>
            </a:rPr>
            <a:t>・否定的な回答（「あまりよくなかった」または「よくなかった」）は小学生より少なく、合計</a:t>
          </a:r>
          <a:r>
            <a:rPr kumimoji="1" lang="en-US" altLang="ja-JP" sz="1050" kern="1200">
              <a:latin typeface="UD デジタル 教科書体 NK-R" panose="02020400000000000000" pitchFamily="18" charset="-128"/>
              <a:ea typeface="UD デジタル 教科書体 NK-R" panose="02020400000000000000" pitchFamily="18" charset="-128"/>
            </a:rPr>
            <a:t>51</a:t>
          </a:r>
          <a:r>
            <a:rPr kumimoji="1" lang="ja-JP" altLang="en-US" sz="1050" kern="1200">
              <a:latin typeface="UD デジタル 教科書体 NK-R" panose="02020400000000000000" pitchFamily="18" charset="-128"/>
              <a:ea typeface="UD デジタル 教科書体 NK-R" panose="02020400000000000000" pitchFamily="18" charset="-128"/>
            </a:rPr>
            <a:t>人。 </a:t>
          </a:r>
        </a:p>
        <a:p>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主な傾向</a:t>
          </a:r>
          <a:r>
            <a:rPr kumimoji="1" lang="en-US" altLang="ja-JP" sz="1050" kern="1200">
              <a:latin typeface="UD デジタル 教科書体 NK-R" panose="02020400000000000000" pitchFamily="18" charset="-128"/>
              <a:ea typeface="UD デジタル 教科書体 NK-R" panose="02020400000000000000" pitchFamily="18" charset="-128"/>
            </a:rPr>
            <a:t>】</a:t>
          </a: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活動の違い</a:t>
          </a:r>
          <a:r>
            <a:rPr kumimoji="1" lang="en-US" altLang="ja-JP" sz="1050" kern="1200">
              <a:latin typeface="UD デジタル 教科書体 NK-R" panose="02020400000000000000" pitchFamily="18" charset="-128"/>
              <a:ea typeface="UD デジタル 教科書体 NK-R" panose="02020400000000000000" pitchFamily="18" charset="-128"/>
            </a:rPr>
            <a:t>〉 </a:t>
          </a:r>
        </a:p>
        <a:p>
          <a:r>
            <a:rPr kumimoji="1" lang="ja-JP" altLang="en-US" sz="1050" kern="1200">
              <a:latin typeface="UD デジタル 教科書体 NK-R" panose="02020400000000000000" pitchFamily="18" charset="-128"/>
              <a:ea typeface="UD デジタル 教科書体 NK-R" panose="02020400000000000000" pitchFamily="18" charset="-128"/>
            </a:rPr>
            <a:t>・小学生は家族との外出や地域の施設を活用する傾向が強い一方、中学生は自宅（特に子どもだけ）で過ごす割合が高い。 </a:t>
          </a:r>
        </a:p>
        <a:p>
          <a:r>
            <a:rPr kumimoji="1" lang="ja-JP" altLang="en-US" sz="1050" kern="1200">
              <a:latin typeface="UD デジタル 教科書体 NK-R" panose="02020400000000000000" pitchFamily="18" charset="-128"/>
              <a:ea typeface="UD デジタル 教科書体 NK-R" panose="02020400000000000000" pitchFamily="18" charset="-128"/>
            </a:rPr>
            <a:t>・中学生は自主性が高い活動（友だちと過ごす、地域で過ごす）も増加。 </a:t>
          </a:r>
          <a:endParaRPr kumimoji="1" lang="en-US" altLang="ja-JP" sz="1050" kern="1200">
            <a:latin typeface="UD デジタル 教科書体 NK-R" panose="02020400000000000000" pitchFamily="18" charset="-128"/>
            <a:ea typeface="UD デジタル 教科書体 NK-R" panose="02020400000000000000" pitchFamily="18" charset="-128"/>
          </a:endParaRPr>
        </a:p>
        <a:p>
          <a:endParaRPr kumimoji="1" lang="ja-JP" altLang="en-US" sz="1050" kern="1200">
            <a:latin typeface="UD デジタル 教科書体 NK-R" panose="02020400000000000000" pitchFamily="18" charset="-128"/>
            <a:ea typeface="UD デジタル 教科書体 NK-R" panose="02020400000000000000" pitchFamily="18" charset="-128"/>
          </a:endParaRPr>
        </a:p>
        <a:p>
          <a:r>
            <a:rPr kumimoji="1" lang="en-US" altLang="ja-JP" sz="1050" kern="1200">
              <a:latin typeface="UD デジタル 教科書体 NK-R" panose="02020400000000000000" pitchFamily="18" charset="-128"/>
              <a:ea typeface="UD デジタル 教科書体 NK-R" panose="02020400000000000000" pitchFamily="18" charset="-128"/>
            </a:rPr>
            <a:t>〈</a:t>
          </a:r>
          <a:r>
            <a:rPr kumimoji="1" lang="ja-JP" altLang="en-US" sz="1050" kern="1200">
              <a:latin typeface="UD デジタル 教科書体 NK-R" panose="02020400000000000000" pitchFamily="18" charset="-128"/>
              <a:ea typeface="UD デジタル 教科書体 NK-R" panose="02020400000000000000" pitchFamily="18" charset="-128"/>
            </a:rPr>
            <a:t>感想の違い</a:t>
          </a:r>
          <a:r>
            <a:rPr kumimoji="1" lang="en-US" altLang="ja-JP" sz="1050" kern="1200">
              <a:latin typeface="UD デジタル 教科書体 NK-R" panose="02020400000000000000" pitchFamily="18" charset="-128"/>
              <a:ea typeface="UD デジタル 教科書体 NK-R" panose="02020400000000000000" pitchFamily="18" charset="-128"/>
            </a:rPr>
            <a:t>〉</a:t>
          </a:r>
        </a:p>
        <a:p>
          <a:r>
            <a:rPr kumimoji="1" lang="ja-JP" altLang="en-US" sz="1050" kern="1200">
              <a:latin typeface="UD デジタル 教科書体 NK-R" panose="02020400000000000000" pitchFamily="18" charset="-128"/>
              <a:ea typeface="UD デジタル 教科書体 NK-R" panose="02020400000000000000" pitchFamily="18" charset="-128"/>
            </a:rPr>
            <a:t>・小学生の方が「とてもよかった」と答える割合が高い。 </a:t>
          </a:r>
        </a:p>
        <a:p>
          <a:r>
            <a:rPr kumimoji="1" lang="ja-JP" altLang="en-US" sz="1050" kern="1200">
              <a:latin typeface="UD デジタル 教科書体 NK-R" panose="02020400000000000000" pitchFamily="18" charset="-128"/>
              <a:ea typeface="UD デジタル 教科書体 NK-R" panose="02020400000000000000" pitchFamily="18" charset="-128"/>
            </a:rPr>
            <a:t>・中学生では「よかった」との回答が相対的に増えるが、否定的な意見は全体として少ない。 </a:t>
          </a:r>
        </a:p>
        <a:p>
          <a:endParaRPr kumimoji="1" lang="en-US" altLang="ja-JP" sz="1050" kern="1200">
            <a:latin typeface="UD デジタル 教科書体 NK-R" panose="02020400000000000000" pitchFamily="18" charset="-128"/>
            <a:ea typeface="UD デジタル 教科書体 NK-R" panose="02020400000000000000" pitchFamily="18" charset="-128"/>
          </a:endParaRPr>
        </a:p>
        <a:p>
          <a:r>
            <a:rPr kumimoji="1" lang="ja-JP" altLang="en-US" sz="1050" kern="1200">
              <a:latin typeface="UD デジタル 教科書体 NK-R" panose="02020400000000000000" pitchFamily="18" charset="-128"/>
              <a:ea typeface="UD デジタル 教科書体 NK-R" panose="02020400000000000000" pitchFamily="18" charset="-128"/>
            </a:rPr>
            <a:t>この違いから、小学生には親子での交流を中心とした活動が好まれる一方、中学生には自主性や自由を活かした選択肢が求められることが伺える。</a:t>
          </a:r>
        </a:p>
        <a:p>
          <a:endParaRPr kumimoji="1" lang="ja-JP" altLang="en-US" sz="1050" kern="1200">
            <a:latin typeface="UD デジタル 教科書体 NK-R" panose="02020400000000000000" pitchFamily="18" charset="-128"/>
            <a:ea typeface="UD デジタル 教科書体 NK-R" panose="02020400000000000000" pitchFamily="18" charset="-128"/>
          </a:endParaRPr>
        </a:p>
      </xdr:txBody>
    </xdr:sp>
    <xdr:clientData/>
  </xdr:twoCellAnchor>
</xdr:wsDr>
</file>

<file path=xl/tables/table1.xml><?xml version="1.0" encoding="utf-8"?>
<table xmlns="http://schemas.openxmlformats.org/spreadsheetml/2006/main" id="1" name="Form_Responses1" displayName="Form_Responses1" ref="A1:F2349">
  <autoFilter ref="A1:F2349"/>
  <tableColumns count="6">
    <tableColumn id="1" name="タイムスタンプ" dataDxfId="5"/>
    <tableColumn id="2" name="問１　あなたは何年生ですか。" dataDxfId="4"/>
    <tableColumn id="6" name="小中区分" dataDxfId="3">
      <calculatedColumnFormula>LEFT(Form_Responses1[[#This Row],[問１　あなたは何年生ですか。]],3)</calculatedColumnFormula>
    </tableColumn>
    <tableColumn id="3" name="問２　11月22日（ふれあいホリデー）はどのように過ごしましたか。" dataDxfId="2"/>
    <tableColumn id="4" name="問３　どのように感じましたか。" dataDxfId="1"/>
    <tableColumn id="5" name="問４　感想や、これからどうすればいいかを教えてください。" dataDxfId="0"/>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L2464"/>
  <sheetViews>
    <sheetView topLeftCell="B1" workbookViewId="0">
      <pane ySplit="1" topLeftCell="A2" activePane="bottomLeft" state="frozen"/>
      <selection pane="bottomLeft" activeCell="D1" sqref="D1"/>
    </sheetView>
  </sheetViews>
  <sheetFormatPr defaultColWidth="12.5703125" defaultRowHeight="15.75" customHeight="1"/>
  <cols>
    <col min="1" max="1" width="19.5703125" bestFit="1" customWidth="1"/>
    <col min="2" max="2" width="32.140625" bestFit="1" customWidth="1"/>
    <col min="3" max="3" width="9.7109375" bestFit="1" customWidth="1"/>
    <col min="4" max="4" width="99.7109375" bestFit="1" customWidth="1"/>
    <col min="5" max="5" width="34.42578125" bestFit="1" customWidth="1"/>
    <col min="6" max="6" width="255.7109375" bestFit="1" customWidth="1"/>
    <col min="7" max="12" width="18.85546875" customWidth="1"/>
  </cols>
  <sheetData>
    <row r="1" spans="1:12" ht="12.75">
      <c r="A1" s="2" t="s">
        <v>0</v>
      </c>
      <c r="B1" s="3" t="s">
        <v>1</v>
      </c>
      <c r="C1" s="9" t="s">
        <v>1663</v>
      </c>
      <c r="D1" s="3" t="s">
        <v>2</v>
      </c>
      <c r="E1" s="3" t="s">
        <v>3</v>
      </c>
      <c r="F1" s="4" t="s">
        <v>4</v>
      </c>
      <c r="G1" s="1"/>
      <c r="H1" s="1"/>
      <c r="I1" s="1"/>
      <c r="J1" s="1"/>
      <c r="K1" s="1"/>
      <c r="L1" s="1"/>
    </row>
    <row r="2" spans="1:12" ht="12.75">
      <c r="A2" s="6">
        <v>45624.353375081017</v>
      </c>
      <c r="B2" s="7" t="s">
        <v>5</v>
      </c>
      <c r="C2" s="5" t="str">
        <f>LEFT(Form_Responses1[[#This Row],[問１　あなたは何年生ですか。]],3)</f>
        <v>中学校</v>
      </c>
      <c r="D2" s="7" t="s">
        <v>25</v>
      </c>
      <c r="E2" s="7" t="s">
        <v>7</v>
      </c>
      <c r="F2" s="7" t="s">
        <v>26</v>
      </c>
      <c r="G2" s="1"/>
      <c r="H2" s="1"/>
      <c r="I2" s="1"/>
      <c r="J2" s="1"/>
      <c r="K2" s="1"/>
      <c r="L2" s="1"/>
    </row>
    <row r="3" spans="1:12" ht="12.75">
      <c r="A3" s="6">
        <v>45624.509669722218</v>
      </c>
      <c r="B3" s="7" t="s">
        <v>5</v>
      </c>
      <c r="C3" s="5" t="str">
        <f>LEFT(Form_Responses1[[#This Row],[問１　あなたは何年生ですか。]],3)</f>
        <v>中学校</v>
      </c>
      <c r="D3" s="7" t="s">
        <v>19</v>
      </c>
      <c r="E3" s="7" t="s">
        <v>10</v>
      </c>
      <c r="F3" s="7" t="s">
        <v>27</v>
      </c>
      <c r="G3" s="1"/>
      <c r="H3" s="1"/>
      <c r="I3" s="1"/>
      <c r="J3" s="1"/>
      <c r="K3" s="1"/>
      <c r="L3" s="1"/>
    </row>
    <row r="4" spans="1:12" ht="12.75">
      <c r="A4" s="6">
        <v>45624.509957418981</v>
      </c>
      <c r="B4" s="7" t="s">
        <v>5</v>
      </c>
      <c r="C4" s="5" t="str">
        <f>LEFT(Form_Responses1[[#This Row],[問１　あなたは何年生ですか。]],3)</f>
        <v>中学校</v>
      </c>
      <c r="D4" s="7" t="s">
        <v>28</v>
      </c>
      <c r="E4" s="7" t="s">
        <v>7</v>
      </c>
      <c r="F4" s="7" t="s">
        <v>29</v>
      </c>
      <c r="G4" s="1"/>
      <c r="H4" s="1"/>
      <c r="I4" s="1"/>
      <c r="J4" s="1"/>
      <c r="K4" s="1"/>
      <c r="L4" s="1"/>
    </row>
    <row r="5" spans="1:12" ht="12.75">
      <c r="A5" s="6">
        <v>45624.510338206019</v>
      </c>
      <c r="B5" s="7" t="s">
        <v>5</v>
      </c>
      <c r="C5" s="5" t="str">
        <f>LEFT(Form_Responses1[[#This Row],[問１　あなたは何年生ですか。]],3)</f>
        <v>中学校</v>
      </c>
      <c r="D5" s="7" t="s">
        <v>30</v>
      </c>
      <c r="E5" s="7" t="s">
        <v>10</v>
      </c>
      <c r="F5" s="7" t="s">
        <v>31</v>
      </c>
      <c r="G5" s="1"/>
      <c r="H5" s="1"/>
      <c r="I5" s="1"/>
      <c r="J5" s="1"/>
      <c r="K5" s="1"/>
      <c r="L5" s="1"/>
    </row>
    <row r="6" spans="1:12" ht="12.75">
      <c r="A6" s="6">
        <v>45624.51198974537</v>
      </c>
      <c r="B6" s="7" t="s">
        <v>5</v>
      </c>
      <c r="C6" s="5" t="str">
        <f>LEFT(Form_Responses1[[#This Row],[問１　あなたは何年生ですか。]],3)</f>
        <v>中学校</v>
      </c>
      <c r="D6" s="7" t="s">
        <v>24</v>
      </c>
      <c r="E6" s="7" t="s">
        <v>7</v>
      </c>
      <c r="F6" s="7" t="s">
        <v>32</v>
      </c>
      <c r="G6" s="1"/>
      <c r="H6" s="1"/>
      <c r="I6" s="1"/>
      <c r="J6" s="1"/>
      <c r="K6" s="1"/>
      <c r="L6" s="1"/>
    </row>
    <row r="7" spans="1:12" ht="12.75">
      <c r="A7" s="6">
        <v>45624.512228460648</v>
      </c>
      <c r="B7" s="7" t="s">
        <v>5</v>
      </c>
      <c r="C7" s="5" t="str">
        <f>LEFT(Form_Responses1[[#This Row],[問１　あなたは何年生ですか。]],3)</f>
        <v>中学校</v>
      </c>
      <c r="D7" s="7" t="s">
        <v>33</v>
      </c>
      <c r="E7" s="7" t="s">
        <v>15</v>
      </c>
      <c r="F7" s="7" t="s">
        <v>34</v>
      </c>
      <c r="G7" s="1"/>
      <c r="H7" s="1"/>
      <c r="I7" s="1"/>
      <c r="J7" s="1"/>
      <c r="K7" s="1"/>
      <c r="L7" s="1"/>
    </row>
    <row r="8" spans="1:12" ht="12.75">
      <c r="A8" s="6">
        <v>45624.51306917824</v>
      </c>
      <c r="B8" s="7" t="s">
        <v>5</v>
      </c>
      <c r="C8" s="5" t="str">
        <f>LEFT(Form_Responses1[[#This Row],[問１　あなたは何年生ですか。]],3)</f>
        <v>中学校</v>
      </c>
      <c r="D8" s="7" t="s">
        <v>24</v>
      </c>
      <c r="E8" s="7" t="s">
        <v>10</v>
      </c>
      <c r="F8" s="7" t="s">
        <v>35</v>
      </c>
      <c r="G8" s="1"/>
      <c r="H8" s="1"/>
      <c r="I8" s="1"/>
      <c r="J8" s="1"/>
      <c r="K8" s="1"/>
      <c r="L8" s="1"/>
    </row>
    <row r="9" spans="1:12" ht="12.75">
      <c r="A9" s="6">
        <v>45624.513728518519</v>
      </c>
      <c r="B9" s="7" t="s">
        <v>5</v>
      </c>
      <c r="C9" s="5" t="str">
        <f>LEFT(Form_Responses1[[#This Row],[問１　あなたは何年生ですか。]],3)</f>
        <v>中学校</v>
      </c>
      <c r="D9" s="7" t="s">
        <v>19</v>
      </c>
      <c r="E9" s="7" t="s">
        <v>7</v>
      </c>
      <c r="F9" s="8"/>
      <c r="G9" s="1"/>
      <c r="H9" s="1"/>
      <c r="I9" s="1"/>
      <c r="J9" s="1"/>
      <c r="K9" s="1"/>
      <c r="L9" s="1"/>
    </row>
    <row r="10" spans="1:12" ht="12.75">
      <c r="A10" s="6">
        <v>45624.513976076385</v>
      </c>
      <c r="B10" s="7" t="s">
        <v>5</v>
      </c>
      <c r="C10" s="5" t="str">
        <f>LEFT(Form_Responses1[[#This Row],[問１　あなたは何年生ですか。]],3)</f>
        <v>中学校</v>
      </c>
      <c r="D10" s="7" t="s">
        <v>30</v>
      </c>
      <c r="E10" s="7" t="s">
        <v>10</v>
      </c>
      <c r="F10" s="7" t="s">
        <v>36</v>
      </c>
      <c r="G10" s="1"/>
      <c r="H10" s="1"/>
      <c r="I10" s="1"/>
      <c r="J10" s="1"/>
      <c r="K10" s="1"/>
      <c r="L10" s="1"/>
    </row>
    <row r="11" spans="1:12" ht="12.75">
      <c r="A11" s="6">
        <v>45624.513982673612</v>
      </c>
      <c r="B11" s="7" t="s">
        <v>5</v>
      </c>
      <c r="C11" s="5" t="str">
        <f>LEFT(Form_Responses1[[#This Row],[問１　あなたは何年生ですか。]],3)</f>
        <v>中学校</v>
      </c>
      <c r="D11" s="7" t="s">
        <v>37</v>
      </c>
      <c r="E11" s="7" t="s">
        <v>7</v>
      </c>
      <c r="F11" s="7" t="s">
        <v>38</v>
      </c>
      <c r="G11" s="1"/>
      <c r="H11" s="1"/>
      <c r="I11" s="1"/>
      <c r="J11" s="1"/>
      <c r="K11" s="1"/>
      <c r="L11" s="1"/>
    </row>
    <row r="12" spans="1:12" ht="12.75">
      <c r="A12" s="6">
        <v>45624.513986377315</v>
      </c>
      <c r="B12" s="7" t="s">
        <v>5</v>
      </c>
      <c r="C12" s="5" t="str">
        <f>LEFT(Form_Responses1[[#This Row],[問１　あなたは何年生ですか。]],3)</f>
        <v>中学校</v>
      </c>
      <c r="D12" s="7" t="s">
        <v>39</v>
      </c>
      <c r="E12" s="7" t="s">
        <v>10</v>
      </c>
      <c r="F12" s="7" t="s">
        <v>40</v>
      </c>
      <c r="G12" s="1"/>
      <c r="H12" s="1"/>
      <c r="I12" s="1"/>
      <c r="J12" s="1"/>
      <c r="K12" s="1"/>
      <c r="L12" s="1"/>
    </row>
    <row r="13" spans="1:12" ht="12.75">
      <c r="A13" s="6">
        <v>45624.513988923616</v>
      </c>
      <c r="B13" s="7" t="s">
        <v>5</v>
      </c>
      <c r="C13" s="5" t="str">
        <f>LEFT(Form_Responses1[[#This Row],[問１　あなたは何年生ですか。]],3)</f>
        <v>中学校</v>
      </c>
      <c r="D13" s="7" t="s">
        <v>6</v>
      </c>
      <c r="E13" s="7" t="s">
        <v>10</v>
      </c>
      <c r="F13" s="7" t="s">
        <v>41</v>
      </c>
      <c r="G13" s="1"/>
      <c r="H13" s="1"/>
      <c r="I13" s="1"/>
      <c r="J13" s="1"/>
      <c r="K13" s="1"/>
      <c r="L13" s="1"/>
    </row>
    <row r="14" spans="1:12" ht="12.75">
      <c r="A14" s="6">
        <v>45624.514177777775</v>
      </c>
      <c r="B14" s="7" t="s">
        <v>5</v>
      </c>
      <c r="C14" s="5" t="str">
        <f>LEFT(Form_Responses1[[#This Row],[問１　あなたは何年生ですか。]],3)</f>
        <v>中学校</v>
      </c>
      <c r="D14" s="7" t="s">
        <v>9</v>
      </c>
      <c r="E14" s="7" t="s">
        <v>10</v>
      </c>
      <c r="F14" s="7" t="s">
        <v>42</v>
      </c>
      <c r="G14" s="1"/>
      <c r="H14" s="1"/>
      <c r="I14" s="1"/>
      <c r="J14" s="1"/>
      <c r="K14" s="1"/>
      <c r="L14" s="1"/>
    </row>
    <row r="15" spans="1:12" ht="12.75">
      <c r="A15" s="6">
        <v>45624.51438743055</v>
      </c>
      <c r="B15" s="7" t="s">
        <v>5</v>
      </c>
      <c r="C15" s="5" t="str">
        <f>LEFT(Form_Responses1[[#This Row],[問１　あなたは何年生ですか。]],3)</f>
        <v>中学校</v>
      </c>
      <c r="D15" s="7" t="s">
        <v>43</v>
      </c>
      <c r="E15" s="7" t="s">
        <v>10</v>
      </c>
      <c r="F15" s="7" t="s">
        <v>44</v>
      </c>
      <c r="G15" s="1"/>
      <c r="H15" s="1"/>
      <c r="I15" s="1"/>
      <c r="J15" s="1"/>
      <c r="K15" s="1"/>
      <c r="L15" s="1"/>
    </row>
    <row r="16" spans="1:12" ht="12.75">
      <c r="A16" s="6">
        <v>45624.514387071758</v>
      </c>
      <c r="B16" s="7" t="s">
        <v>5</v>
      </c>
      <c r="C16" s="5" t="str">
        <f>LEFT(Form_Responses1[[#This Row],[問１　あなたは何年生ですか。]],3)</f>
        <v>中学校</v>
      </c>
      <c r="D16" s="7" t="s">
        <v>6</v>
      </c>
      <c r="E16" s="7" t="s">
        <v>10</v>
      </c>
      <c r="F16" s="8"/>
      <c r="G16" s="1"/>
      <c r="H16" s="1"/>
      <c r="I16" s="1"/>
      <c r="J16" s="1"/>
      <c r="K16" s="1"/>
      <c r="L16" s="1"/>
    </row>
    <row r="17" spans="1:6" ht="12.75">
      <c r="A17" s="6">
        <v>45624.514388425931</v>
      </c>
      <c r="B17" s="7" t="s">
        <v>5</v>
      </c>
      <c r="C17" s="5" t="str">
        <f>LEFT(Form_Responses1[[#This Row],[問１　あなたは何年生ですか。]],3)</f>
        <v>中学校</v>
      </c>
      <c r="D17" s="7" t="s">
        <v>6</v>
      </c>
      <c r="E17" s="7" t="s">
        <v>10</v>
      </c>
      <c r="F17" s="7" t="s">
        <v>45</v>
      </c>
    </row>
    <row r="18" spans="1:6" ht="12.75">
      <c r="A18" s="6">
        <v>45624.514430277777</v>
      </c>
      <c r="B18" s="7" t="s">
        <v>5</v>
      </c>
      <c r="C18" s="5" t="str">
        <f>LEFT(Form_Responses1[[#This Row],[問１　あなたは何年生ですか。]],3)</f>
        <v>中学校</v>
      </c>
      <c r="D18" s="7" t="s">
        <v>30</v>
      </c>
      <c r="E18" s="7" t="s">
        <v>10</v>
      </c>
      <c r="F18" s="7" t="s">
        <v>46</v>
      </c>
    </row>
    <row r="19" spans="1:6" ht="12.75">
      <c r="A19" s="6">
        <v>45624.514432094904</v>
      </c>
      <c r="B19" s="7" t="s">
        <v>5</v>
      </c>
      <c r="C19" s="5" t="str">
        <f>LEFT(Form_Responses1[[#This Row],[問１　あなたは何年生ですか。]],3)</f>
        <v>中学校</v>
      </c>
      <c r="D19" s="7" t="s">
        <v>47</v>
      </c>
      <c r="E19" s="7" t="s">
        <v>7</v>
      </c>
      <c r="F19" s="7" t="s">
        <v>47</v>
      </c>
    </row>
    <row r="20" spans="1:6" ht="12.75">
      <c r="A20" s="6">
        <v>45624.514470960647</v>
      </c>
      <c r="B20" s="7" t="s">
        <v>5</v>
      </c>
      <c r="C20" s="5" t="str">
        <f>LEFT(Form_Responses1[[#This Row],[問１　あなたは何年生ですか。]],3)</f>
        <v>中学校</v>
      </c>
      <c r="D20" s="7" t="s">
        <v>6</v>
      </c>
      <c r="E20" s="7" t="s">
        <v>10</v>
      </c>
      <c r="F20" s="7" t="s">
        <v>48</v>
      </c>
    </row>
    <row r="21" spans="1:6" ht="12.75">
      <c r="A21" s="6">
        <v>45624.514567384264</v>
      </c>
      <c r="B21" s="7" t="s">
        <v>5</v>
      </c>
      <c r="C21" s="5" t="str">
        <f>LEFT(Form_Responses1[[#This Row],[問１　あなたは何年生ですか。]],3)</f>
        <v>中学校</v>
      </c>
      <c r="D21" s="7" t="s">
        <v>19</v>
      </c>
      <c r="E21" s="7" t="s">
        <v>10</v>
      </c>
      <c r="F21" s="7" t="s">
        <v>49</v>
      </c>
    </row>
    <row r="22" spans="1:6" ht="12.75">
      <c r="A22" s="6">
        <v>45624.514630717589</v>
      </c>
      <c r="B22" s="7" t="s">
        <v>5</v>
      </c>
      <c r="C22" s="5" t="str">
        <f>LEFT(Form_Responses1[[#This Row],[問１　あなたは何年生ですか。]],3)</f>
        <v>中学校</v>
      </c>
      <c r="D22" s="7" t="s">
        <v>6</v>
      </c>
      <c r="E22" s="7" t="s">
        <v>10</v>
      </c>
      <c r="F22" s="7" t="s">
        <v>50</v>
      </c>
    </row>
    <row r="23" spans="1:6" ht="12.75">
      <c r="A23" s="6">
        <v>45624.514634837964</v>
      </c>
      <c r="B23" s="7" t="s">
        <v>5</v>
      </c>
      <c r="C23" s="5" t="str">
        <f>LEFT(Form_Responses1[[#This Row],[問１　あなたは何年生ですか。]],3)</f>
        <v>中学校</v>
      </c>
      <c r="D23" s="7" t="s">
        <v>6</v>
      </c>
      <c r="E23" s="7" t="s">
        <v>10</v>
      </c>
      <c r="F23" s="7" t="s">
        <v>51</v>
      </c>
    </row>
    <row r="24" spans="1:6" ht="12.75">
      <c r="A24" s="6">
        <v>45624.514677604166</v>
      </c>
      <c r="B24" s="7" t="s">
        <v>5</v>
      </c>
      <c r="C24" s="5" t="str">
        <f>LEFT(Form_Responses1[[#This Row],[問１　あなたは何年生ですか。]],3)</f>
        <v>中学校</v>
      </c>
      <c r="D24" s="7" t="s">
        <v>6</v>
      </c>
      <c r="E24" s="7" t="s">
        <v>10</v>
      </c>
      <c r="F24" s="8"/>
    </row>
    <row r="25" spans="1:6" ht="12.75">
      <c r="A25" s="6">
        <v>45624.514751493058</v>
      </c>
      <c r="B25" s="7" t="s">
        <v>5</v>
      </c>
      <c r="C25" s="5" t="str">
        <f>LEFT(Form_Responses1[[#This Row],[問１　あなたは何年生ですか。]],3)</f>
        <v>中学校</v>
      </c>
      <c r="D25" s="7" t="s">
        <v>30</v>
      </c>
      <c r="E25" s="7" t="s">
        <v>10</v>
      </c>
      <c r="F25" s="7" t="s">
        <v>52</v>
      </c>
    </row>
    <row r="26" spans="1:6" ht="12.75">
      <c r="A26" s="6">
        <v>45624.514764629625</v>
      </c>
      <c r="B26" s="7" t="s">
        <v>5</v>
      </c>
      <c r="C26" s="5" t="str">
        <f>LEFT(Form_Responses1[[#This Row],[問１　あなたは何年生ですか。]],3)</f>
        <v>中学校</v>
      </c>
      <c r="D26" s="7" t="s">
        <v>30</v>
      </c>
      <c r="E26" s="7" t="s">
        <v>7</v>
      </c>
      <c r="F26" s="7" t="s">
        <v>53</v>
      </c>
    </row>
    <row r="27" spans="1:6" ht="12.75">
      <c r="A27" s="6">
        <v>45624.514799444441</v>
      </c>
      <c r="B27" s="7" t="s">
        <v>5</v>
      </c>
      <c r="C27" s="5" t="str">
        <f>LEFT(Form_Responses1[[#This Row],[問１　あなたは何年生ですか。]],3)</f>
        <v>中学校</v>
      </c>
      <c r="D27" s="7" t="s">
        <v>19</v>
      </c>
      <c r="E27" s="7" t="s">
        <v>15</v>
      </c>
      <c r="F27" s="7" t="s">
        <v>54</v>
      </c>
    </row>
    <row r="28" spans="1:6" ht="12.75">
      <c r="A28" s="6">
        <v>45624.514834918984</v>
      </c>
      <c r="B28" s="7" t="s">
        <v>5</v>
      </c>
      <c r="C28" s="5" t="str">
        <f>LEFT(Form_Responses1[[#This Row],[問１　あなたは何年生ですか。]],3)</f>
        <v>中学校</v>
      </c>
      <c r="D28" s="7" t="s">
        <v>19</v>
      </c>
      <c r="E28" s="7" t="s">
        <v>10</v>
      </c>
      <c r="F28" s="8"/>
    </row>
    <row r="29" spans="1:6" ht="12.75">
      <c r="A29" s="6">
        <v>45624.514934375002</v>
      </c>
      <c r="B29" s="7" t="s">
        <v>5</v>
      </c>
      <c r="C29" s="5" t="str">
        <f>LEFT(Form_Responses1[[#This Row],[問１　あなたは何年生ですか。]],3)</f>
        <v>中学校</v>
      </c>
      <c r="D29" s="7" t="s">
        <v>30</v>
      </c>
      <c r="E29" s="7" t="s">
        <v>10</v>
      </c>
      <c r="F29" s="7" t="s">
        <v>52</v>
      </c>
    </row>
    <row r="30" spans="1:6" ht="12.75">
      <c r="A30" s="6">
        <v>45624.514941122688</v>
      </c>
      <c r="B30" s="7" t="s">
        <v>5</v>
      </c>
      <c r="C30" s="5" t="str">
        <f>LEFT(Form_Responses1[[#This Row],[問１　あなたは何年生ですか。]],3)</f>
        <v>中学校</v>
      </c>
      <c r="D30" s="7" t="s">
        <v>6</v>
      </c>
      <c r="E30" s="7" t="s">
        <v>10</v>
      </c>
      <c r="F30" s="7" t="s">
        <v>55</v>
      </c>
    </row>
    <row r="31" spans="1:6" ht="12.75">
      <c r="A31" s="6">
        <v>45624.514967951385</v>
      </c>
      <c r="B31" s="7" t="s">
        <v>5</v>
      </c>
      <c r="C31" s="5" t="str">
        <f>LEFT(Form_Responses1[[#This Row],[問１　あなたは何年生ですか。]],3)</f>
        <v>中学校</v>
      </c>
      <c r="D31" s="7" t="s">
        <v>6</v>
      </c>
      <c r="E31" s="7" t="s">
        <v>10</v>
      </c>
      <c r="F31" s="7" t="s">
        <v>56</v>
      </c>
    </row>
    <row r="32" spans="1:6" ht="12.75">
      <c r="A32" s="6">
        <v>45624.515155891204</v>
      </c>
      <c r="B32" s="7" t="s">
        <v>5</v>
      </c>
      <c r="C32" s="5" t="str">
        <f>LEFT(Form_Responses1[[#This Row],[問１　あなたは何年生ですか。]],3)</f>
        <v>中学校</v>
      </c>
      <c r="D32" s="7" t="s">
        <v>57</v>
      </c>
      <c r="E32" s="7" t="s">
        <v>10</v>
      </c>
      <c r="F32" s="7" t="s">
        <v>58</v>
      </c>
    </row>
    <row r="33" spans="1:6" ht="12.75">
      <c r="A33" s="6">
        <v>45624.515177013891</v>
      </c>
      <c r="B33" s="7" t="s">
        <v>5</v>
      </c>
      <c r="C33" s="5" t="str">
        <f>LEFT(Form_Responses1[[#This Row],[問１　あなたは何年生ですか。]],3)</f>
        <v>中学校</v>
      </c>
      <c r="D33" s="7" t="s">
        <v>59</v>
      </c>
      <c r="E33" s="7" t="s">
        <v>10</v>
      </c>
      <c r="F33" s="7" t="s">
        <v>60</v>
      </c>
    </row>
    <row r="34" spans="1:6" ht="12.75">
      <c r="A34" s="6">
        <v>45624.51520361111</v>
      </c>
      <c r="B34" s="7" t="s">
        <v>5</v>
      </c>
      <c r="C34" s="5" t="str">
        <f>LEFT(Form_Responses1[[#This Row],[問１　あなたは何年生ですか。]],3)</f>
        <v>中学校</v>
      </c>
      <c r="D34" s="7" t="s">
        <v>24</v>
      </c>
      <c r="E34" s="7" t="s">
        <v>10</v>
      </c>
      <c r="F34" s="7" t="s">
        <v>61</v>
      </c>
    </row>
    <row r="35" spans="1:6" ht="12.75">
      <c r="A35" s="6">
        <v>45624.515408263891</v>
      </c>
      <c r="B35" s="7" t="s">
        <v>5</v>
      </c>
      <c r="C35" s="5" t="str">
        <f>LEFT(Form_Responses1[[#This Row],[問１　あなたは何年生ですか。]],3)</f>
        <v>中学校</v>
      </c>
      <c r="D35" s="7" t="s">
        <v>6</v>
      </c>
      <c r="E35" s="7" t="s">
        <v>10</v>
      </c>
      <c r="F35" s="7" t="s">
        <v>62</v>
      </c>
    </row>
    <row r="36" spans="1:6" ht="12.75">
      <c r="A36" s="6">
        <v>45624.515462152776</v>
      </c>
      <c r="B36" s="7" t="s">
        <v>5</v>
      </c>
      <c r="C36" s="5" t="str">
        <f>LEFT(Form_Responses1[[#This Row],[問１　あなたは何年生ですか。]],3)</f>
        <v>中学校</v>
      </c>
      <c r="D36" s="7" t="s">
        <v>6</v>
      </c>
      <c r="E36" s="7" t="s">
        <v>10</v>
      </c>
      <c r="F36" s="7" t="s">
        <v>63</v>
      </c>
    </row>
    <row r="37" spans="1:6" ht="12.75">
      <c r="A37" s="6">
        <v>45624.515477893518</v>
      </c>
      <c r="B37" s="7" t="s">
        <v>5</v>
      </c>
      <c r="C37" s="5" t="str">
        <f>LEFT(Form_Responses1[[#This Row],[問１　あなたは何年生ですか。]],3)</f>
        <v>中学校</v>
      </c>
      <c r="D37" s="7" t="s">
        <v>64</v>
      </c>
      <c r="E37" s="7" t="s">
        <v>10</v>
      </c>
      <c r="F37" s="7" t="s">
        <v>65</v>
      </c>
    </row>
    <row r="38" spans="1:6" ht="12.75">
      <c r="A38" s="6">
        <v>45624.515539571759</v>
      </c>
      <c r="B38" s="7" t="s">
        <v>5</v>
      </c>
      <c r="C38" s="5" t="str">
        <f>LEFT(Form_Responses1[[#This Row],[問１　あなたは何年生ですか。]],3)</f>
        <v>中学校</v>
      </c>
      <c r="D38" s="7" t="s">
        <v>66</v>
      </c>
      <c r="E38" s="7" t="s">
        <v>67</v>
      </c>
      <c r="F38" s="7" t="s">
        <v>68</v>
      </c>
    </row>
    <row r="39" spans="1:6" ht="12.75">
      <c r="A39" s="6">
        <v>45624.515752719904</v>
      </c>
      <c r="B39" s="7" t="s">
        <v>5</v>
      </c>
      <c r="C39" s="5" t="str">
        <f>LEFT(Form_Responses1[[#This Row],[問１　あなたは何年生ですか。]],3)</f>
        <v>中学校</v>
      </c>
      <c r="D39" s="7" t="s">
        <v>6</v>
      </c>
      <c r="E39" s="7" t="s">
        <v>10</v>
      </c>
      <c r="F39" s="7" t="s">
        <v>69</v>
      </c>
    </row>
    <row r="40" spans="1:6" ht="12.75">
      <c r="A40" s="6">
        <v>45624.515832604171</v>
      </c>
      <c r="B40" s="7" t="s">
        <v>5</v>
      </c>
      <c r="C40" s="5" t="str">
        <f>LEFT(Form_Responses1[[#This Row],[問１　あなたは何年生ですか。]],3)</f>
        <v>中学校</v>
      </c>
      <c r="D40" s="7" t="s">
        <v>6</v>
      </c>
      <c r="E40" s="7" t="s">
        <v>7</v>
      </c>
      <c r="F40" s="7" t="s">
        <v>70</v>
      </c>
    </row>
    <row r="41" spans="1:6" ht="12.75">
      <c r="A41" s="6">
        <v>45624.516125254631</v>
      </c>
      <c r="B41" s="7" t="s">
        <v>5</v>
      </c>
      <c r="C41" s="5" t="str">
        <f>LEFT(Form_Responses1[[#This Row],[問１　あなたは何年生ですか。]],3)</f>
        <v>中学校</v>
      </c>
      <c r="D41" s="7" t="s">
        <v>17</v>
      </c>
      <c r="E41" s="7" t="s">
        <v>7</v>
      </c>
      <c r="F41" s="7" t="s">
        <v>71</v>
      </c>
    </row>
    <row r="42" spans="1:6" ht="12.75">
      <c r="A42" s="6">
        <v>45624.516188958332</v>
      </c>
      <c r="B42" s="7" t="s">
        <v>5</v>
      </c>
      <c r="C42" s="5" t="str">
        <f>LEFT(Form_Responses1[[#This Row],[問１　あなたは何年生ですか。]],3)</f>
        <v>中学校</v>
      </c>
      <c r="D42" s="7" t="s">
        <v>6</v>
      </c>
      <c r="E42" s="7" t="s">
        <v>10</v>
      </c>
      <c r="F42" s="7" t="s">
        <v>72</v>
      </c>
    </row>
    <row r="43" spans="1:6" ht="12.75">
      <c r="A43" s="6">
        <v>45624.516351226848</v>
      </c>
      <c r="B43" s="7" t="s">
        <v>5</v>
      </c>
      <c r="C43" s="5" t="str">
        <f>LEFT(Form_Responses1[[#This Row],[問１　あなたは何年生ですか。]],3)</f>
        <v>中学校</v>
      </c>
      <c r="D43" s="7" t="s">
        <v>6</v>
      </c>
      <c r="E43" s="7" t="s">
        <v>7</v>
      </c>
      <c r="F43" s="7" t="s">
        <v>52</v>
      </c>
    </row>
    <row r="44" spans="1:6" ht="12.75">
      <c r="A44" s="6">
        <v>45624.516364861112</v>
      </c>
      <c r="B44" s="7" t="s">
        <v>5</v>
      </c>
      <c r="C44" s="5" t="str">
        <f>LEFT(Form_Responses1[[#This Row],[問１　あなたは何年生ですか。]],3)</f>
        <v>中学校</v>
      </c>
      <c r="D44" s="7" t="s">
        <v>19</v>
      </c>
      <c r="E44" s="7" t="s">
        <v>10</v>
      </c>
      <c r="F44" s="7" t="s">
        <v>73</v>
      </c>
    </row>
    <row r="45" spans="1:6" ht="12.75">
      <c r="A45" s="6">
        <v>45624.516365671298</v>
      </c>
      <c r="B45" s="7" t="s">
        <v>5</v>
      </c>
      <c r="C45" s="5" t="str">
        <f>LEFT(Form_Responses1[[#This Row],[問１　あなたは何年生ですか。]],3)</f>
        <v>中学校</v>
      </c>
      <c r="D45" s="7" t="s">
        <v>6</v>
      </c>
      <c r="E45" s="7" t="s">
        <v>7</v>
      </c>
      <c r="F45" s="7" t="s">
        <v>74</v>
      </c>
    </row>
    <row r="46" spans="1:6" ht="12.75">
      <c r="A46" s="6">
        <v>45624.516393495374</v>
      </c>
      <c r="B46" s="7" t="s">
        <v>5</v>
      </c>
      <c r="C46" s="5" t="str">
        <f>LEFT(Form_Responses1[[#This Row],[問１　あなたは何年生ですか。]],3)</f>
        <v>中学校</v>
      </c>
      <c r="D46" s="7" t="s">
        <v>33</v>
      </c>
      <c r="E46" s="7" t="s">
        <v>15</v>
      </c>
      <c r="F46" s="7" t="s">
        <v>75</v>
      </c>
    </row>
    <row r="47" spans="1:6" ht="12.75">
      <c r="A47" s="6">
        <v>45624.516452083335</v>
      </c>
      <c r="B47" s="7" t="s">
        <v>5</v>
      </c>
      <c r="C47" s="5" t="str">
        <f>LEFT(Form_Responses1[[#This Row],[問１　あなたは何年生ですか。]],3)</f>
        <v>中学校</v>
      </c>
      <c r="D47" s="7" t="s">
        <v>6</v>
      </c>
      <c r="E47" s="7" t="s">
        <v>10</v>
      </c>
      <c r="F47" s="7" t="s">
        <v>76</v>
      </c>
    </row>
    <row r="48" spans="1:6" ht="12.75">
      <c r="A48" s="6">
        <v>45624.516685451388</v>
      </c>
      <c r="B48" s="7" t="s">
        <v>5</v>
      </c>
      <c r="C48" s="5" t="str">
        <f>LEFT(Form_Responses1[[#This Row],[問１　あなたは何年生ですか。]],3)</f>
        <v>中学校</v>
      </c>
      <c r="D48" s="7" t="s">
        <v>77</v>
      </c>
      <c r="E48" s="7" t="s">
        <v>10</v>
      </c>
      <c r="F48" s="7" t="s">
        <v>78</v>
      </c>
    </row>
    <row r="49" spans="1:6" ht="12.75">
      <c r="A49" s="6">
        <v>45624.516809409717</v>
      </c>
      <c r="B49" s="7" t="s">
        <v>5</v>
      </c>
      <c r="C49" s="5" t="str">
        <f>LEFT(Form_Responses1[[#This Row],[問１　あなたは何年生ですか。]],3)</f>
        <v>中学校</v>
      </c>
      <c r="D49" s="7" t="s">
        <v>6</v>
      </c>
      <c r="E49" s="7" t="s">
        <v>10</v>
      </c>
      <c r="F49" s="7" t="s">
        <v>79</v>
      </c>
    </row>
    <row r="50" spans="1:6" ht="12.75">
      <c r="A50" s="6">
        <v>45624.518073680556</v>
      </c>
      <c r="B50" s="7" t="s">
        <v>5</v>
      </c>
      <c r="C50" s="5" t="str">
        <f>LEFT(Form_Responses1[[#This Row],[問１　あなたは何年生ですか。]],3)</f>
        <v>中学校</v>
      </c>
      <c r="D50" s="7" t="s">
        <v>6</v>
      </c>
      <c r="E50" s="7" t="s">
        <v>10</v>
      </c>
      <c r="F50" s="7" t="s">
        <v>80</v>
      </c>
    </row>
    <row r="51" spans="1:6" ht="12.75">
      <c r="A51" s="6">
        <v>45624.518154803241</v>
      </c>
      <c r="B51" s="7" t="s">
        <v>5</v>
      </c>
      <c r="C51" s="5" t="str">
        <f>LEFT(Form_Responses1[[#This Row],[問１　あなたは何年生ですか。]],3)</f>
        <v>中学校</v>
      </c>
      <c r="D51" s="7" t="s">
        <v>19</v>
      </c>
      <c r="E51" s="7" t="s">
        <v>10</v>
      </c>
      <c r="F51" s="8"/>
    </row>
    <row r="52" spans="1:6" ht="12.75">
      <c r="A52" s="6">
        <v>45624.518161134256</v>
      </c>
      <c r="B52" s="7" t="s">
        <v>5</v>
      </c>
      <c r="C52" s="5" t="str">
        <f>LEFT(Form_Responses1[[#This Row],[問１　あなたは何年生ですか。]],3)</f>
        <v>中学校</v>
      </c>
      <c r="D52" s="7" t="s">
        <v>6</v>
      </c>
      <c r="E52" s="7" t="s">
        <v>10</v>
      </c>
      <c r="F52" s="7" t="s">
        <v>81</v>
      </c>
    </row>
    <row r="53" spans="1:6" ht="12.75">
      <c r="A53" s="6">
        <v>45624.533296562498</v>
      </c>
      <c r="B53" s="7" t="s">
        <v>5</v>
      </c>
      <c r="C53" s="5" t="str">
        <f>LEFT(Form_Responses1[[#This Row],[問１　あなたは何年生ですか。]],3)</f>
        <v>中学校</v>
      </c>
      <c r="D53" s="7" t="s">
        <v>82</v>
      </c>
      <c r="E53" s="7" t="s">
        <v>10</v>
      </c>
      <c r="F53" s="7" t="s">
        <v>52</v>
      </c>
    </row>
    <row r="54" spans="1:6" ht="12.75">
      <c r="A54" s="6">
        <v>45624.644743750003</v>
      </c>
      <c r="B54" s="7" t="s">
        <v>5</v>
      </c>
      <c r="C54" s="5" t="str">
        <f>LEFT(Form_Responses1[[#This Row],[問１　あなたは何年生ですか。]],3)</f>
        <v>中学校</v>
      </c>
      <c r="D54" s="7" t="s">
        <v>83</v>
      </c>
      <c r="E54" s="7" t="s">
        <v>7</v>
      </c>
      <c r="F54" s="7" t="s">
        <v>84</v>
      </c>
    </row>
    <row r="55" spans="1:6" ht="12.75">
      <c r="A55" s="6">
        <v>45624.653706041667</v>
      </c>
      <c r="B55" s="7" t="s">
        <v>18</v>
      </c>
      <c r="C55" s="5" t="str">
        <f>LEFT(Form_Responses1[[#This Row],[問１　あなたは何年生ですか。]],3)</f>
        <v>中学校</v>
      </c>
      <c r="D55" s="7" t="s">
        <v>6</v>
      </c>
      <c r="E55" s="7" t="s">
        <v>10</v>
      </c>
      <c r="F55" s="7" t="s">
        <v>52</v>
      </c>
    </row>
    <row r="56" spans="1:6" ht="12.75">
      <c r="A56" s="6">
        <v>45624.65376685185</v>
      </c>
      <c r="B56" s="7" t="s">
        <v>18</v>
      </c>
      <c r="C56" s="5" t="str">
        <f>LEFT(Form_Responses1[[#This Row],[問１　あなたは何年生ですか。]],3)</f>
        <v>中学校</v>
      </c>
      <c r="D56" s="7" t="s">
        <v>6</v>
      </c>
      <c r="E56" s="7" t="s">
        <v>10</v>
      </c>
      <c r="F56" s="7" t="s">
        <v>85</v>
      </c>
    </row>
    <row r="57" spans="1:6" ht="12.75">
      <c r="A57" s="6">
        <v>45624.653771608791</v>
      </c>
      <c r="B57" s="7" t="s">
        <v>18</v>
      </c>
      <c r="C57" s="5" t="str">
        <f>LEFT(Form_Responses1[[#This Row],[問１　あなたは何年生ですか。]],3)</f>
        <v>中学校</v>
      </c>
      <c r="D57" s="7" t="s">
        <v>6</v>
      </c>
      <c r="E57" s="7" t="s">
        <v>7</v>
      </c>
      <c r="F57" s="7" t="s">
        <v>52</v>
      </c>
    </row>
    <row r="58" spans="1:6" ht="12.75">
      <c r="A58" s="6">
        <v>45624.653772199075</v>
      </c>
      <c r="B58" s="7" t="s">
        <v>18</v>
      </c>
      <c r="C58" s="5" t="str">
        <f>LEFT(Form_Responses1[[#This Row],[問１　あなたは何年生ですか。]],3)</f>
        <v>中学校</v>
      </c>
      <c r="D58" s="7" t="s">
        <v>86</v>
      </c>
      <c r="E58" s="7" t="s">
        <v>10</v>
      </c>
      <c r="F58" s="7" t="s">
        <v>87</v>
      </c>
    </row>
    <row r="59" spans="1:6" ht="12.75">
      <c r="A59" s="6">
        <v>45624.653774826387</v>
      </c>
      <c r="B59" s="7" t="s">
        <v>18</v>
      </c>
      <c r="C59" s="5" t="str">
        <f>LEFT(Form_Responses1[[#This Row],[問１　あなたは何年生ですか。]],3)</f>
        <v>中学校</v>
      </c>
      <c r="D59" s="7" t="s">
        <v>19</v>
      </c>
      <c r="E59" s="7" t="s">
        <v>10</v>
      </c>
      <c r="F59" s="7" t="s">
        <v>88</v>
      </c>
    </row>
    <row r="60" spans="1:6" ht="12.75">
      <c r="A60" s="6">
        <v>45624.653911319445</v>
      </c>
      <c r="B60" s="7" t="s">
        <v>18</v>
      </c>
      <c r="C60" s="5" t="str">
        <f>LEFT(Form_Responses1[[#This Row],[問１　あなたは何年生ですか。]],3)</f>
        <v>中学校</v>
      </c>
      <c r="D60" s="7" t="s">
        <v>6</v>
      </c>
      <c r="E60" s="7" t="s">
        <v>7</v>
      </c>
      <c r="F60" s="8"/>
    </row>
    <row r="61" spans="1:6" ht="12.75">
      <c r="A61" s="6">
        <v>45624.65396924768</v>
      </c>
      <c r="B61" s="7" t="s">
        <v>16</v>
      </c>
      <c r="C61" s="5" t="str">
        <f>LEFT(Form_Responses1[[#This Row],[問１　あなたは何年生ですか。]],3)</f>
        <v>中学校</v>
      </c>
      <c r="D61" s="7" t="s">
        <v>6</v>
      </c>
      <c r="E61" s="7" t="s">
        <v>10</v>
      </c>
      <c r="F61" s="7" t="s">
        <v>89</v>
      </c>
    </row>
    <row r="62" spans="1:6" ht="12.75">
      <c r="A62" s="6">
        <v>45624.653979016206</v>
      </c>
      <c r="B62" s="7" t="s">
        <v>18</v>
      </c>
      <c r="C62" s="5" t="str">
        <f>LEFT(Form_Responses1[[#This Row],[問１　あなたは何年生ですか。]],3)</f>
        <v>中学校</v>
      </c>
      <c r="D62" s="7" t="s">
        <v>9</v>
      </c>
      <c r="E62" s="7" t="s">
        <v>10</v>
      </c>
      <c r="F62" s="7" t="s">
        <v>90</v>
      </c>
    </row>
    <row r="63" spans="1:6" ht="12.75">
      <c r="A63" s="6">
        <v>45624.653981875003</v>
      </c>
      <c r="B63" s="7" t="s">
        <v>18</v>
      </c>
      <c r="C63" s="5" t="str">
        <f>LEFT(Form_Responses1[[#This Row],[問１　あなたは何年生ですか。]],3)</f>
        <v>中学校</v>
      </c>
      <c r="D63" s="7" t="s">
        <v>91</v>
      </c>
      <c r="E63" s="7" t="s">
        <v>10</v>
      </c>
      <c r="F63" s="7" t="s">
        <v>34</v>
      </c>
    </row>
    <row r="64" spans="1:6" ht="12.75">
      <c r="A64" s="6">
        <v>45624.654041111113</v>
      </c>
      <c r="B64" s="7" t="s">
        <v>18</v>
      </c>
      <c r="C64" s="5" t="str">
        <f>LEFT(Form_Responses1[[#This Row],[問１　あなたは何年生ですか。]],3)</f>
        <v>中学校</v>
      </c>
      <c r="D64" s="7" t="s">
        <v>19</v>
      </c>
      <c r="E64" s="7" t="s">
        <v>7</v>
      </c>
      <c r="F64" s="8"/>
    </row>
    <row r="65" spans="1:6" ht="12.75">
      <c r="A65" s="6">
        <v>45624.654150497685</v>
      </c>
      <c r="B65" s="7" t="s">
        <v>18</v>
      </c>
      <c r="C65" s="5" t="str">
        <f>LEFT(Form_Responses1[[#This Row],[問１　あなたは何年生ですか。]],3)</f>
        <v>中学校</v>
      </c>
      <c r="D65" s="7" t="s">
        <v>24</v>
      </c>
      <c r="E65" s="7" t="s">
        <v>7</v>
      </c>
      <c r="F65" s="8"/>
    </row>
    <row r="66" spans="1:6" ht="12.75">
      <c r="A66" s="6">
        <v>45624.654216863426</v>
      </c>
      <c r="B66" s="7" t="s">
        <v>18</v>
      </c>
      <c r="C66" s="5" t="str">
        <f>LEFT(Form_Responses1[[#This Row],[問１　あなたは何年生ですか。]],3)</f>
        <v>中学校</v>
      </c>
      <c r="D66" s="7" t="s">
        <v>33</v>
      </c>
      <c r="E66" s="7" t="s">
        <v>7</v>
      </c>
      <c r="F66" s="7" t="s">
        <v>92</v>
      </c>
    </row>
    <row r="67" spans="1:6" ht="12.75">
      <c r="A67" s="6">
        <v>45624.654220486111</v>
      </c>
      <c r="B67" s="7" t="s">
        <v>18</v>
      </c>
      <c r="C67" s="5" t="str">
        <f>LEFT(Form_Responses1[[#This Row],[問１　あなたは何年生ですか。]],3)</f>
        <v>中学校</v>
      </c>
      <c r="D67" s="7" t="s">
        <v>6</v>
      </c>
      <c r="E67" s="7" t="s">
        <v>10</v>
      </c>
      <c r="F67" s="7" t="s">
        <v>93</v>
      </c>
    </row>
    <row r="68" spans="1:6" ht="12.75">
      <c r="A68" s="6">
        <v>45624.65422679398</v>
      </c>
      <c r="B68" s="7" t="s">
        <v>18</v>
      </c>
      <c r="C68" s="5" t="str">
        <f>LEFT(Form_Responses1[[#This Row],[問１　あなたは何年生ですか。]],3)</f>
        <v>中学校</v>
      </c>
      <c r="D68" s="7" t="s">
        <v>19</v>
      </c>
      <c r="E68" s="7" t="s">
        <v>10</v>
      </c>
      <c r="F68" s="7" t="s">
        <v>94</v>
      </c>
    </row>
    <row r="69" spans="1:6" ht="12.75">
      <c r="A69" s="6">
        <v>45624.654267858801</v>
      </c>
      <c r="B69" s="7" t="s">
        <v>18</v>
      </c>
      <c r="C69" s="5" t="str">
        <f>LEFT(Form_Responses1[[#This Row],[問１　あなたは何年生ですか。]],3)</f>
        <v>中学校</v>
      </c>
      <c r="D69" s="7" t="s">
        <v>19</v>
      </c>
      <c r="E69" s="7" t="s">
        <v>10</v>
      </c>
      <c r="F69" s="8"/>
    </row>
    <row r="70" spans="1:6" ht="12.75">
      <c r="A70" s="6">
        <v>45624.654284918986</v>
      </c>
      <c r="B70" s="7" t="s">
        <v>18</v>
      </c>
      <c r="C70" s="5" t="str">
        <f>LEFT(Form_Responses1[[#This Row],[問１　あなたは何年生ですか。]],3)</f>
        <v>中学校</v>
      </c>
      <c r="D70" s="7" t="s">
        <v>30</v>
      </c>
      <c r="E70" s="7" t="s">
        <v>10</v>
      </c>
      <c r="F70" s="7" t="s">
        <v>95</v>
      </c>
    </row>
    <row r="71" spans="1:6" ht="12.75">
      <c r="A71" s="6">
        <v>45624.654316168977</v>
      </c>
      <c r="B71" s="7" t="s">
        <v>18</v>
      </c>
      <c r="C71" s="5" t="str">
        <f>LEFT(Form_Responses1[[#This Row],[問１　あなたは何年生ですか。]],3)</f>
        <v>中学校</v>
      </c>
      <c r="D71" s="7" t="s">
        <v>19</v>
      </c>
      <c r="E71" s="7" t="s">
        <v>7</v>
      </c>
      <c r="F71" s="7" t="s">
        <v>96</v>
      </c>
    </row>
    <row r="72" spans="1:6" ht="12.75">
      <c r="A72" s="6">
        <v>45624.654336134263</v>
      </c>
      <c r="B72" s="7" t="s">
        <v>18</v>
      </c>
      <c r="C72" s="5" t="str">
        <f>LEFT(Form_Responses1[[#This Row],[問１　あなたは何年生ですか。]],3)</f>
        <v>中学校</v>
      </c>
      <c r="D72" s="7" t="s">
        <v>97</v>
      </c>
      <c r="E72" s="7" t="s">
        <v>10</v>
      </c>
      <c r="F72" s="7" t="s">
        <v>98</v>
      </c>
    </row>
    <row r="73" spans="1:6" ht="12.75">
      <c r="A73" s="6">
        <v>45624.654345509261</v>
      </c>
      <c r="B73" s="7" t="s">
        <v>18</v>
      </c>
      <c r="C73" s="5" t="str">
        <f>LEFT(Form_Responses1[[#This Row],[問１　あなたは何年生ですか。]],3)</f>
        <v>中学校</v>
      </c>
      <c r="D73" s="7" t="s">
        <v>19</v>
      </c>
      <c r="E73" s="7" t="s">
        <v>10</v>
      </c>
      <c r="F73" s="7" t="s">
        <v>99</v>
      </c>
    </row>
    <row r="74" spans="1:6" ht="12.75">
      <c r="A74" s="6">
        <v>45624.654380219908</v>
      </c>
      <c r="B74" s="7" t="s">
        <v>18</v>
      </c>
      <c r="C74" s="5" t="str">
        <f>LEFT(Form_Responses1[[#This Row],[問１　あなたは何年生ですか。]],3)</f>
        <v>中学校</v>
      </c>
      <c r="D74" s="7" t="s">
        <v>100</v>
      </c>
      <c r="E74" s="7" t="s">
        <v>10</v>
      </c>
      <c r="F74" s="7" t="s">
        <v>101</v>
      </c>
    </row>
    <row r="75" spans="1:6" ht="12.75">
      <c r="A75" s="6">
        <v>45624.65446957176</v>
      </c>
      <c r="B75" s="7" t="s">
        <v>18</v>
      </c>
      <c r="C75" s="5" t="str">
        <f>LEFT(Form_Responses1[[#This Row],[問１　あなたは何年生ですか。]],3)</f>
        <v>中学校</v>
      </c>
      <c r="D75" s="7" t="s">
        <v>6</v>
      </c>
      <c r="E75" s="7" t="s">
        <v>10</v>
      </c>
      <c r="F75" s="7" t="s">
        <v>102</v>
      </c>
    </row>
    <row r="76" spans="1:6" ht="12.75">
      <c r="A76" s="6">
        <v>45624.654475127318</v>
      </c>
      <c r="B76" s="7" t="s">
        <v>18</v>
      </c>
      <c r="C76" s="5" t="str">
        <f>LEFT(Form_Responses1[[#This Row],[問１　あなたは何年生ですか。]],3)</f>
        <v>中学校</v>
      </c>
      <c r="D76" s="7" t="s">
        <v>6</v>
      </c>
      <c r="E76" s="7" t="s">
        <v>7</v>
      </c>
      <c r="F76" s="7" t="s">
        <v>103</v>
      </c>
    </row>
    <row r="77" spans="1:6" ht="12.75">
      <c r="A77" s="6">
        <v>45624.654480763886</v>
      </c>
      <c r="B77" s="7" t="s">
        <v>18</v>
      </c>
      <c r="C77" s="5" t="str">
        <f>LEFT(Form_Responses1[[#This Row],[問１　あなたは何年生ですか。]],3)</f>
        <v>中学校</v>
      </c>
      <c r="D77" s="7" t="s">
        <v>6</v>
      </c>
      <c r="E77" s="7" t="s">
        <v>10</v>
      </c>
      <c r="F77" s="7" t="s">
        <v>104</v>
      </c>
    </row>
    <row r="78" spans="1:6" ht="12.75">
      <c r="A78" s="6">
        <v>45624.654579803246</v>
      </c>
      <c r="B78" s="7" t="s">
        <v>18</v>
      </c>
      <c r="C78" s="5" t="str">
        <f>LEFT(Form_Responses1[[#This Row],[問１　あなたは何年生ですか。]],3)</f>
        <v>中学校</v>
      </c>
      <c r="D78" s="7" t="s">
        <v>33</v>
      </c>
      <c r="E78" s="7" t="s">
        <v>7</v>
      </c>
      <c r="F78" s="7" t="s">
        <v>105</v>
      </c>
    </row>
    <row r="79" spans="1:6" ht="12.75">
      <c r="A79" s="6">
        <v>45624.654581782408</v>
      </c>
      <c r="B79" s="7" t="s">
        <v>18</v>
      </c>
      <c r="C79" s="5" t="str">
        <f>LEFT(Form_Responses1[[#This Row],[問１　あなたは何年生ですか。]],3)</f>
        <v>中学校</v>
      </c>
      <c r="D79" s="7" t="s">
        <v>6</v>
      </c>
      <c r="E79" s="7" t="s">
        <v>7</v>
      </c>
      <c r="F79" s="8"/>
    </row>
    <row r="80" spans="1:6" ht="12.75">
      <c r="A80" s="6">
        <v>45624.6546012037</v>
      </c>
      <c r="B80" s="7" t="s">
        <v>16</v>
      </c>
      <c r="C80" s="5" t="str">
        <f>LEFT(Form_Responses1[[#This Row],[問１　あなたは何年生ですか。]],3)</f>
        <v>中学校</v>
      </c>
      <c r="D80" s="7" t="s">
        <v>6</v>
      </c>
      <c r="E80" s="7" t="s">
        <v>10</v>
      </c>
      <c r="F80" s="7" t="s">
        <v>106</v>
      </c>
    </row>
    <row r="81" spans="1:6" ht="12.75">
      <c r="A81" s="6">
        <v>45624.654609664351</v>
      </c>
      <c r="B81" s="7" t="s">
        <v>18</v>
      </c>
      <c r="C81" s="5" t="str">
        <f>LEFT(Form_Responses1[[#This Row],[問１　あなたは何年生ですか。]],3)</f>
        <v>中学校</v>
      </c>
      <c r="D81" s="7" t="s">
        <v>6</v>
      </c>
      <c r="E81" s="7" t="s">
        <v>10</v>
      </c>
      <c r="F81" s="7" t="s">
        <v>107</v>
      </c>
    </row>
    <row r="82" spans="1:6" ht="12.75">
      <c r="A82" s="6">
        <v>45624.654609710647</v>
      </c>
      <c r="B82" s="7" t="s">
        <v>18</v>
      </c>
      <c r="C82" s="5" t="str">
        <f>LEFT(Form_Responses1[[#This Row],[問１　あなたは何年生ですか。]],3)</f>
        <v>中学校</v>
      </c>
      <c r="D82" s="7" t="s">
        <v>6</v>
      </c>
      <c r="E82" s="7" t="s">
        <v>10</v>
      </c>
      <c r="F82" s="7" t="s">
        <v>108</v>
      </c>
    </row>
    <row r="83" spans="1:6" ht="12.75">
      <c r="A83" s="6">
        <v>45624.654634375001</v>
      </c>
      <c r="B83" s="7" t="s">
        <v>18</v>
      </c>
      <c r="C83" s="5" t="str">
        <f>LEFT(Form_Responses1[[#This Row],[問１　あなたは何年生ですか。]],3)</f>
        <v>中学校</v>
      </c>
      <c r="D83" s="7" t="s">
        <v>6</v>
      </c>
      <c r="E83" s="7" t="s">
        <v>10</v>
      </c>
      <c r="F83" s="7" t="s">
        <v>109</v>
      </c>
    </row>
    <row r="84" spans="1:6" ht="12.75">
      <c r="A84" s="6">
        <v>45624.65462695602</v>
      </c>
      <c r="B84" s="7" t="s">
        <v>18</v>
      </c>
      <c r="C84" s="5" t="str">
        <f>LEFT(Form_Responses1[[#This Row],[問１　あなたは何年生ですか。]],3)</f>
        <v>中学校</v>
      </c>
      <c r="D84" s="7" t="s">
        <v>24</v>
      </c>
      <c r="E84" s="7" t="s">
        <v>10</v>
      </c>
      <c r="F84" s="7" t="s">
        <v>110</v>
      </c>
    </row>
    <row r="85" spans="1:6" ht="12.75">
      <c r="A85" s="6">
        <v>45624.65465005787</v>
      </c>
      <c r="B85" s="7" t="s">
        <v>18</v>
      </c>
      <c r="C85" s="5" t="str">
        <f>LEFT(Form_Responses1[[#This Row],[問１　あなたは何年生ですか。]],3)</f>
        <v>中学校</v>
      </c>
      <c r="D85" s="7" t="s">
        <v>6</v>
      </c>
      <c r="E85" s="7" t="s">
        <v>10</v>
      </c>
      <c r="F85" s="7" t="s">
        <v>111</v>
      </c>
    </row>
    <row r="86" spans="1:6" ht="12.75">
      <c r="A86" s="6">
        <v>45624.65466133102</v>
      </c>
      <c r="B86" s="7" t="s">
        <v>18</v>
      </c>
      <c r="C86" s="5" t="str">
        <f>LEFT(Form_Responses1[[#This Row],[問１　あなたは何年生ですか。]],3)</f>
        <v>中学校</v>
      </c>
      <c r="D86" s="7" t="s">
        <v>6</v>
      </c>
      <c r="E86" s="7" t="s">
        <v>7</v>
      </c>
      <c r="F86" s="7" t="s">
        <v>112</v>
      </c>
    </row>
    <row r="87" spans="1:6" ht="12.75">
      <c r="A87" s="6">
        <v>45624.654668020834</v>
      </c>
      <c r="B87" s="7" t="s">
        <v>16</v>
      </c>
      <c r="C87" s="5" t="str">
        <f>LEFT(Form_Responses1[[#This Row],[問１　あなたは何年生ですか。]],3)</f>
        <v>中学校</v>
      </c>
      <c r="D87" s="7" t="s">
        <v>6</v>
      </c>
      <c r="E87" s="7" t="s">
        <v>10</v>
      </c>
      <c r="F87" s="7" t="s">
        <v>113</v>
      </c>
    </row>
    <row r="88" spans="1:6" ht="12.75">
      <c r="A88" s="6">
        <v>45624.654674004632</v>
      </c>
      <c r="B88" s="7" t="s">
        <v>18</v>
      </c>
      <c r="C88" s="5" t="str">
        <f>LEFT(Form_Responses1[[#This Row],[問１　あなたは何年生ですか。]],3)</f>
        <v>中学校</v>
      </c>
      <c r="D88" s="7" t="s">
        <v>6</v>
      </c>
      <c r="E88" s="7" t="s">
        <v>7</v>
      </c>
      <c r="F88" s="7" t="s">
        <v>114</v>
      </c>
    </row>
    <row r="89" spans="1:6" ht="12.75">
      <c r="A89" s="6">
        <v>45624.654675949074</v>
      </c>
      <c r="B89" s="7" t="s">
        <v>18</v>
      </c>
      <c r="C89" s="5" t="str">
        <f>LEFT(Form_Responses1[[#This Row],[問１　あなたは何年生ですか。]],3)</f>
        <v>中学校</v>
      </c>
      <c r="D89" s="7" t="s">
        <v>6</v>
      </c>
      <c r="E89" s="7" t="s">
        <v>10</v>
      </c>
      <c r="F89" s="7" t="s">
        <v>115</v>
      </c>
    </row>
    <row r="90" spans="1:6" ht="12.75">
      <c r="A90" s="6">
        <v>45624.654680046297</v>
      </c>
      <c r="B90" s="7" t="s">
        <v>18</v>
      </c>
      <c r="C90" s="5" t="str">
        <f>LEFT(Form_Responses1[[#This Row],[問１　あなたは何年生ですか。]],3)</f>
        <v>中学校</v>
      </c>
      <c r="D90" s="7" t="s">
        <v>116</v>
      </c>
      <c r="E90" s="7" t="s">
        <v>7</v>
      </c>
      <c r="F90" s="7" t="s">
        <v>112</v>
      </c>
    </row>
    <row r="91" spans="1:6" ht="12.75">
      <c r="A91" s="6">
        <v>45624.654738425925</v>
      </c>
      <c r="B91" s="7" t="s">
        <v>18</v>
      </c>
      <c r="C91" s="5" t="str">
        <f>LEFT(Form_Responses1[[#This Row],[問１　あなたは何年生ですか。]],3)</f>
        <v>中学校</v>
      </c>
      <c r="D91" s="7" t="s">
        <v>19</v>
      </c>
      <c r="E91" s="7" t="s">
        <v>7</v>
      </c>
      <c r="F91" s="7" t="s">
        <v>117</v>
      </c>
    </row>
    <row r="92" spans="1:6" ht="12.75">
      <c r="A92" s="6">
        <v>45624.654765104162</v>
      </c>
      <c r="B92" s="7" t="s">
        <v>18</v>
      </c>
      <c r="C92" s="5" t="str">
        <f>LEFT(Form_Responses1[[#This Row],[問１　あなたは何年生ですか。]],3)</f>
        <v>中学校</v>
      </c>
      <c r="D92" s="7" t="s">
        <v>6</v>
      </c>
      <c r="E92" s="7" t="s">
        <v>10</v>
      </c>
      <c r="F92" s="7" t="s">
        <v>118</v>
      </c>
    </row>
    <row r="93" spans="1:6" ht="12.75">
      <c r="A93" s="6">
        <v>45624.654814814814</v>
      </c>
      <c r="B93" s="7" t="s">
        <v>18</v>
      </c>
      <c r="C93" s="5" t="str">
        <f>LEFT(Form_Responses1[[#This Row],[問１　あなたは何年生ですか。]],3)</f>
        <v>中学校</v>
      </c>
      <c r="D93" s="7" t="s">
        <v>119</v>
      </c>
      <c r="E93" s="7" t="s">
        <v>7</v>
      </c>
      <c r="F93" s="7" t="s">
        <v>120</v>
      </c>
    </row>
    <row r="94" spans="1:6" ht="12.75">
      <c r="A94" s="6">
        <v>45624.65482059028</v>
      </c>
      <c r="B94" s="7" t="s">
        <v>18</v>
      </c>
      <c r="C94" s="5" t="str">
        <f>LEFT(Form_Responses1[[#This Row],[問１　あなたは何年生ですか。]],3)</f>
        <v>中学校</v>
      </c>
      <c r="D94" s="7" t="s">
        <v>121</v>
      </c>
      <c r="E94" s="7" t="s">
        <v>10</v>
      </c>
      <c r="F94" s="7" t="s">
        <v>122</v>
      </c>
    </row>
    <row r="95" spans="1:6" ht="12.75">
      <c r="A95" s="6">
        <v>45624.654827013888</v>
      </c>
      <c r="B95" s="7" t="s">
        <v>18</v>
      </c>
      <c r="C95" s="5" t="str">
        <f>LEFT(Form_Responses1[[#This Row],[問１　あなたは何年生ですか。]],3)</f>
        <v>中学校</v>
      </c>
      <c r="D95" s="7" t="s">
        <v>123</v>
      </c>
      <c r="E95" s="7" t="s">
        <v>10</v>
      </c>
      <c r="F95" s="7" t="s">
        <v>52</v>
      </c>
    </row>
    <row r="96" spans="1:6" ht="12.75">
      <c r="A96" s="6">
        <v>45624.654828310187</v>
      </c>
      <c r="B96" s="7" t="s">
        <v>13</v>
      </c>
      <c r="C96" s="5" t="str">
        <f>LEFT(Form_Responses1[[#This Row],[問１　あなたは何年生ですか。]],3)</f>
        <v>小学校</v>
      </c>
      <c r="D96" s="7" t="s">
        <v>19</v>
      </c>
      <c r="E96" s="7" t="s">
        <v>7</v>
      </c>
      <c r="F96" s="7" t="s">
        <v>112</v>
      </c>
    </row>
    <row r="97" spans="1:6" ht="12.75">
      <c r="A97" s="6">
        <v>45624.654828553241</v>
      </c>
      <c r="B97" s="7" t="s">
        <v>18</v>
      </c>
      <c r="C97" s="5" t="str">
        <f>LEFT(Form_Responses1[[#This Row],[問１　あなたは何年生ですか。]],3)</f>
        <v>中学校</v>
      </c>
      <c r="D97" s="7" t="s">
        <v>6</v>
      </c>
      <c r="E97" s="7" t="s">
        <v>10</v>
      </c>
      <c r="F97" s="7" t="s">
        <v>124</v>
      </c>
    </row>
    <row r="98" spans="1:6" ht="12.75">
      <c r="A98" s="6">
        <v>45624.654841701384</v>
      </c>
      <c r="B98" s="7" t="s">
        <v>18</v>
      </c>
      <c r="C98" s="5" t="str">
        <f>LEFT(Form_Responses1[[#This Row],[問１　あなたは何年生ですか。]],3)</f>
        <v>中学校</v>
      </c>
      <c r="D98" s="7" t="s">
        <v>19</v>
      </c>
      <c r="E98" s="7" t="s">
        <v>15</v>
      </c>
      <c r="F98" s="7" t="s">
        <v>125</v>
      </c>
    </row>
    <row r="99" spans="1:6" ht="12.75">
      <c r="A99" s="6">
        <v>45624.654855138884</v>
      </c>
      <c r="B99" s="7" t="s">
        <v>18</v>
      </c>
      <c r="C99" s="5" t="str">
        <f>LEFT(Form_Responses1[[#This Row],[問１　あなたは何年生ですか。]],3)</f>
        <v>中学校</v>
      </c>
      <c r="D99" s="7" t="s">
        <v>6</v>
      </c>
      <c r="E99" s="7" t="s">
        <v>7</v>
      </c>
      <c r="F99" s="7" t="s">
        <v>126</v>
      </c>
    </row>
    <row r="100" spans="1:6" ht="12.75">
      <c r="A100" s="6">
        <v>45624.654856712965</v>
      </c>
      <c r="B100" s="7" t="s">
        <v>18</v>
      </c>
      <c r="C100" s="5" t="str">
        <f>LEFT(Form_Responses1[[#This Row],[問１　あなたは何年生ですか。]],3)</f>
        <v>中学校</v>
      </c>
      <c r="D100" s="7" t="s">
        <v>19</v>
      </c>
      <c r="E100" s="7" t="s">
        <v>10</v>
      </c>
      <c r="F100" s="7" t="s">
        <v>127</v>
      </c>
    </row>
    <row r="101" spans="1:6" ht="12.75">
      <c r="A101" s="6">
        <v>45624.654917673615</v>
      </c>
      <c r="B101" s="7" t="s">
        <v>18</v>
      </c>
      <c r="C101" s="5" t="str">
        <f>LEFT(Form_Responses1[[#This Row],[問１　あなたは何年生ですか。]],3)</f>
        <v>中学校</v>
      </c>
      <c r="D101" s="7" t="s">
        <v>19</v>
      </c>
      <c r="E101" s="7" t="s">
        <v>7</v>
      </c>
      <c r="F101" s="7" t="s">
        <v>128</v>
      </c>
    </row>
    <row r="102" spans="1:6" ht="12.75">
      <c r="A102" s="6">
        <v>45624.654917650463</v>
      </c>
      <c r="B102" s="7" t="s">
        <v>18</v>
      </c>
      <c r="C102" s="5" t="str">
        <f>LEFT(Form_Responses1[[#This Row],[問１　あなたは何年生ですか。]],3)</f>
        <v>中学校</v>
      </c>
      <c r="D102" s="7" t="s">
        <v>6</v>
      </c>
      <c r="E102" s="7" t="s">
        <v>10</v>
      </c>
      <c r="F102" s="7" t="s">
        <v>129</v>
      </c>
    </row>
    <row r="103" spans="1:6" ht="12.75">
      <c r="A103" s="6">
        <v>45624.654928645832</v>
      </c>
      <c r="B103" s="7" t="s">
        <v>18</v>
      </c>
      <c r="C103" s="5" t="str">
        <f>LEFT(Form_Responses1[[#This Row],[問１　あなたは何年生ですか。]],3)</f>
        <v>中学校</v>
      </c>
      <c r="D103" s="7" t="s">
        <v>6</v>
      </c>
      <c r="E103" s="7" t="s">
        <v>10</v>
      </c>
      <c r="F103" s="7" t="s">
        <v>130</v>
      </c>
    </row>
    <row r="104" spans="1:6" ht="12.75">
      <c r="A104" s="6">
        <v>45624.654939004628</v>
      </c>
      <c r="B104" s="7" t="s">
        <v>18</v>
      </c>
      <c r="C104" s="5" t="str">
        <f>LEFT(Form_Responses1[[#This Row],[問１　あなたは何年生ですか。]],3)</f>
        <v>中学校</v>
      </c>
      <c r="D104" s="7" t="s">
        <v>131</v>
      </c>
      <c r="E104" s="7" t="s">
        <v>10</v>
      </c>
      <c r="F104" s="7" t="s">
        <v>132</v>
      </c>
    </row>
    <row r="105" spans="1:6" ht="12.75">
      <c r="A105" s="6">
        <v>45624.654982245367</v>
      </c>
      <c r="B105" s="7" t="s">
        <v>18</v>
      </c>
      <c r="C105" s="5" t="str">
        <f>LEFT(Form_Responses1[[#This Row],[問１　あなたは何年生ですか。]],3)</f>
        <v>中学校</v>
      </c>
      <c r="D105" s="7" t="s">
        <v>6</v>
      </c>
      <c r="E105" s="7" t="s">
        <v>7</v>
      </c>
      <c r="F105" s="7" t="s">
        <v>112</v>
      </c>
    </row>
    <row r="106" spans="1:6" ht="12.75">
      <c r="A106" s="6">
        <v>45624.654990729163</v>
      </c>
      <c r="B106" s="7" t="s">
        <v>18</v>
      </c>
      <c r="C106" s="5" t="str">
        <f>LEFT(Form_Responses1[[#This Row],[問１　あなたは何年生ですか。]],3)</f>
        <v>中学校</v>
      </c>
      <c r="D106" s="7" t="s">
        <v>6</v>
      </c>
      <c r="E106" s="7" t="s">
        <v>10</v>
      </c>
      <c r="F106" s="7" t="s">
        <v>133</v>
      </c>
    </row>
    <row r="107" spans="1:6" ht="12.75">
      <c r="A107" s="6">
        <v>45624.65505212963</v>
      </c>
      <c r="B107" s="7" t="s">
        <v>18</v>
      </c>
      <c r="C107" s="5" t="str">
        <f>LEFT(Form_Responses1[[#This Row],[問１　あなたは何年生ですか。]],3)</f>
        <v>中学校</v>
      </c>
      <c r="D107" s="7" t="s">
        <v>6</v>
      </c>
      <c r="E107" s="7" t="s">
        <v>10</v>
      </c>
      <c r="F107" s="7" t="s">
        <v>134</v>
      </c>
    </row>
    <row r="108" spans="1:6" ht="12.75">
      <c r="A108" s="6">
        <v>45624.655145439814</v>
      </c>
      <c r="B108" s="7" t="s">
        <v>18</v>
      </c>
      <c r="C108" s="5" t="str">
        <f>LEFT(Form_Responses1[[#This Row],[問１　あなたは何年生ですか。]],3)</f>
        <v>中学校</v>
      </c>
      <c r="D108" s="7" t="s">
        <v>17</v>
      </c>
      <c r="E108" s="7" t="s">
        <v>10</v>
      </c>
      <c r="F108" s="7" t="s">
        <v>135</v>
      </c>
    </row>
    <row r="109" spans="1:6" ht="12.75">
      <c r="A109" s="6">
        <v>45624.655183043986</v>
      </c>
      <c r="B109" s="7" t="s">
        <v>18</v>
      </c>
      <c r="C109" s="5" t="str">
        <f>LEFT(Form_Responses1[[#This Row],[問１　あなたは何年生ですか。]],3)</f>
        <v>中学校</v>
      </c>
      <c r="D109" s="7" t="s">
        <v>17</v>
      </c>
      <c r="E109" s="7" t="s">
        <v>10</v>
      </c>
      <c r="F109" s="7" t="s">
        <v>52</v>
      </c>
    </row>
    <row r="110" spans="1:6" ht="12.75">
      <c r="A110" s="6">
        <v>45624.655199375004</v>
      </c>
      <c r="B110" s="7" t="s">
        <v>18</v>
      </c>
      <c r="C110" s="5" t="str">
        <f>LEFT(Form_Responses1[[#This Row],[問１　あなたは何年生ですか。]],3)</f>
        <v>中学校</v>
      </c>
      <c r="D110" s="7" t="s">
        <v>6</v>
      </c>
      <c r="E110" s="7" t="s">
        <v>10</v>
      </c>
      <c r="F110" s="7" t="s">
        <v>136</v>
      </c>
    </row>
    <row r="111" spans="1:6" ht="12.75">
      <c r="A111" s="6">
        <v>45624.655216331019</v>
      </c>
      <c r="B111" s="7" t="s">
        <v>18</v>
      </c>
      <c r="C111" s="5" t="str">
        <f>LEFT(Form_Responses1[[#This Row],[問１　あなたは何年生ですか。]],3)</f>
        <v>中学校</v>
      </c>
      <c r="D111" s="7" t="s">
        <v>6</v>
      </c>
      <c r="E111" s="7" t="s">
        <v>10</v>
      </c>
      <c r="F111" s="7" t="s">
        <v>137</v>
      </c>
    </row>
    <row r="112" spans="1:6" ht="12.75">
      <c r="A112" s="6">
        <v>45624.655223368056</v>
      </c>
      <c r="B112" s="7" t="s">
        <v>18</v>
      </c>
      <c r="C112" s="5" t="str">
        <f>LEFT(Form_Responses1[[#This Row],[問１　あなたは何年生ですか。]],3)</f>
        <v>中学校</v>
      </c>
      <c r="D112" s="7" t="s">
        <v>6</v>
      </c>
      <c r="E112" s="7" t="s">
        <v>10</v>
      </c>
      <c r="F112" s="7" t="s">
        <v>138</v>
      </c>
    </row>
    <row r="113" spans="1:6" ht="12.75">
      <c r="A113" s="6">
        <v>45624.655250439813</v>
      </c>
      <c r="B113" s="7" t="s">
        <v>18</v>
      </c>
      <c r="C113" s="5" t="str">
        <f>LEFT(Form_Responses1[[#This Row],[問１　あなたは何年生ですか。]],3)</f>
        <v>中学校</v>
      </c>
      <c r="D113" s="7" t="s">
        <v>17</v>
      </c>
      <c r="E113" s="7" t="s">
        <v>10</v>
      </c>
      <c r="F113" s="7" t="s">
        <v>139</v>
      </c>
    </row>
    <row r="114" spans="1:6" ht="12.75">
      <c r="A114" s="6">
        <v>45624.655252268523</v>
      </c>
      <c r="B114" s="7" t="s">
        <v>18</v>
      </c>
      <c r="C114" s="5" t="str">
        <f>LEFT(Form_Responses1[[#This Row],[問１　あなたは何年生ですか。]],3)</f>
        <v>中学校</v>
      </c>
      <c r="D114" s="7" t="s">
        <v>6</v>
      </c>
      <c r="E114" s="7" t="s">
        <v>7</v>
      </c>
      <c r="F114" s="7" t="s">
        <v>140</v>
      </c>
    </row>
    <row r="115" spans="1:6" ht="12.75">
      <c r="A115" s="6">
        <v>45624.655254270838</v>
      </c>
      <c r="B115" s="7" t="s">
        <v>18</v>
      </c>
      <c r="C115" s="5" t="str">
        <f>LEFT(Form_Responses1[[#This Row],[問１　あなたは何年生ですか。]],3)</f>
        <v>中学校</v>
      </c>
      <c r="D115" s="7" t="s">
        <v>141</v>
      </c>
      <c r="E115" s="7" t="s">
        <v>10</v>
      </c>
      <c r="F115" s="7" t="s">
        <v>140</v>
      </c>
    </row>
    <row r="116" spans="1:6" ht="12.75">
      <c r="A116" s="6">
        <v>45624.655308761576</v>
      </c>
      <c r="B116" s="7" t="s">
        <v>18</v>
      </c>
      <c r="C116" s="5" t="str">
        <f>LEFT(Form_Responses1[[#This Row],[問１　あなたは何年生ですか。]],3)</f>
        <v>中学校</v>
      </c>
      <c r="D116" s="7" t="s">
        <v>142</v>
      </c>
      <c r="E116" s="7" t="s">
        <v>10</v>
      </c>
      <c r="F116" s="7" t="s">
        <v>128</v>
      </c>
    </row>
    <row r="117" spans="1:6" ht="12.75">
      <c r="A117" s="6">
        <v>45624.655333564813</v>
      </c>
      <c r="B117" s="7" t="s">
        <v>18</v>
      </c>
      <c r="C117" s="5" t="str">
        <f>LEFT(Form_Responses1[[#This Row],[問１　あなたは何年生ですか。]],3)</f>
        <v>中学校</v>
      </c>
      <c r="D117" s="7" t="s">
        <v>19</v>
      </c>
      <c r="E117" s="7" t="s">
        <v>7</v>
      </c>
      <c r="F117" s="7" t="s">
        <v>143</v>
      </c>
    </row>
    <row r="118" spans="1:6" ht="12.75">
      <c r="A118" s="6">
        <v>45624.655372326393</v>
      </c>
      <c r="B118" s="7" t="s">
        <v>18</v>
      </c>
      <c r="C118" s="5" t="str">
        <f>LEFT(Form_Responses1[[#This Row],[問１　あなたは何年生ですか。]],3)</f>
        <v>中学校</v>
      </c>
      <c r="D118" s="7" t="s">
        <v>6</v>
      </c>
      <c r="E118" s="7" t="s">
        <v>10</v>
      </c>
      <c r="F118" s="7" t="s">
        <v>144</v>
      </c>
    </row>
    <row r="119" spans="1:6" ht="12.75">
      <c r="A119" s="6">
        <v>45624.655445277778</v>
      </c>
      <c r="B119" s="7" t="s">
        <v>18</v>
      </c>
      <c r="C119" s="5" t="str">
        <f>LEFT(Form_Responses1[[#This Row],[問１　あなたは何年生ですか。]],3)</f>
        <v>中学校</v>
      </c>
      <c r="D119" s="7" t="s">
        <v>6</v>
      </c>
      <c r="E119" s="7" t="s">
        <v>10</v>
      </c>
      <c r="F119" s="7" t="s">
        <v>145</v>
      </c>
    </row>
    <row r="120" spans="1:6" ht="12.75">
      <c r="A120" s="6">
        <v>45624.65553866898</v>
      </c>
      <c r="B120" s="7" t="s">
        <v>18</v>
      </c>
      <c r="C120" s="5" t="str">
        <f>LEFT(Form_Responses1[[#This Row],[問１　あなたは何年生ですか。]],3)</f>
        <v>中学校</v>
      </c>
      <c r="D120" s="7" t="s">
        <v>6</v>
      </c>
      <c r="E120" s="7" t="s">
        <v>7</v>
      </c>
      <c r="F120" s="7" t="s">
        <v>146</v>
      </c>
    </row>
    <row r="121" spans="1:6" ht="12.75">
      <c r="A121" s="6">
        <v>45624.655675810187</v>
      </c>
      <c r="B121" s="7" t="s">
        <v>18</v>
      </c>
      <c r="C121" s="5" t="str">
        <f>LEFT(Form_Responses1[[#This Row],[問１　あなたは何年生ですか。]],3)</f>
        <v>中学校</v>
      </c>
      <c r="D121" s="7" t="s">
        <v>6</v>
      </c>
      <c r="E121" s="7" t="s">
        <v>7</v>
      </c>
      <c r="F121" s="7" t="s">
        <v>147</v>
      </c>
    </row>
    <row r="122" spans="1:6" ht="12.75">
      <c r="A122" s="6">
        <v>45624.655761886577</v>
      </c>
      <c r="B122" s="7" t="s">
        <v>18</v>
      </c>
      <c r="C122" s="5" t="str">
        <f>LEFT(Form_Responses1[[#This Row],[問１　あなたは何年生ですか。]],3)</f>
        <v>中学校</v>
      </c>
      <c r="D122" s="7" t="s">
        <v>19</v>
      </c>
      <c r="E122" s="7" t="s">
        <v>15</v>
      </c>
      <c r="F122" s="7" t="s">
        <v>148</v>
      </c>
    </row>
    <row r="123" spans="1:6" ht="12.75">
      <c r="A123" s="6">
        <v>45624.655836076388</v>
      </c>
      <c r="B123" s="7" t="s">
        <v>18</v>
      </c>
      <c r="C123" s="5" t="str">
        <f>LEFT(Form_Responses1[[#This Row],[問１　あなたは何年生ですか。]],3)</f>
        <v>中学校</v>
      </c>
      <c r="D123" s="7" t="s">
        <v>17</v>
      </c>
      <c r="E123" s="7" t="s">
        <v>10</v>
      </c>
      <c r="F123" s="7" t="s">
        <v>149</v>
      </c>
    </row>
    <row r="124" spans="1:6" ht="12.75">
      <c r="A124" s="6">
        <v>45624.655855509263</v>
      </c>
      <c r="B124" s="7" t="s">
        <v>18</v>
      </c>
      <c r="C124" s="5" t="str">
        <f>LEFT(Form_Responses1[[#This Row],[問１　あなたは何年生ですか。]],3)</f>
        <v>中学校</v>
      </c>
      <c r="D124" s="7" t="s">
        <v>19</v>
      </c>
      <c r="E124" s="7" t="s">
        <v>7</v>
      </c>
      <c r="F124" s="7" t="s">
        <v>150</v>
      </c>
    </row>
    <row r="125" spans="1:6" ht="12.75">
      <c r="A125" s="6">
        <v>45624.655928703709</v>
      </c>
      <c r="B125" s="7" t="s">
        <v>18</v>
      </c>
      <c r="C125" s="5" t="str">
        <f>LEFT(Form_Responses1[[#This Row],[問１　あなたは何年生ですか。]],3)</f>
        <v>中学校</v>
      </c>
      <c r="D125" s="7" t="s">
        <v>6</v>
      </c>
      <c r="E125" s="7" t="s">
        <v>7</v>
      </c>
      <c r="F125" s="7" t="s">
        <v>151</v>
      </c>
    </row>
    <row r="126" spans="1:6" ht="12.75">
      <c r="A126" s="6">
        <v>45624.656486053238</v>
      </c>
      <c r="B126" s="7" t="s">
        <v>18</v>
      </c>
      <c r="C126" s="5" t="str">
        <f>LEFT(Form_Responses1[[#This Row],[問１　あなたは何年生ですか。]],3)</f>
        <v>中学校</v>
      </c>
      <c r="D126" s="7" t="s">
        <v>24</v>
      </c>
      <c r="E126" s="7" t="s">
        <v>10</v>
      </c>
      <c r="F126" s="7" t="s">
        <v>152</v>
      </c>
    </row>
    <row r="127" spans="1:6" ht="12.75">
      <c r="A127" s="6">
        <v>45624.65651050926</v>
      </c>
      <c r="B127" s="7" t="s">
        <v>18</v>
      </c>
      <c r="C127" s="5" t="str">
        <f>LEFT(Form_Responses1[[#This Row],[問１　あなたは何年生ですか。]],3)</f>
        <v>中学校</v>
      </c>
      <c r="D127" s="7" t="s">
        <v>19</v>
      </c>
      <c r="E127" s="7" t="s">
        <v>10</v>
      </c>
      <c r="F127" s="7" t="s">
        <v>153</v>
      </c>
    </row>
    <row r="128" spans="1:6" ht="12.75">
      <c r="A128" s="6">
        <v>45624.656917905093</v>
      </c>
      <c r="B128" s="7" t="s">
        <v>16</v>
      </c>
      <c r="C128" s="5" t="str">
        <f>LEFT(Form_Responses1[[#This Row],[問１　あなたは何年生ですか。]],3)</f>
        <v>中学校</v>
      </c>
      <c r="D128" s="7" t="s">
        <v>154</v>
      </c>
      <c r="E128" s="7" t="s">
        <v>10</v>
      </c>
      <c r="F128" s="7" t="s">
        <v>155</v>
      </c>
    </row>
    <row r="129" spans="1:6" ht="12.75">
      <c r="A129" s="6">
        <v>45624.657084143517</v>
      </c>
      <c r="B129" s="7" t="s">
        <v>16</v>
      </c>
      <c r="C129" s="5" t="str">
        <f>LEFT(Form_Responses1[[#This Row],[問１　あなたは何年生ですか。]],3)</f>
        <v>中学校</v>
      </c>
      <c r="D129" s="7" t="s">
        <v>17</v>
      </c>
      <c r="E129" s="7" t="s">
        <v>10</v>
      </c>
      <c r="F129" s="7" t="s">
        <v>156</v>
      </c>
    </row>
    <row r="130" spans="1:6" ht="12.75">
      <c r="A130" s="6">
        <v>45624.657120312499</v>
      </c>
      <c r="B130" s="7" t="s">
        <v>16</v>
      </c>
      <c r="C130" s="5" t="str">
        <f>LEFT(Form_Responses1[[#This Row],[問１　あなたは何年生ですか。]],3)</f>
        <v>中学校</v>
      </c>
      <c r="D130" s="7" t="s">
        <v>6</v>
      </c>
      <c r="E130" s="7" t="s">
        <v>10</v>
      </c>
      <c r="F130" s="7" t="s">
        <v>157</v>
      </c>
    </row>
    <row r="131" spans="1:6" ht="12.75">
      <c r="A131" s="6">
        <v>45624.657124467594</v>
      </c>
      <c r="B131" s="7" t="s">
        <v>5</v>
      </c>
      <c r="C131" s="5" t="str">
        <f>LEFT(Form_Responses1[[#This Row],[問１　あなたは何年生ですか。]],3)</f>
        <v>中学校</v>
      </c>
      <c r="D131" s="7" t="s">
        <v>19</v>
      </c>
      <c r="E131" s="7" t="s">
        <v>7</v>
      </c>
      <c r="F131" s="8"/>
    </row>
    <row r="132" spans="1:6" ht="12.75">
      <c r="A132" s="6">
        <v>45624.657355069445</v>
      </c>
      <c r="B132" s="7" t="s">
        <v>16</v>
      </c>
      <c r="C132" s="5" t="str">
        <f>LEFT(Form_Responses1[[#This Row],[問１　あなたは何年生ですか。]],3)</f>
        <v>中学校</v>
      </c>
      <c r="D132" s="7" t="s">
        <v>12</v>
      </c>
      <c r="E132" s="7" t="s">
        <v>10</v>
      </c>
      <c r="F132" s="7" t="s">
        <v>158</v>
      </c>
    </row>
    <row r="133" spans="1:6" ht="12.75">
      <c r="A133" s="6">
        <v>45624.657389930551</v>
      </c>
      <c r="B133" s="7" t="s">
        <v>5</v>
      </c>
      <c r="C133" s="5" t="str">
        <f>LEFT(Form_Responses1[[#This Row],[問１　あなたは何年生ですか。]],3)</f>
        <v>中学校</v>
      </c>
      <c r="D133" s="7" t="s">
        <v>6</v>
      </c>
      <c r="E133" s="7" t="s">
        <v>10</v>
      </c>
      <c r="F133" s="8"/>
    </row>
    <row r="134" spans="1:6" ht="12.75">
      <c r="A134" s="6">
        <v>45624.657428692131</v>
      </c>
      <c r="B134" s="7" t="s">
        <v>16</v>
      </c>
      <c r="C134" s="5" t="str">
        <f>LEFT(Form_Responses1[[#This Row],[問１　あなたは何年生ですか。]],3)</f>
        <v>中学校</v>
      </c>
      <c r="D134" s="7" t="s">
        <v>6</v>
      </c>
      <c r="E134" s="7" t="s">
        <v>10</v>
      </c>
      <c r="F134" s="7" t="s">
        <v>159</v>
      </c>
    </row>
    <row r="135" spans="1:6" ht="12.75">
      <c r="A135" s="6">
        <v>45624.657444212964</v>
      </c>
      <c r="B135" s="7" t="s">
        <v>5</v>
      </c>
      <c r="C135" s="5" t="str">
        <f>LEFT(Form_Responses1[[#This Row],[問１　あなたは何年生ですか。]],3)</f>
        <v>中学校</v>
      </c>
      <c r="D135" s="7" t="s">
        <v>24</v>
      </c>
      <c r="E135" s="7" t="s">
        <v>7</v>
      </c>
      <c r="F135" s="8"/>
    </row>
    <row r="136" spans="1:6" ht="12.75">
      <c r="A136" s="6">
        <v>45624.657451620369</v>
      </c>
      <c r="B136" s="7" t="s">
        <v>5</v>
      </c>
      <c r="C136" s="5" t="str">
        <f>LEFT(Form_Responses1[[#This Row],[問１　あなたは何年生ですか。]],3)</f>
        <v>中学校</v>
      </c>
      <c r="D136" s="7" t="s">
        <v>160</v>
      </c>
      <c r="E136" s="7" t="s">
        <v>7</v>
      </c>
      <c r="F136" s="8"/>
    </row>
    <row r="137" spans="1:6" ht="12.75">
      <c r="A137" s="6">
        <v>45624.657467013887</v>
      </c>
      <c r="B137" s="7" t="s">
        <v>5</v>
      </c>
      <c r="C137" s="5" t="str">
        <f>LEFT(Form_Responses1[[#This Row],[問１　あなたは何年生ですか。]],3)</f>
        <v>中学校</v>
      </c>
      <c r="D137" s="7" t="s">
        <v>19</v>
      </c>
      <c r="E137" s="7" t="s">
        <v>10</v>
      </c>
      <c r="F137" s="7" t="s">
        <v>161</v>
      </c>
    </row>
    <row r="138" spans="1:6" ht="12.75">
      <c r="A138" s="6">
        <v>45624.6575203588</v>
      </c>
      <c r="B138" s="7" t="s">
        <v>16</v>
      </c>
      <c r="C138" s="5" t="str">
        <f>LEFT(Form_Responses1[[#This Row],[問１　あなたは何年生ですか。]],3)</f>
        <v>中学校</v>
      </c>
      <c r="D138" s="7" t="s">
        <v>6</v>
      </c>
      <c r="E138" s="7" t="s">
        <v>10</v>
      </c>
      <c r="F138" s="7" t="s">
        <v>162</v>
      </c>
    </row>
    <row r="139" spans="1:6" ht="12.75">
      <c r="A139" s="6">
        <v>45624.657538946762</v>
      </c>
      <c r="B139" s="7" t="s">
        <v>5</v>
      </c>
      <c r="C139" s="5" t="str">
        <f>LEFT(Form_Responses1[[#This Row],[問１　あなたは何年生ですか。]],3)</f>
        <v>中学校</v>
      </c>
      <c r="D139" s="7" t="s">
        <v>163</v>
      </c>
      <c r="E139" s="7" t="s">
        <v>10</v>
      </c>
      <c r="F139" s="8"/>
    </row>
    <row r="140" spans="1:6" ht="12.75">
      <c r="A140" s="6">
        <v>45624.657574467594</v>
      </c>
      <c r="B140" s="7" t="s">
        <v>16</v>
      </c>
      <c r="C140" s="5" t="str">
        <f>LEFT(Form_Responses1[[#This Row],[問１　あなたは何年生ですか。]],3)</f>
        <v>中学校</v>
      </c>
      <c r="D140" s="7" t="s">
        <v>19</v>
      </c>
      <c r="E140" s="7" t="s">
        <v>10</v>
      </c>
      <c r="F140" s="7" t="s">
        <v>164</v>
      </c>
    </row>
    <row r="141" spans="1:6" ht="12.75">
      <c r="A141" s="6">
        <v>45624.65758204861</v>
      </c>
      <c r="B141" s="7" t="s">
        <v>5</v>
      </c>
      <c r="C141" s="5" t="str">
        <f>LEFT(Form_Responses1[[#This Row],[問１　あなたは何年生ですか。]],3)</f>
        <v>中学校</v>
      </c>
      <c r="D141" s="7" t="s">
        <v>6</v>
      </c>
      <c r="E141" s="7" t="s">
        <v>7</v>
      </c>
      <c r="F141" s="8"/>
    </row>
    <row r="142" spans="1:6" ht="12.75">
      <c r="A142" s="6">
        <v>45624.657630196758</v>
      </c>
      <c r="B142" s="7" t="s">
        <v>5</v>
      </c>
      <c r="C142" s="5" t="str">
        <f>LEFT(Form_Responses1[[#This Row],[問１　あなたは何年生ですか。]],3)</f>
        <v>中学校</v>
      </c>
      <c r="D142" s="7" t="s">
        <v>6</v>
      </c>
      <c r="E142" s="7" t="s">
        <v>7</v>
      </c>
      <c r="F142" s="7" t="s">
        <v>165</v>
      </c>
    </row>
    <row r="143" spans="1:6" ht="12.75">
      <c r="A143" s="6">
        <v>45624.657644895837</v>
      </c>
      <c r="B143" s="7" t="s">
        <v>5</v>
      </c>
      <c r="C143" s="5" t="str">
        <f>LEFT(Form_Responses1[[#This Row],[問１　あなたは何年生ですか。]],3)</f>
        <v>中学校</v>
      </c>
      <c r="D143" s="7" t="s">
        <v>24</v>
      </c>
      <c r="E143" s="7" t="s">
        <v>7</v>
      </c>
      <c r="F143" s="8"/>
    </row>
    <row r="144" spans="1:6" ht="12.75">
      <c r="A144" s="6">
        <v>45624.657651875001</v>
      </c>
      <c r="B144" s="7" t="s">
        <v>16</v>
      </c>
      <c r="C144" s="5" t="str">
        <f>LEFT(Form_Responses1[[#This Row],[問１　あなたは何年生ですか。]],3)</f>
        <v>中学校</v>
      </c>
      <c r="D144" s="7" t="s">
        <v>19</v>
      </c>
      <c r="E144" s="7" t="s">
        <v>10</v>
      </c>
      <c r="F144" s="7" t="s">
        <v>166</v>
      </c>
    </row>
    <row r="145" spans="1:6" ht="12.75">
      <c r="A145" s="6">
        <v>45624.657652106485</v>
      </c>
      <c r="B145" s="7" t="s">
        <v>5</v>
      </c>
      <c r="C145" s="5" t="str">
        <f>LEFT(Form_Responses1[[#This Row],[問１　あなたは何年生ですか。]],3)</f>
        <v>中学校</v>
      </c>
      <c r="D145" s="7" t="s">
        <v>22</v>
      </c>
      <c r="E145" s="7" t="s">
        <v>10</v>
      </c>
      <c r="F145" s="8"/>
    </row>
    <row r="146" spans="1:6" ht="12.75">
      <c r="A146" s="6">
        <v>45624.657690798616</v>
      </c>
      <c r="B146" s="7" t="s">
        <v>5</v>
      </c>
      <c r="C146" s="5" t="str">
        <f>LEFT(Form_Responses1[[#This Row],[問１　あなたは何年生ですか。]],3)</f>
        <v>中学校</v>
      </c>
      <c r="D146" s="7" t="s">
        <v>22</v>
      </c>
      <c r="E146" s="7" t="s">
        <v>10</v>
      </c>
      <c r="F146" s="8"/>
    </row>
    <row r="147" spans="1:6" ht="12.75">
      <c r="A147" s="6">
        <v>45624.657699155097</v>
      </c>
      <c r="B147" s="7" t="s">
        <v>5</v>
      </c>
      <c r="C147" s="5" t="str">
        <f>LEFT(Form_Responses1[[#This Row],[問１　あなたは何年生ですか。]],3)</f>
        <v>中学校</v>
      </c>
      <c r="D147" s="7" t="s">
        <v>6</v>
      </c>
      <c r="E147" s="7" t="s">
        <v>10</v>
      </c>
      <c r="F147" s="7" t="s">
        <v>167</v>
      </c>
    </row>
    <row r="148" spans="1:6" ht="12.75">
      <c r="A148" s="6">
        <v>45624.657753298612</v>
      </c>
      <c r="B148" s="7" t="s">
        <v>5</v>
      </c>
      <c r="C148" s="5" t="str">
        <f>LEFT(Form_Responses1[[#This Row],[問１　あなたは何年生ですか。]],3)</f>
        <v>中学校</v>
      </c>
      <c r="D148" s="7" t="s">
        <v>168</v>
      </c>
      <c r="E148" s="7" t="s">
        <v>10</v>
      </c>
      <c r="F148" s="7" t="s">
        <v>169</v>
      </c>
    </row>
    <row r="149" spans="1:6" ht="12.75">
      <c r="A149" s="6">
        <v>45624.657783263887</v>
      </c>
      <c r="B149" s="7" t="s">
        <v>5</v>
      </c>
      <c r="C149" s="5" t="str">
        <f>LEFT(Form_Responses1[[#This Row],[問１　あなたは何年生ですか。]],3)</f>
        <v>中学校</v>
      </c>
      <c r="D149" s="7" t="s">
        <v>19</v>
      </c>
      <c r="E149" s="7" t="s">
        <v>10</v>
      </c>
      <c r="F149" s="7" t="s">
        <v>170</v>
      </c>
    </row>
    <row r="150" spans="1:6" ht="12.75">
      <c r="A150" s="6">
        <v>45624.657793773149</v>
      </c>
      <c r="B150" s="7" t="s">
        <v>16</v>
      </c>
      <c r="C150" s="5" t="str">
        <f>LEFT(Form_Responses1[[#This Row],[問１　あなたは何年生ですか。]],3)</f>
        <v>中学校</v>
      </c>
      <c r="D150" s="7" t="s">
        <v>6</v>
      </c>
      <c r="E150" s="7" t="s">
        <v>7</v>
      </c>
      <c r="F150" s="7" t="s">
        <v>171</v>
      </c>
    </row>
    <row r="151" spans="1:6" ht="12.75">
      <c r="A151" s="6">
        <v>45624.657798194443</v>
      </c>
      <c r="B151" s="7" t="s">
        <v>5</v>
      </c>
      <c r="C151" s="5" t="str">
        <f>LEFT(Form_Responses1[[#This Row],[問１　あなたは何年生ですか。]],3)</f>
        <v>中学校</v>
      </c>
      <c r="D151" s="7" t="s">
        <v>172</v>
      </c>
      <c r="E151" s="7" t="s">
        <v>10</v>
      </c>
      <c r="F151" s="7" t="s">
        <v>173</v>
      </c>
    </row>
    <row r="152" spans="1:6" ht="12.75">
      <c r="A152" s="6">
        <v>45624.657840706015</v>
      </c>
      <c r="B152" s="7" t="s">
        <v>16</v>
      </c>
      <c r="C152" s="5" t="str">
        <f>LEFT(Form_Responses1[[#This Row],[問１　あなたは何年生ですか。]],3)</f>
        <v>中学校</v>
      </c>
      <c r="D152" s="7" t="s">
        <v>19</v>
      </c>
      <c r="E152" s="7" t="s">
        <v>7</v>
      </c>
      <c r="F152" s="7" t="s">
        <v>174</v>
      </c>
    </row>
    <row r="153" spans="1:6" ht="12.75">
      <c r="A153" s="6">
        <v>45624.657870092589</v>
      </c>
      <c r="B153" s="7" t="s">
        <v>5</v>
      </c>
      <c r="C153" s="5" t="str">
        <f>LEFT(Form_Responses1[[#This Row],[問１　あなたは何年生ですか。]],3)</f>
        <v>中学校</v>
      </c>
      <c r="D153" s="7" t="s">
        <v>19</v>
      </c>
      <c r="E153" s="7" t="s">
        <v>10</v>
      </c>
      <c r="F153" s="7" t="s">
        <v>175</v>
      </c>
    </row>
    <row r="154" spans="1:6" ht="12.75">
      <c r="A154" s="6">
        <v>45624.657871400465</v>
      </c>
      <c r="B154" s="7" t="s">
        <v>16</v>
      </c>
      <c r="C154" s="5" t="str">
        <f>LEFT(Form_Responses1[[#This Row],[問１　あなたは何年生ですか。]],3)</f>
        <v>中学校</v>
      </c>
      <c r="D154" s="7" t="s">
        <v>6</v>
      </c>
      <c r="E154" s="7" t="s">
        <v>10</v>
      </c>
      <c r="F154" s="7" t="s">
        <v>176</v>
      </c>
    </row>
    <row r="155" spans="1:6" ht="12.75">
      <c r="A155" s="6">
        <v>45624.657954386574</v>
      </c>
      <c r="B155" s="7" t="s">
        <v>5</v>
      </c>
      <c r="C155" s="5" t="str">
        <f>LEFT(Form_Responses1[[#This Row],[問１　あなたは何年生ですか。]],3)</f>
        <v>中学校</v>
      </c>
      <c r="D155" s="7" t="s">
        <v>30</v>
      </c>
      <c r="E155" s="7" t="s">
        <v>10</v>
      </c>
      <c r="F155" s="7" t="s">
        <v>177</v>
      </c>
    </row>
    <row r="156" spans="1:6" ht="12.75">
      <c r="A156" s="6">
        <v>45624.657965023143</v>
      </c>
      <c r="B156" s="7" t="s">
        <v>18</v>
      </c>
      <c r="C156" s="5" t="str">
        <f>LEFT(Form_Responses1[[#This Row],[問１　あなたは何年生ですか。]],3)</f>
        <v>中学校</v>
      </c>
      <c r="D156" s="7" t="s">
        <v>24</v>
      </c>
      <c r="E156" s="7" t="s">
        <v>10</v>
      </c>
      <c r="F156" s="7" t="s">
        <v>178</v>
      </c>
    </row>
    <row r="157" spans="1:6" ht="12.75">
      <c r="A157" s="6">
        <v>45624.657968043983</v>
      </c>
      <c r="B157" s="7" t="s">
        <v>5</v>
      </c>
      <c r="C157" s="5" t="str">
        <f>LEFT(Form_Responses1[[#This Row],[問１　あなたは何年生ですか。]],3)</f>
        <v>中学校</v>
      </c>
      <c r="D157" s="7" t="s">
        <v>6</v>
      </c>
      <c r="E157" s="7" t="s">
        <v>7</v>
      </c>
      <c r="F157" s="7" t="s">
        <v>179</v>
      </c>
    </row>
    <row r="158" spans="1:6" ht="12.75">
      <c r="A158" s="6">
        <v>45624.657990289357</v>
      </c>
      <c r="B158" s="7" t="s">
        <v>16</v>
      </c>
      <c r="C158" s="5" t="str">
        <f>LEFT(Form_Responses1[[#This Row],[問１　あなたは何年生ですか。]],3)</f>
        <v>中学校</v>
      </c>
      <c r="D158" s="7" t="s">
        <v>19</v>
      </c>
      <c r="E158" s="7" t="s">
        <v>10</v>
      </c>
      <c r="F158" s="7" t="s">
        <v>180</v>
      </c>
    </row>
    <row r="159" spans="1:6" ht="12.75">
      <c r="A159" s="6">
        <v>45624.658007071761</v>
      </c>
      <c r="B159" s="7" t="s">
        <v>5</v>
      </c>
      <c r="C159" s="5" t="str">
        <f>LEFT(Form_Responses1[[#This Row],[問１　あなたは何年生ですか。]],3)</f>
        <v>中学校</v>
      </c>
      <c r="D159" s="7" t="s">
        <v>181</v>
      </c>
      <c r="E159" s="7" t="s">
        <v>10</v>
      </c>
      <c r="F159" s="7" t="s">
        <v>182</v>
      </c>
    </row>
    <row r="160" spans="1:6" ht="12.75">
      <c r="A160" s="6">
        <v>45624.658039016205</v>
      </c>
      <c r="B160" s="7" t="s">
        <v>5</v>
      </c>
      <c r="C160" s="5" t="str">
        <f>LEFT(Form_Responses1[[#This Row],[問１　あなたは何年生ですか。]],3)</f>
        <v>中学校</v>
      </c>
      <c r="D160" s="7" t="s">
        <v>30</v>
      </c>
      <c r="E160" s="7" t="s">
        <v>10</v>
      </c>
      <c r="F160" s="7" t="s">
        <v>183</v>
      </c>
    </row>
    <row r="161" spans="1:6" ht="12.75">
      <c r="A161" s="6">
        <v>45624.658039421294</v>
      </c>
      <c r="B161" s="7" t="s">
        <v>5</v>
      </c>
      <c r="C161" s="5" t="str">
        <f>LEFT(Form_Responses1[[#This Row],[問１　あなたは何年生ですか。]],3)</f>
        <v>中学校</v>
      </c>
      <c r="D161" s="7" t="s">
        <v>184</v>
      </c>
      <c r="E161" s="7" t="s">
        <v>7</v>
      </c>
      <c r="F161" s="7" t="s">
        <v>185</v>
      </c>
    </row>
    <row r="162" spans="1:6" ht="12.75">
      <c r="A162" s="6">
        <v>45624.658042569441</v>
      </c>
      <c r="B162" s="7" t="s">
        <v>16</v>
      </c>
      <c r="C162" s="5" t="str">
        <f>LEFT(Form_Responses1[[#This Row],[問１　あなたは何年生ですか。]],3)</f>
        <v>中学校</v>
      </c>
      <c r="D162" s="7" t="s">
        <v>24</v>
      </c>
      <c r="E162" s="7" t="s">
        <v>10</v>
      </c>
      <c r="F162" s="7" t="s">
        <v>186</v>
      </c>
    </row>
    <row r="163" spans="1:6" ht="12.75">
      <c r="A163" s="6">
        <v>45624.658050497688</v>
      </c>
      <c r="B163" s="7" t="s">
        <v>16</v>
      </c>
      <c r="C163" s="5" t="str">
        <f>LEFT(Form_Responses1[[#This Row],[問１　あなたは何年生ですか。]],3)</f>
        <v>中学校</v>
      </c>
      <c r="D163" s="7" t="s">
        <v>6</v>
      </c>
      <c r="E163" s="7" t="s">
        <v>10</v>
      </c>
      <c r="F163" s="7" t="s">
        <v>187</v>
      </c>
    </row>
    <row r="164" spans="1:6" ht="12.75">
      <c r="A164" s="6">
        <v>45624.658107615745</v>
      </c>
      <c r="B164" s="7" t="s">
        <v>5</v>
      </c>
      <c r="C164" s="5" t="str">
        <f>LEFT(Form_Responses1[[#This Row],[問１　あなたは何年生ですか。]],3)</f>
        <v>中学校</v>
      </c>
      <c r="D164" s="7" t="s">
        <v>6</v>
      </c>
      <c r="E164" s="7" t="s">
        <v>7</v>
      </c>
      <c r="F164" s="7" t="s">
        <v>188</v>
      </c>
    </row>
    <row r="165" spans="1:6" ht="12.75">
      <c r="A165" s="6">
        <v>45624.658151585652</v>
      </c>
      <c r="B165" s="7" t="s">
        <v>5</v>
      </c>
      <c r="C165" s="5" t="str">
        <f>LEFT(Form_Responses1[[#This Row],[問１　あなたは何年生ですか。]],3)</f>
        <v>中学校</v>
      </c>
      <c r="D165" s="7" t="s">
        <v>19</v>
      </c>
      <c r="E165" s="7" t="s">
        <v>7</v>
      </c>
      <c r="F165" s="8"/>
    </row>
    <row r="166" spans="1:6" ht="12.75">
      <c r="A166" s="6">
        <v>45624.658177557867</v>
      </c>
      <c r="B166" s="7" t="s">
        <v>16</v>
      </c>
      <c r="C166" s="5" t="str">
        <f>LEFT(Form_Responses1[[#This Row],[問１　あなたは何年生ですか。]],3)</f>
        <v>中学校</v>
      </c>
      <c r="D166" s="7" t="s">
        <v>121</v>
      </c>
      <c r="E166" s="7" t="s">
        <v>10</v>
      </c>
      <c r="F166" s="7" t="s">
        <v>189</v>
      </c>
    </row>
    <row r="167" spans="1:6" ht="12.75">
      <c r="A167" s="6">
        <v>45624.658178275466</v>
      </c>
      <c r="B167" s="7" t="s">
        <v>5</v>
      </c>
      <c r="C167" s="5" t="str">
        <f>LEFT(Form_Responses1[[#This Row],[問１　あなたは何年生ですか。]],3)</f>
        <v>中学校</v>
      </c>
      <c r="D167" s="7" t="s">
        <v>190</v>
      </c>
      <c r="E167" s="7" t="s">
        <v>10</v>
      </c>
      <c r="F167" s="7" t="s">
        <v>191</v>
      </c>
    </row>
    <row r="168" spans="1:6" ht="12.75">
      <c r="A168" s="6">
        <v>45624.658181747684</v>
      </c>
      <c r="B168" s="7" t="s">
        <v>5</v>
      </c>
      <c r="C168" s="5" t="str">
        <f>LEFT(Form_Responses1[[#This Row],[問１　あなたは何年生ですか。]],3)</f>
        <v>中学校</v>
      </c>
      <c r="D168" s="7" t="s">
        <v>19</v>
      </c>
      <c r="E168" s="7" t="s">
        <v>7</v>
      </c>
      <c r="F168" s="8"/>
    </row>
    <row r="169" spans="1:6" ht="12.75">
      <c r="A169" s="6">
        <v>45624.658193414347</v>
      </c>
      <c r="B169" s="7" t="s">
        <v>5</v>
      </c>
      <c r="C169" s="5" t="str">
        <f>LEFT(Form_Responses1[[#This Row],[問１　あなたは何年生ですか。]],3)</f>
        <v>中学校</v>
      </c>
      <c r="D169" s="7" t="s">
        <v>30</v>
      </c>
      <c r="E169" s="7" t="s">
        <v>10</v>
      </c>
      <c r="F169" s="7" t="s">
        <v>192</v>
      </c>
    </row>
    <row r="170" spans="1:6" ht="12.75">
      <c r="A170" s="6">
        <v>45624.658207280096</v>
      </c>
      <c r="B170" s="7" t="s">
        <v>5</v>
      </c>
      <c r="C170" s="5" t="str">
        <f>LEFT(Form_Responses1[[#This Row],[問１　あなたは何年生ですか。]],3)</f>
        <v>中学校</v>
      </c>
      <c r="D170" s="7" t="s">
        <v>30</v>
      </c>
      <c r="E170" s="7" t="s">
        <v>10</v>
      </c>
      <c r="F170" s="7" t="s">
        <v>193</v>
      </c>
    </row>
    <row r="171" spans="1:6" ht="12.75">
      <c r="A171" s="6">
        <v>45624.658210578702</v>
      </c>
      <c r="B171" s="7" t="s">
        <v>16</v>
      </c>
      <c r="C171" s="5" t="str">
        <f>LEFT(Form_Responses1[[#This Row],[問１　あなたは何年生ですか。]],3)</f>
        <v>中学校</v>
      </c>
      <c r="D171" s="7" t="s">
        <v>6</v>
      </c>
      <c r="E171" s="7" t="s">
        <v>7</v>
      </c>
      <c r="F171" s="7" t="s">
        <v>194</v>
      </c>
    </row>
    <row r="172" spans="1:6" ht="12.75">
      <c r="A172" s="6">
        <v>45624.658211458329</v>
      </c>
      <c r="B172" s="7" t="s">
        <v>5</v>
      </c>
      <c r="C172" s="5" t="str">
        <f>LEFT(Form_Responses1[[#This Row],[問１　あなたは何年生ですか。]],3)</f>
        <v>中学校</v>
      </c>
      <c r="D172" s="7" t="s">
        <v>195</v>
      </c>
      <c r="E172" s="7" t="s">
        <v>7</v>
      </c>
      <c r="F172" s="7" t="s">
        <v>196</v>
      </c>
    </row>
    <row r="173" spans="1:6" ht="12.75">
      <c r="A173" s="6">
        <v>45624.65823163194</v>
      </c>
      <c r="B173" s="7" t="s">
        <v>5</v>
      </c>
      <c r="C173" s="5" t="str">
        <f>LEFT(Form_Responses1[[#This Row],[問１　あなたは何年生ですか。]],3)</f>
        <v>中学校</v>
      </c>
      <c r="D173" s="7" t="s">
        <v>30</v>
      </c>
      <c r="E173" s="7" t="s">
        <v>15</v>
      </c>
      <c r="F173" s="7" t="s">
        <v>197</v>
      </c>
    </row>
    <row r="174" spans="1:6" ht="12.75">
      <c r="A174" s="6">
        <v>45624.658243599537</v>
      </c>
      <c r="B174" s="7" t="s">
        <v>5</v>
      </c>
      <c r="C174" s="5" t="str">
        <f>LEFT(Form_Responses1[[#This Row],[問１　あなたは何年生ですか。]],3)</f>
        <v>中学校</v>
      </c>
      <c r="D174" s="7" t="s">
        <v>37</v>
      </c>
      <c r="E174" s="7" t="s">
        <v>15</v>
      </c>
      <c r="F174" s="7" t="s">
        <v>198</v>
      </c>
    </row>
    <row r="175" spans="1:6" ht="12.75">
      <c r="A175" s="6">
        <v>45624.658245706014</v>
      </c>
      <c r="B175" s="7" t="s">
        <v>16</v>
      </c>
      <c r="C175" s="5" t="str">
        <f>LEFT(Form_Responses1[[#This Row],[問１　あなたは何年生ですか。]],3)</f>
        <v>中学校</v>
      </c>
      <c r="D175" s="7" t="s">
        <v>6</v>
      </c>
      <c r="E175" s="7" t="s">
        <v>7</v>
      </c>
      <c r="F175" s="7" t="s">
        <v>199</v>
      </c>
    </row>
    <row r="176" spans="1:6" ht="12.75">
      <c r="A176" s="6">
        <v>45624.658272916669</v>
      </c>
      <c r="B176" s="7" t="s">
        <v>5</v>
      </c>
      <c r="C176" s="5" t="str">
        <f>LEFT(Form_Responses1[[#This Row],[問１　あなたは何年生ですか。]],3)</f>
        <v>中学校</v>
      </c>
      <c r="D176" s="7" t="s">
        <v>200</v>
      </c>
      <c r="E176" s="7" t="s">
        <v>10</v>
      </c>
      <c r="F176" s="7" t="s">
        <v>201</v>
      </c>
    </row>
    <row r="177" spans="1:6" ht="12.75">
      <c r="A177" s="6">
        <v>45624.658298090275</v>
      </c>
      <c r="B177" s="7" t="s">
        <v>16</v>
      </c>
      <c r="C177" s="5" t="str">
        <f>LEFT(Form_Responses1[[#This Row],[問１　あなたは何年生ですか。]],3)</f>
        <v>中学校</v>
      </c>
      <c r="D177" s="7" t="s">
        <v>202</v>
      </c>
      <c r="E177" s="7" t="s">
        <v>10</v>
      </c>
      <c r="F177" s="7" t="s">
        <v>203</v>
      </c>
    </row>
    <row r="178" spans="1:6" ht="12.75">
      <c r="A178" s="6">
        <v>45624.658352546292</v>
      </c>
      <c r="B178" s="7" t="s">
        <v>5</v>
      </c>
      <c r="C178" s="5" t="str">
        <f>LEFT(Form_Responses1[[#This Row],[問１　あなたは何年生ですか。]],3)</f>
        <v>中学校</v>
      </c>
      <c r="D178" s="7" t="s">
        <v>204</v>
      </c>
      <c r="E178" s="7" t="s">
        <v>10</v>
      </c>
      <c r="F178" s="8"/>
    </row>
    <row r="179" spans="1:6" ht="12.75">
      <c r="A179" s="6">
        <v>45624.658359537032</v>
      </c>
      <c r="B179" s="7" t="s">
        <v>5</v>
      </c>
      <c r="C179" s="5" t="str">
        <f>LEFT(Form_Responses1[[#This Row],[問１　あなたは何年生ですか。]],3)</f>
        <v>中学校</v>
      </c>
      <c r="D179" s="7" t="s">
        <v>19</v>
      </c>
      <c r="E179" s="7" t="s">
        <v>10</v>
      </c>
      <c r="F179" s="7" t="s">
        <v>205</v>
      </c>
    </row>
    <row r="180" spans="1:6" ht="12.75">
      <c r="A180" s="6">
        <v>45624.658380914349</v>
      </c>
      <c r="B180" s="7" t="s">
        <v>5</v>
      </c>
      <c r="C180" s="5" t="str">
        <f>LEFT(Form_Responses1[[#This Row],[問１　あなたは何年生ですか。]],3)</f>
        <v>中学校</v>
      </c>
      <c r="D180" s="7" t="s">
        <v>19</v>
      </c>
      <c r="E180" s="7" t="s">
        <v>10</v>
      </c>
      <c r="F180" s="7" t="s">
        <v>206</v>
      </c>
    </row>
    <row r="181" spans="1:6" ht="12.75">
      <c r="A181" s="6">
        <v>45624.658393391204</v>
      </c>
      <c r="B181" s="7" t="s">
        <v>5</v>
      </c>
      <c r="C181" s="5" t="str">
        <f>LEFT(Form_Responses1[[#This Row],[問１　あなたは何年生ですか。]],3)</f>
        <v>中学校</v>
      </c>
      <c r="D181" s="7" t="s">
        <v>19</v>
      </c>
      <c r="E181" s="7" t="s">
        <v>10</v>
      </c>
      <c r="F181" s="7" t="s">
        <v>207</v>
      </c>
    </row>
    <row r="182" spans="1:6" ht="12.75">
      <c r="A182" s="6">
        <v>45624.658439571758</v>
      </c>
      <c r="B182" s="7" t="s">
        <v>5</v>
      </c>
      <c r="C182" s="5" t="str">
        <f>LEFT(Form_Responses1[[#This Row],[問１　あなたは何年生ですか。]],3)</f>
        <v>中学校</v>
      </c>
      <c r="D182" s="7" t="s">
        <v>6</v>
      </c>
      <c r="E182" s="7" t="s">
        <v>10</v>
      </c>
      <c r="F182" s="7" t="s">
        <v>208</v>
      </c>
    </row>
    <row r="183" spans="1:6" ht="12.75">
      <c r="A183" s="6">
        <v>45624.658459895829</v>
      </c>
      <c r="B183" s="7" t="s">
        <v>5</v>
      </c>
      <c r="C183" s="5" t="str">
        <f>LEFT(Form_Responses1[[#This Row],[問１　あなたは何年生ですか。]],3)</f>
        <v>中学校</v>
      </c>
      <c r="D183" s="7" t="s">
        <v>19</v>
      </c>
      <c r="E183" s="7" t="s">
        <v>10</v>
      </c>
      <c r="F183" s="8"/>
    </row>
    <row r="184" spans="1:6" ht="12.75">
      <c r="A184" s="6">
        <v>45624.658465821762</v>
      </c>
      <c r="B184" s="7" t="s">
        <v>5</v>
      </c>
      <c r="C184" s="5" t="str">
        <f>LEFT(Form_Responses1[[#This Row],[問１　あなたは何年生ですか。]],3)</f>
        <v>中学校</v>
      </c>
      <c r="D184" s="7" t="s">
        <v>19</v>
      </c>
      <c r="E184" s="7" t="s">
        <v>10</v>
      </c>
      <c r="F184" s="7" t="s">
        <v>209</v>
      </c>
    </row>
    <row r="185" spans="1:6" ht="12.75">
      <c r="A185" s="6">
        <v>45624.658468275462</v>
      </c>
      <c r="B185" s="7" t="s">
        <v>5</v>
      </c>
      <c r="C185" s="5" t="str">
        <f>LEFT(Form_Responses1[[#This Row],[問１　あなたは何年生ですか。]],3)</f>
        <v>中学校</v>
      </c>
      <c r="D185" s="7" t="s">
        <v>6</v>
      </c>
      <c r="E185" s="7" t="s">
        <v>10</v>
      </c>
      <c r="F185" s="7" t="s">
        <v>210</v>
      </c>
    </row>
    <row r="186" spans="1:6" ht="12.75">
      <c r="A186" s="6">
        <v>45624.658608958329</v>
      </c>
      <c r="B186" s="7" t="s">
        <v>16</v>
      </c>
      <c r="C186" s="5" t="str">
        <f>LEFT(Form_Responses1[[#This Row],[問１　あなたは何年生ですか。]],3)</f>
        <v>中学校</v>
      </c>
      <c r="D186" s="7" t="s">
        <v>19</v>
      </c>
      <c r="E186" s="7" t="s">
        <v>10</v>
      </c>
      <c r="F186" s="7" t="s">
        <v>211</v>
      </c>
    </row>
    <row r="187" spans="1:6" ht="12.75">
      <c r="A187" s="6">
        <v>45624.658611701394</v>
      </c>
      <c r="B187" s="7" t="s">
        <v>5</v>
      </c>
      <c r="C187" s="5" t="str">
        <f>LEFT(Form_Responses1[[#This Row],[問１　あなたは何年生ですか。]],3)</f>
        <v>中学校</v>
      </c>
      <c r="D187" s="7" t="s">
        <v>212</v>
      </c>
      <c r="E187" s="7" t="s">
        <v>10</v>
      </c>
      <c r="F187" s="7" t="s">
        <v>213</v>
      </c>
    </row>
    <row r="188" spans="1:6" ht="12.75">
      <c r="A188" s="6">
        <v>45624.658743298613</v>
      </c>
      <c r="B188" s="7" t="s">
        <v>5</v>
      </c>
      <c r="C188" s="5" t="str">
        <f>LEFT(Form_Responses1[[#This Row],[問１　あなたは何年生ですか。]],3)</f>
        <v>中学校</v>
      </c>
      <c r="D188" s="7" t="s">
        <v>19</v>
      </c>
      <c r="E188" s="7" t="s">
        <v>15</v>
      </c>
      <c r="F188" s="7" t="s">
        <v>214</v>
      </c>
    </row>
    <row r="189" spans="1:6" ht="12.75">
      <c r="A189" s="6">
        <v>45624.658764942127</v>
      </c>
      <c r="B189" s="7" t="s">
        <v>5</v>
      </c>
      <c r="C189" s="5" t="str">
        <f>LEFT(Form_Responses1[[#This Row],[問１　あなたは何年生ですか。]],3)</f>
        <v>中学校</v>
      </c>
      <c r="D189" s="7" t="s">
        <v>6</v>
      </c>
      <c r="E189" s="7" t="s">
        <v>7</v>
      </c>
      <c r="F189" s="7" t="s">
        <v>110</v>
      </c>
    </row>
    <row r="190" spans="1:6" ht="12.75">
      <c r="A190" s="6">
        <v>45624.658798634264</v>
      </c>
      <c r="B190" s="7" t="s">
        <v>5</v>
      </c>
      <c r="C190" s="5" t="str">
        <f>LEFT(Form_Responses1[[#This Row],[問１　あなたは何年生ですか。]],3)</f>
        <v>中学校</v>
      </c>
      <c r="D190" s="7" t="s">
        <v>30</v>
      </c>
      <c r="E190" s="7" t="s">
        <v>10</v>
      </c>
      <c r="F190" s="7" t="s">
        <v>215</v>
      </c>
    </row>
    <row r="191" spans="1:6" ht="12.75">
      <c r="A191" s="6">
        <v>45624.658811585643</v>
      </c>
      <c r="B191" s="7" t="s">
        <v>16</v>
      </c>
      <c r="C191" s="5" t="str">
        <f>LEFT(Form_Responses1[[#This Row],[問１　あなたは何年生ですか。]],3)</f>
        <v>中学校</v>
      </c>
      <c r="D191" s="7" t="s">
        <v>17</v>
      </c>
      <c r="E191" s="7" t="s">
        <v>7</v>
      </c>
      <c r="F191" s="7" t="s">
        <v>216</v>
      </c>
    </row>
    <row r="192" spans="1:6" ht="12.75">
      <c r="A192" s="6">
        <v>45624.658950844911</v>
      </c>
      <c r="B192" s="7" t="s">
        <v>5</v>
      </c>
      <c r="C192" s="5" t="str">
        <f>LEFT(Form_Responses1[[#This Row],[問１　あなたは何年生ですか。]],3)</f>
        <v>中学校</v>
      </c>
      <c r="D192" s="7" t="s">
        <v>30</v>
      </c>
      <c r="E192" s="7" t="s">
        <v>7</v>
      </c>
      <c r="F192" s="7" t="s">
        <v>217</v>
      </c>
    </row>
    <row r="193" spans="1:6" ht="12.75">
      <c r="A193" s="6">
        <v>45624.65912935185</v>
      </c>
      <c r="B193" s="7" t="s">
        <v>5</v>
      </c>
      <c r="C193" s="5" t="str">
        <f>LEFT(Form_Responses1[[#This Row],[問１　あなたは何年生ですか。]],3)</f>
        <v>中学校</v>
      </c>
      <c r="D193" s="7" t="s">
        <v>6</v>
      </c>
      <c r="E193" s="7" t="s">
        <v>7</v>
      </c>
      <c r="F193" s="7" t="s">
        <v>218</v>
      </c>
    </row>
    <row r="194" spans="1:6" ht="12.75">
      <c r="A194" s="6">
        <v>45624.659195462962</v>
      </c>
      <c r="B194" s="7" t="s">
        <v>18</v>
      </c>
      <c r="C194" s="5" t="str">
        <f>LEFT(Form_Responses1[[#This Row],[問１　あなたは何年生ですか。]],3)</f>
        <v>中学校</v>
      </c>
      <c r="D194" s="7" t="s">
        <v>19</v>
      </c>
      <c r="E194" s="7" t="s">
        <v>15</v>
      </c>
      <c r="F194" s="7" t="s">
        <v>219</v>
      </c>
    </row>
    <row r="195" spans="1:6" ht="12.75">
      <c r="A195" s="6">
        <v>45624.659214004627</v>
      </c>
      <c r="B195" s="7" t="s">
        <v>5</v>
      </c>
      <c r="C195" s="5" t="str">
        <f>LEFT(Form_Responses1[[#This Row],[問１　あなたは何年生ですか。]],3)</f>
        <v>中学校</v>
      </c>
      <c r="D195" s="7" t="s">
        <v>220</v>
      </c>
      <c r="E195" s="7" t="s">
        <v>15</v>
      </c>
      <c r="F195" s="7" t="s">
        <v>221</v>
      </c>
    </row>
    <row r="196" spans="1:6" ht="12.75">
      <c r="A196" s="6">
        <v>45624.659846898146</v>
      </c>
      <c r="B196" s="7" t="s">
        <v>16</v>
      </c>
      <c r="C196" s="5" t="str">
        <f>LEFT(Form_Responses1[[#This Row],[問１　あなたは何年生ですか。]],3)</f>
        <v>中学校</v>
      </c>
      <c r="D196" s="7" t="s">
        <v>91</v>
      </c>
      <c r="E196" s="7" t="s">
        <v>10</v>
      </c>
      <c r="F196" s="7" t="s">
        <v>222</v>
      </c>
    </row>
    <row r="197" spans="1:6" ht="12.75">
      <c r="A197" s="6">
        <v>45624.659924837964</v>
      </c>
      <c r="B197" s="7" t="s">
        <v>16</v>
      </c>
      <c r="C197" s="5" t="str">
        <f>LEFT(Form_Responses1[[#This Row],[問１　あなたは何年生ですか。]],3)</f>
        <v>中学校</v>
      </c>
      <c r="D197" s="7" t="s">
        <v>223</v>
      </c>
      <c r="E197" s="7" t="s">
        <v>10</v>
      </c>
      <c r="F197" s="7" t="s">
        <v>224</v>
      </c>
    </row>
    <row r="198" spans="1:6" ht="12.75">
      <c r="A198" s="6">
        <v>45624.660093472223</v>
      </c>
      <c r="B198" s="7" t="s">
        <v>16</v>
      </c>
      <c r="C198" s="5" t="str">
        <f>LEFT(Form_Responses1[[#This Row],[問１　あなたは何年生ですか。]],3)</f>
        <v>中学校</v>
      </c>
      <c r="D198" s="7" t="s">
        <v>19</v>
      </c>
      <c r="E198" s="7" t="s">
        <v>10</v>
      </c>
      <c r="F198" s="8"/>
    </row>
    <row r="199" spans="1:6" ht="12.75">
      <c r="A199" s="6">
        <v>45624.660689328703</v>
      </c>
      <c r="B199" s="7" t="s">
        <v>16</v>
      </c>
      <c r="C199" s="5" t="str">
        <f>LEFT(Form_Responses1[[#This Row],[問１　あなたは何年生ですか。]],3)</f>
        <v>中学校</v>
      </c>
      <c r="D199" s="7" t="s">
        <v>6</v>
      </c>
      <c r="E199" s="7" t="s">
        <v>10</v>
      </c>
      <c r="F199" s="7" t="s">
        <v>225</v>
      </c>
    </row>
    <row r="200" spans="1:6" ht="12.75">
      <c r="A200" s="6">
        <v>45624.660797129633</v>
      </c>
      <c r="B200" s="7" t="s">
        <v>16</v>
      </c>
      <c r="C200" s="5" t="str">
        <f>LEFT(Form_Responses1[[#This Row],[問１　あなたは何年生ですか。]],3)</f>
        <v>中学校</v>
      </c>
      <c r="D200" s="7" t="s">
        <v>6</v>
      </c>
      <c r="E200" s="7" t="s">
        <v>10</v>
      </c>
      <c r="F200" s="7" t="s">
        <v>226</v>
      </c>
    </row>
    <row r="201" spans="1:6" ht="12.75">
      <c r="A201" s="6">
        <v>45624.660797777775</v>
      </c>
      <c r="B201" s="7" t="s">
        <v>16</v>
      </c>
      <c r="C201" s="5" t="str">
        <f>LEFT(Form_Responses1[[#This Row],[問１　あなたは何年生ですか。]],3)</f>
        <v>中学校</v>
      </c>
      <c r="D201" s="7" t="s">
        <v>14</v>
      </c>
      <c r="E201" s="7" t="s">
        <v>10</v>
      </c>
      <c r="F201" s="7" t="s">
        <v>227</v>
      </c>
    </row>
    <row r="202" spans="1:6" ht="12.75">
      <c r="A202" s="6">
        <v>45624.660857476847</v>
      </c>
      <c r="B202" s="7" t="s">
        <v>16</v>
      </c>
      <c r="C202" s="5" t="str">
        <f>LEFT(Form_Responses1[[#This Row],[問１　あなたは何年生ですか。]],3)</f>
        <v>中学校</v>
      </c>
      <c r="D202" s="7" t="s">
        <v>6</v>
      </c>
      <c r="E202" s="7" t="s">
        <v>7</v>
      </c>
      <c r="F202" s="7" t="s">
        <v>52</v>
      </c>
    </row>
    <row r="203" spans="1:6" ht="12.75">
      <c r="A203" s="6">
        <v>45624.660859490745</v>
      </c>
      <c r="B203" s="7" t="s">
        <v>16</v>
      </c>
      <c r="C203" s="5" t="str">
        <f>LEFT(Form_Responses1[[#This Row],[問１　あなたは何年生ですか。]],3)</f>
        <v>中学校</v>
      </c>
      <c r="D203" s="7" t="s">
        <v>154</v>
      </c>
      <c r="E203" s="7" t="s">
        <v>10</v>
      </c>
      <c r="F203" s="7" t="s">
        <v>228</v>
      </c>
    </row>
    <row r="204" spans="1:6" ht="12.75">
      <c r="A204" s="6">
        <v>45624.660915868051</v>
      </c>
      <c r="B204" s="7" t="s">
        <v>16</v>
      </c>
      <c r="C204" s="5" t="str">
        <f>LEFT(Form_Responses1[[#This Row],[問１　あなたは何年生ですか。]],3)</f>
        <v>中学校</v>
      </c>
      <c r="D204" s="7" t="s">
        <v>6</v>
      </c>
      <c r="E204" s="7" t="s">
        <v>7</v>
      </c>
      <c r="F204" s="7" t="s">
        <v>52</v>
      </c>
    </row>
    <row r="205" spans="1:6" ht="12.75">
      <c r="A205" s="6">
        <v>45624.660917187502</v>
      </c>
      <c r="B205" s="7" t="s">
        <v>16</v>
      </c>
      <c r="C205" s="5" t="str">
        <f>LEFT(Form_Responses1[[#This Row],[問１　あなたは何年生ですか。]],3)</f>
        <v>中学校</v>
      </c>
      <c r="D205" s="7" t="s">
        <v>229</v>
      </c>
      <c r="E205" s="7" t="s">
        <v>7</v>
      </c>
      <c r="F205" s="7" t="s">
        <v>230</v>
      </c>
    </row>
    <row r="206" spans="1:6" ht="12.75">
      <c r="A206" s="6">
        <v>45624.661015902777</v>
      </c>
      <c r="B206" s="7" t="s">
        <v>16</v>
      </c>
      <c r="C206" s="5" t="str">
        <f>LEFT(Form_Responses1[[#This Row],[問１　あなたは何年生ですか。]],3)</f>
        <v>中学校</v>
      </c>
      <c r="D206" s="7" t="s">
        <v>17</v>
      </c>
      <c r="E206" s="7" t="s">
        <v>10</v>
      </c>
      <c r="F206" s="7" t="s">
        <v>231</v>
      </c>
    </row>
    <row r="207" spans="1:6" ht="12.75">
      <c r="A207" s="6">
        <v>45624.66103560185</v>
      </c>
      <c r="B207" s="7" t="s">
        <v>18</v>
      </c>
      <c r="C207" s="5" t="str">
        <f>LEFT(Form_Responses1[[#This Row],[問１　あなたは何年生ですか。]],3)</f>
        <v>中学校</v>
      </c>
      <c r="D207" s="7" t="s">
        <v>6</v>
      </c>
      <c r="E207" s="7" t="s">
        <v>7</v>
      </c>
      <c r="F207" s="8"/>
    </row>
    <row r="208" spans="1:6" ht="12.75">
      <c r="A208" s="6">
        <v>45624.661044837965</v>
      </c>
      <c r="B208" s="7" t="s">
        <v>16</v>
      </c>
      <c r="C208" s="5" t="str">
        <f>LEFT(Form_Responses1[[#This Row],[問１　あなたは何年生ですか。]],3)</f>
        <v>中学校</v>
      </c>
      <c r="D208" s="7" t="s">
        <v>19</v>
      </c>
      <c r="E208" s="7" t="s">
        <v>10</v>
      </c>
      <c r="F208" s="7" t="s">
        <v>232</v>
      </c>
    </row>
    <row r="209" spans="1:6" ht="12.75">
      <c r="A209" s="6">
        <v>45624.661076990742</v>
      </c>
      <c r="B209" s="7" t="s">
        <v>16</v>
      </c>
      <c r="C209" s="5" t="str">
        <f>LEFT(Form_Responses1[[#This Row],[問１　あなたは何年生ですか。]],3)</f>
        <v>中学校</v>
      </c>
      <c r="D209" s="7" t="s">
        <v>24</v>
      </c>
      <c r="E209" s="7" t="s">
        <v>7</v>
      </c>
      <c r="F209" s="7" t="s">
        <v>233</v>
      </c>
    </row>
    <row r="210" spans="1:6" ht="12.75">
      <c r="A210" s="6">
        <v>45624.661112870366</v>
      </c>
      <c r="B210" s="7" t="s">
        <v>16</v>
      </c>
      <c r="C210" s="5" t="str">
        <f>LEFT(Form_Responses1[[#This Row],[問１　あなたは何年生ですか。]],3)</f>
        <v>中学校</v>
      </c>
      <c r="D210" s="7" t="s">
        <v>24</v>
      </c>
      <c r="E210" s="7" t="s">
        <v>10</v>
      </c>
      <c r="F210" s="7" t="s">
        <v>234</v>
      </c>
    </row>
    <row r="211" spans="1:6" ht="12.75">
      <c r="A211" s="6">
        <v>45624.661180104165</v>
      </c>
      <c r="B211" s="7" t="s">
        <v>23</v>
      </c>
      <c r="C211" s="5" t="str">
        <f>LEFT(Form_Responses1[[#This Row],[問１　あなたは何年生ですか。]],3)</f>
        <v>小学校</v>
      </c>
      <c r="D211" s="7" t="s">
        <v>229</v>
      </c>
      <c r="E211" s="7" t="s">
        <v>10</v>
      </c>
      <c r="F211" s="7" t="s">
        <v>230</v>
      </c>
    </row>
    <row r="212" spans="1:6" ht="12.75">
      <c r="A212" s="6">
        <v>45624.661181678239</v>
      </c>
      <c r="B212" s="7" t="s">
        <v>16</v>
      </c>
      <c r="C212" s="5" t="str">
        <f>LEFT(Form_Responses1[[#This Row],[問１　あなたは何年生ですか。]],3)</f>
        <v>中学校</v>
      </c>
      <c r="D212" s="7" t="s">
        <v>235</v>
      </c>
      <c r="E212" s="7" t="s">
        <v>67</v>
      </c>
      <c r="F212" s="8"/>
    </row>
    <row r="213" spans="1:6" ht="12.75">
      <c r="A213" s="6">
        <v>45624.661246250005</v>
      </c>
      <c r="B213" s="7" t="s">
        <v>16</v>
      </c>
      <c r="C213" s="5" t="str">
        <f>LEFT(Form_Responses1[[#This Row],[問１　あなたは何年生ですか。]],3)</f>
        <v>中学校</v>
      </c>
      <c r="D213" s="7" t="s">
        <v>19</v>
      </c>
      <c r="E213" s="7" t="s">
        <v>10</v>
      </c>
      <c r="F213" s="8"/>
    </row>
    <row r="214" spans="1:6" ht="12.75">
      <c r="A214" s="6">
        <v>45624.661264016206</v>
      </c>
      <c r="B214" s="7" t="s">
        <v>16</v>
      </c>
      <c r="C214" s="5" t="str">
        <f>LEFT(Form_Responses1[[#This Row],[問１　あなたは何年生ですか。]],3)</f>
        <v>中学校</v>
      </c>
      <c r="D214" s="7" t="s">
        <v>19</v>
      </c>
      <c r="E214" s="7" t="s">
        <v>67</v>
      </c>
      <c r="F214" s="7" t="s">
        <v>236</v>
      </c>
    </row>
    <row r="215" spans="1:6" ht="12.75">
      <c r="A215" s="6">
        <v>45624.661313402779</v>
      </c>
      <c r="B215" s="7" t="s">
        <v>16</v>
      </c>
      <c r="C215" s="5" t="str">
        <f>LEFT(Form_Responses1[[#This Row],[問１　あなたは何年生ですか。]],3)</f>
        <v>中学校</v>
      </c>
      <c r="D215" s="7" t="s">
        <v>237</v>
      </c>
      <c r="E215" s="7" t="s">
        <v>10</v>
      </c>
      <c r="F215" s="7" t="s">
        <v>238</v>
      </c>
    </row>
    <row r="216" spans="1:6" ht="12.75">
      <c r="A216" s="6">
        <v>45624.661342789354</v>
      </c>
      <c r="B216" s="7" t="s">
        <v>16</v>
      </c>
      <c r="C216" s="5" t="str">
        <f>LEFT(Form_Responses1[[#This Row],[問１　あなたは何年生ですか。]],3)</f>
        <v>中学校</v>
      </c>
      <c r="D216" s="7" t="s">
        <v>6</v>
      </c>
      <c r="E216" s="7" t="s">
        <v>10</v>
      </c>
      <c r="F216" s="8"/>
    </row>
    <row r="217" spans="1:6" ht="12.75">
      <c r="A217" s="6">
        <v>45624.661352418982</v>
      </c>
      <c r="B217" s="7" t="s">
        <v>16</v>
      </c>
      <c r="C217" s="5" t="str">
        <f>LEFT(Form_Responses1[[#This Row],[問１　あなたは何年生ですか。]],3)</f>
        <v>中学校</v>
      </c>
      <c r="D217" s="7" t="s">
        <v>6</v>
      </c>
      <c r="E217" s="7" t="s">
        <v>10</v>
      </c>
      <c r="F217" s="7" t="s">
        <v>239</v>
      </c>
    </row>
    <row r="218" spans="1:6" ht="12.75">
      <c r="A218" s="6">
        <v>45624.661361342594</v>
      </c>
      <c r="B218" s="7" t="s">
        <v>16</v>
      </c>
      <c r="C218" s="5" t="str">
        <f>LEFT(Form_Responses1[[#This Row],[問１　あなたは何年生ですか。]],3)</f>
        <v>中学校</v>
      </c>
      <c r="D218" s="7" t="s">
        <v>12</v>
      </c>
      <c r="E218" s="7" t="s">
        <v>10</v>
      </c>
      <c r="F218" s="7" t="s">
        <v>240</v>
      </c>
    </row>
    <row r="219" spans="1:6" ht="12.75">
      <c r="A219" s="6">
        <v>45624.661410115739</v>
      </c>
      <c r="B219" s="7" t="s">
        <v>16</v>
      </c>
      <c r="C219" s="5" t="str">
        <f>LEFT(Form_Responses1[[#This Row],[問１　あなたは何年生ですか。]],3)</f>
        <v>中学校</v>
      </c>
      <c r="D219" s="7" t="s">
        <v>19</v>
      </c>
      <c r="E219" s="7" t="s">
        <v>10</v>
      </c>
      <c r="F219" s="7" t="s">
        <v>241</v>
      </c>
    </row>
    <row r="220" spans="1:6" ht="12.75">
      <c r="A220" s="6">
        <v>45624.661417916665</v>
      </c>
      <c r="B220" s="7" t="s">
        <v>16</v>
      </c>
      <c r="C220" s="5" t="str">
        <f>LEFT(Form_Responses1[[#This Row],[問１　あなたは何年生ですか。]],3)</f>
        <v>中学校</v>
      </c>
      <c r="D220" s="7" t="s">
        <v>17</v>
      </c>
      <c r="E220" s="7" t="s">
        <v>10</v>
      </c>
      <c r="F220" s="7" t="s">
        <v>242</v>
      </c>
    </row>
    <row r="221" spans="1:6" ht="12.75">
      <c r="A221" s="6">
        <v>45624.661502650459</v>
      </c>
      <c r="B221" s="7" t="s">
        <v>16</v>
      </c>
      <c r="C221" s="5" t="str">
        <f>LEFT(Form_Responses1[[#This Row],[問１　あなたは何年生ですか。]],3)</f>
        <v>中学校</v>
      </c>
      <c r="D221" s="7" t="s">
        <v>243</v>
      </c>
      <c r="E221" s="7" t="s">
        <v>10</v>
      </c>
      <c r="F221" s="7" t="s">
        <v>244</v>
      </c>
    </row>
    <row r="222" spans="1:6" ht="12.75">
      <c r="A222" s="6">
        <v>45624.661508287041</v>
      </c>
      <c r="B222" s="7" t="s">
        <v>16</v>
      </c>
      <c r="C222" s="5" t="str">
        <f>LEFT(Form_Responses1[[#This Row],[問１　あなたは何年生ですか。]],3)</f>
        <v>中学校</v>
      </c>
      <c r="D222" s="7" t="s">
        <v>6</v>
      </c>
      <c r="E222" s="7" t="s">
        <v>10</v>
      </c>
      <c r="F222" s="7" t="s">
        <v>245</v>
      </c>
    </row>
    <row r="223" spans="1:6" ht="12.75">
      <c r="A223" s="6">
        <v>45624.661541215275</v>
      </c>
      <c r="B223" s="7" t="s">
        <v>5</v>
      </c>
      <c r="C223" s="5" t="str">
        <f>LEFT(Form_Responses1[[#This Row],[問１　あなたは何年生ですか。]],3)</f>
        <v>中学校</v>
      </c>
      <c r="D223" s="7" t="s">
        <v>246</v>
      </c>
      <c r="E223" s="7" t="s">
        <v>10</v>
      </c>
      <c r="F223" s="7" t="s">
        <v>247</v>
      </c>
    </row>
    <row r="224" spans="1:6" ht="12.75">
      <c r="A224" s="6">
        <v>45624.661571909717</v>
      </c>
      <c r="B224" s="7" t="s">
        <v>16</v>
      </c>
      <c r="C224" s="5" t="str">
        <f>LEFT(Form_Responses1[[#This Row],[問１　あなたは何年生ですか。]],3)</f>
        <v>中学校</v>
      </c>
      <c r="D224" s="7" t="s">
        <v>6</v>
      </c>
      <c r="E224" s="7" t="s">
        <v>15</v>
      </c>
      <c r="F224" s="8"/>
    </row>
    <row r="225" spans="1:6" ht="12.75">
      <c r="A225" s="6">
        <v>45624.661684548613</v>
      </c>
      <c r="B225" s="7" t="s">
        <v>16</v>
      </c>
      <c r="C225" s="5" t="str">
        <f>LEFT(Form_Responses1[[#This Row],[問１　あなたは何年生ですか。]],3)</f>
        <v>中学校</v>
      </c>
      <c r="D225" s="7" t="s">
        <v>19</v>
      </c>
      <c r="E225" s="7" t="s">
        <v>10</v>
      </c>
      <c r="F225" s="8"/>
    </row>
    <row r="226" spans="1:6" ht="12.75">
      <c r="A226" s="6">
        <v>45624.661734444446</v>
      </c>
      <c r="B226" s="7" t="s">
        <v>16</v>
      </c>
      <c r="C226" s="5" t="str">
        <f>LEFT(Form_Responses1[[#This Row],[問１　あなたは何年生ですか。]],3)</f>
        <v>中学校</v>
      </c>
      <c r="D226" s="7" t="s">
        <v>19</v>
      </c>
      <c r="E226" s="7" t="s">
        <v>10</v>
      </c>
      <c r="F226" s="7" t="s">
        <v>248</v>
      </c>
    </row>
    <row r="227" spans="1:6" ht="12.75">
      <c r="A227" s="6">
        <v>45624.661750567131</v>
      </c>
      <c r="B227" s="7" t="s">
        <v>16</v>
      </c>
      <c r="C227" s="5" t="str">
        <f>LEFT(Form_Responses1[[#This Row],[問１　あなたは何年生ですか。]],3)</f>
        <v>中学校</v>
      </c>
      <c r="D227" s="7" t="s">
        <v>6</v>
      </c>
      <c r="E227" s="7" t="s">
        <v>10</v>
      </c>
      <c r="F227" s="7" t="s">
        <v>249</v>
      </c>
    </row>
    <row r="228" spans="1:6" ht="12.75">
      <c r="A228" s="6">
        <v>45624.6618909838</v>
      </c>
      <c r="B228" s="7" t="s">
        <v>16</v>
      </c>
      <c r="C228" s="5" t="str">
        <f>LEFT(Form_Responses1[[#This Row],[問１　あなたは何年生ですか。]],3)</f>
        <v>中学校</v>
      </c>
      <c r="D228" s="7" t="s">
        <v>14</v>
      </c>
      <c r="E228" s="7" t="s">
        <v>10</v>
      </c>
      <c r="F228" s="7" t="s">
        <v>250</v>
      </c>
    </row>
    <row r="229" spans="1:6" ht="12.75">
      <c r="A229" s="6">
        <v>45624.661894108795</v>
      </c>
      <c r="B229" s="7" t="s">
        <v>16</v>
      </c>
      <c r="C229" s="5" t="str">
        <f>LEFT(Form_Responses1[[#This Row],[問１　あなたは何年生ですか。]],3)</f>
        <v>中学校</v>
      </c>
      <c r="D229" s="7" t="s">
        <v>37</v>
      </c>
      <c r="E229" s="7" t="s">
        <v>15</v>
      </c>
      <c r="F229" s="7" t="s">
        <v>251</v>
      </c>
    </row>
    <row r="230" spans="1:6" ht="12.75">
      <c r="A230" s="6">
        <v>45624.661992349538</v>
      </c>
      <c r="B230" s="7" t="s">
        <v>16</v>
      </c>
      <c r="C230" s="5" t="str">
        <f>LEFT(Form_Responses1[[#This Row],[問１　あなたは何年生ですか。]],3)</f>
        <v>中学校</v>
      </c>
      <c r="D230" s="7" t="s">
        <v>30</v>
      </c>
      <c r="E230" s="7" t="s">
        <v>10</v>
      </c>
      <c r="F230" s="8"/>
    </row>
    <row r="231" spans="1:6" ht="12.75">
      <c r="A231" s="6">
        <v>45624.662030254629</v>
      </c>
      <c r="B231" s="7" t="s">
        <v>16</v>
      </c>
      <c r="C231" s="5" t="str">
        <f>LEFT(Form_Responses1[[#This Row],[問１　あなたは何年生ですか。]],3)</f>
        <v>中学校</v>
      </c>
      <c r="D231" s="7" t="s">
        <v>252</v>
      </c>
      <c r="E231" s="7" t="s">
        <v>10</v>
      </c>
      <c r="F231" s="7" t="s">
        <v>253</v>
      </c>
    </row>
    <row r="232" spans="1:6" ht="12.75">
      <c r="A232" s="6">
        <v>45624.662058020833</v>
      </c>
      <c r="B232" s="7" t="s">
        <v>16</v>
      </c>
      <c r="C232" s="5" t="str">
        <f>LEFT(Form_Responses1[[#This Row],[問１　あなたは何年生ですか。]],3)</f>
        <v>中学校</v>
      </c>
      <c r="D232" s="7" t="s">
        <v>12</v>
      </c>
      <c r="E232" s="7" t="s">
        <v>10</v>
      </c>
      <c r="F232" s="7" t="s">
        <v>254</v>
      </c>
    </row>
    <row r="233" spans="1:6" ht="12.75">
      <c r="A233" s="6">
        <v>45624.662093460647</v>
      </c>
      <c r="B233" s="7" t="s">
        <v>16</v>
      </c>
      <c r="C233" s="5" t="str">
        <f>LEFT(Form_Responses1[[#This Row],[問１　あなたは何年生ですか。]],3)</f>
        <v>中学校</v>
      </c>
      <c r="D233" s="7" t="s">
        <v>19</v>
      </c>
      <c r="E233" s="7" t="s">
        <v>10</v>
      </c>
      <c r="F233" s="7" t="s">
        <v>255</v>
      </c>
    </row>
    <row r="234" spans="1:6" ht="12.75">
      <c r="A234" s="6">
        <v>45624.662114594903</v>
      </c>
      <c r="B234" s="7" t="s">
        <v>16</v>
      </c>
      <c r="C234" s="5" t="str">
        <f>LEFT(Form_Responses1[[#This Row],[問１　あなたは何年生ですか。]],3)</f>
        <v>中学校</v>
      </c>
      <c r="D234" s="7" t="s">
        <v>17</v>
      </c>
      <c r="E234" s="7" t="s">
        <v>10</v>
      </c>
      <c r="F234" s="7" t="s">
        <v>256</v>
      </c>
    </row>
    <row r="235" spans="1:6" ht="12.75">
      <c r="A235" s="6">
        <v>45624.66213636574</v>
      </c>
      <c r="B235" s="7" t="s">
        <v>16</v>
      </c>
      <c r="C235" s="5" t="str">
        <f>LEFT(Form_Responses1[[#This Row],[問１　あなたは何年生ですか。]],3)</f>
        <v>中学校</v>
      </c>
      <c r="D235" s="7" t="s">
        <v>24</v>
      </c>
      <c r="E235" s="7" t="s">
        <v>10</v>
      </c>
      <c r="F235" s="7" t="s">
        <v>257</v>
      </c>
    </row>
    <row r="236" spans="1:6" ht="12.75">
      <c r="A236" s="6">
        <v>45624.662139456021</v>
      </c>
      <c r="B236" s="7" t="s">
        <v>16</v>
      </c>
      <c r="C236" s="5" t="str">
        <f>LEFT(Form_Responses1[[#This Row],[問１　あなたは何年生ですか。]],3)</f>
        <v>中学校</v>
      </c>
      <c r="D236" s="7" t="s">
        <v>258</v>
      </c>
      <c r="E236" s="7" t="s">
        <v>10</v>
      </c>
      <c r="F236" s="7" t="s">
        <v>259</v>
      </c>
    </row>
    <row r="237" spans="1:6" ht="12.75">
      <c r="A237" s="6">
        <v>45624.662296122682</v>
      </c>
      <c r="B237" s="7" t="s">
        <v>13</v>
      </c>
      <c r="C237" s="5" t="str">
        <f>LEFT(Form_Responses1[[#This Row],[問１　あなたは何年生ですか。]],3)</f>
        <v>小学校</v>
      </c>
      <c r="D237" s="7" t="s">
        <v>14</v>
      </c>
      <c r="E237" s="7" t="s">
        <v>7</v>
      </c>
      <c r="F237" s="7" t="s">
        <v>260</v>
      </c>
    </row>
    <row r="238" spans="1:6" ht="12.75">
      <c r="A238" s="6">
        <v>45624.662300625001</v>
      </c>
      <c r="B238" s="7" t="s">
        <v>16</v>
      </c>
      <c r="C238" s="5" t="str">
        <f>LEFT(Form_Responses1[[#This Row],[問１　あなたは何年生ですか。]],3)</f>
        <v>中学校</v>
      </c>
      <c r="D238" s="7" t="s">
        <v>19</v>
      </c>
      <c r="E238" s="7" t="s">
        <v>10</v>
      </c>
      <c r="F238" s="7" t="s">
        <v>261</v>
      </c>
    </row>
    <row r="239" spans="1:6" ht="12.75">
      <c r="A239" s="6">
        <v>45624.662504953703</v>
      </c>
      <c r="B239" s="7" t="s">
        <v>16</v>
      </c>
      <c r="C239" s="5" t="str">
        <f>LEFT(Form_Responses1[[#This Row],[問１　あなたは何年生ですか。]],3)</f>
        <v>中学校</v>
      </c>
      <c r="D239" s="7" t="s">
        <v>262</v>
      </c>
      <c r="E239" s="7" t="s">
        <v>10</v>
      </c>
      <c r="F239" s="7" t="s">
        <v>263</v>
      </c>
    </row>
    <row r="240" spans="1:6" ht="12.75">
      <c r="A240" s="6">
        <v>45624.662539722223</v>
      </c>
      <c r="B240" s="7" t="s">
        <v>16</v>
      </c>
      <c r="C240" s="5" t="str">
        <f>LEFT(Form_Responses1[[#This Row],[問１　あなたは何年生ですか。]],3)</f>
        <v>中学校</v>
      </c>
      <c r="D240" s="7" t="s">
        <v>14</v>
      </c>
      <c r="E240" s="7" t="s">
        <v>10</v>
      </c>
      <c r="F240" s="7" t="s">
        <v>260</v>
      </c>
    </row>
    <row r="241" spans="1:6" ht="12.75">
      <c r="A241" s="6">
        <v>45624.662606423612</v>
      </c>
      <c r="B241" s="7" t="s">
        <v>18</v>
      </c>
      <c r="C241" s="5" t="str">
        <f>LEFT(Form_Responses1[[#This Row],[問１　あなたは何年生ですか。]],3)</f>
        <v>中学校</v>
      </c>
      <c r="D241" s="7" t="s">
        <v>17</v>
      </c>
      <c r="E241" s="7" t="s">
        <v>10</v>
      </c>
      <c r="F241" s="7" t="s">
        <v>264</v>
      </c>
    </row>
    <row r="242" spans="1:6" ht="12.75">
      <c r="A242" s="6">
        <v>45624.662663506941</v>
      </c>
      <c r="B242" s="7" t="s">
        <v>16</v>
      </c>
      <c r="C242" s="5" t="str">
        <f>LEFT(Form_Responses1[[#This Row],[問１　あなたは何年生ですか。]],3)</f>
        <v>中学校</v>
      </c>
      <c r="D242" s="7" t="s">
        <v>24</v>
      </c>
      <c r="E242" s="7" t="s">
        <v>15</v>
      </c>
      <c r="F242" s="7" t="s">
        <v>20</v>
      </c>
    </row>
    <row r="243" spans="1:6" ht="12.75">
      <c r="A243" s="6">
        <v>45624.662847233798</v>
      </c>
      <c r="B243" s="7" t="s">
        <v>16</v>
      </c>
      <c r="C243" s="5" t="str">
        <f>LEFT(Form_Responses1[[#This Row],[問１　あなたは何年生ですか。]],3)</f>
        <v>中学校</v>
      </c>
      <c r="D243" s="7" t="s">
        <v>12</v>
      </c>
      <c r="E243" s="7" t="s">
        <v>67</v>
      </c>
      <c r="F243" s="7" t="s">
        <v>265</v>
      </c>
    </row>
    <row r="244" spans="1:6" ht="12.75">
      <c r="A244" s="6">
        <v>45624.662890601852</v>
      </c>
      <c r="B244" s="7" t="s">
        <v>16</v>
      </c>
      <c r="C244" s="5" t="str">
        <f>LEFT(Form_Responses1[[#This Row],[問１　あなたは何年生ですか。]],3)</f>
        <v>中学校</v>
      </c>
      <c r="D244" s="7" t="s">
        <v>19</v>
      </c>
      <c r="E244" s="7" t="s">
        <v>10</v>
      </c>
      <c r="F244" s="7" t="s">
        <v>266</v>
      </c>
    </row>
    <row r="245" spans="1:6" ht="12.75">
      <c r="A245" s="6">
        <v>45624.663046238427</v>
      </c>
      <c r="B245" s="7" t="s">
        <v>16</v>
      </c>
      <c r="C245" s="5" t="str">
        <f>LEFT(Form_Responses1[[#This Row],[問１　あなたは何年生ですか。]],3)</f>
        <v>中学校</v>
      </c>
      <c r="D245" s="7" t="s">
        <v>14</v>
      </c>
      <c r="E245" s="7" t="s">
        <v>7</v>
      </c>
      <c r="F245" s="7" t="s">
        <v>267</v>
      </c>
    </row>
    <row r="246" spans="1:6" ht="12.75">
      <c r="A246" s="6">
        <v>45624.663289537042</v>
      </c>
      <c r="B246" s="7" t="s">
        <v>16</v>
      </c>
      <c r="C246" s="5" t="str">
        <f>LEFT(Form_Responses1[[#This Row],[問１　あなたは何年生ですか。]],3)</f>
        <v>中学校</v>
      </c>
      <c r="D246" s="7" t="s">
        <v>12</v>
      </c>
      <c r="E246" s="7" t="s">
        <v>10</v>
      </c>
      <c r="F246" s="7" t="s">
        <v>268</v>
      </c>
    </row>
    <row r="247" spans="1:6" ht="12.75">
      <c r="A247" s="6">
        <v>45624.66439957176</v>
      </c>
      <c r="B247" s="7" t="s">
        <v>16</v>
      </c>
      <c r="C247" s="5" t="str">
        <f>LEFT(Form_Responses1[[#This Row],[問１　あなたは何年生ですか。]],3)</f>
        <v>中学校</v>
      </c>
      <c r="D247" s="7" t="s">
        <v>6</v>
      </c>
      <c r="E247" s="7" t="s">
        <v>10</v>
      </c>
      <c r="F247" s="8"/>
    </row>
    <row r="248" spans="1:6" ht="12.75">
      <c r="A248" s="6">
        <v>45624.667783472221</v>
      </c>
      <c r="B248" s="7" t="s">
        <v>18</v>
      </c>
      <c r="C248" s="5" t="str">
        <f>LEFT(Form_Responses1[[#This Row],[問１　あなたは何年生ですか。]],3)</f>
        <v>中学校</v>
      </c>
      <c r="D248" s="7" t="s">
        <v>19</v>
      </c>
      <c r="E248" s="7" t="s">
        <v>7</v>
      </c>
      <c r="F248" s="7" t="s">
        <v>269</v>
      </c>
    </row>
    <row r="249" spans="1:6" ht="12.75">
      <c r="A249" s="6">
        <v>45624.721051192129</v>
      </c>
      <c r="B249" s="7" t="s">
        <v>16</v>
      </c>
      <c r="C249" s="5" t="str">
        <f>LEFT(Form_Responses1[[#This Row],[問１　あなたは何年生ですか。]],3)</f>
        <v>中学校</v>
      </c>
      <c r="D249" s="7" t="s">
        <v>19</v>
      </c>
      <c r="E249" s="7" t="s">
        <v>67</v>
      </c>
      <c r="F249" s="7" t="s">
        <v>270</v>
      </c>
    </row>
    <row r="250" spans="1:6" ht="12.75">
      <c r="A250" s="6">
        <v>45625.329816608792</v>
      </c>
      <c r="B250" s="7" t="s">
        <v>23</v>
      </c>
      <c r="C250" s="5" t="str">
        <f>LEFT(Form_Responses1[[#This Row],[問１　あなたは何年生ですか。]],3)</f>
        <v>小学校</v>
      </c>
      <c r="D250" s="7" t="s">
        <v>19</v>
      </c>
      <c r="E250" s="7" t="s">
        <v>7</v>
      </c>
      <c r="F250" s="8"/>
    </row>
    <row r="251" spans="1:6" ht="12.75">
      <c r="A251" s="6">
        <v>45625.330122719912</v>
      </c>
      <c r="B251" s="7" t="s">
        <v>23</v>
      </c>
      <c r="C251" s="5" t="str">
        <f>LEFT(Form_Responses1[[#This Row],[問１　あなたは何年生ですか。]],3)</f>
        <v>小学校</v>
      </c>
      <c r="D251" s="7" t="s">
        <v>19</v>
      </c>
      <c r="E251" s="7" t="s">
        <v>7</v>
      </c>
      <c r="F251" s="7" t="s">
        <v>235</v>
      </c>
    </row>
    <row r="252" spans="1:6" ht="12.75">
      <c r="A252" s="6">
        <v>45625.330222164353</v>
      </c>
      <c r="B252" s="7" t="s">
        <v>23</v>
      </c>
      <c r="C252" s="5" t="str">
        <f>LEFT(Form_Responses1[[#This Row],[問１　あなたは何年生ですか。]],3)</f>
        <v>小学校</v>
      </c>
      <c r="D252" s="7" t="s">
        <v>6</v>
      </c>
      <c r="E252" s="7" t="s">
        <v>10</v>
      </c>
      <c r="F252" s="7" t="s">
        <v>271</v>
      </c>
    </row>
    <row r="253" spans="1:6" ht="12.75">
      <c r="A253" s="6">
        <v>45625.330287199075</v>
      </c>
      <c r="B253" s="7" t="s">
        <v>23</v>
      </c>
      <c r="C253" s="5" t="str">
        <f>LEFT(Form_Responses1[[#This Row],[問１　あなたは何年生ですか。]],3)</f>
        <v>小学校</v>
      </c>
      <c r="D253" s="7" t="s">
        <v>22</v>
      </c>
      <c r="E253" s="7" t="s">
        <v>7</v>
      </c>
      <c r="F253" s="7" t="s">
        <v>272</v>
      </c>
    </row>
    <row r="254" spans="1:6" ht="12.75">
      <c r="A254" s="6">
        <v>45625.330671909724</v>
      </c>
      <c r="B254" s="7" t="s">
        <v>23</v>
      </c>
      <c r="C254" s="5" t="str">
        <f>LEFT(Form_Responses1[[#This Row],[問１　あなたは何年生ですか。]],3)</f>
        <v>小学校</v>
      </c>
      <c r="D254" s="7" t="s">
        <v>273</v>
      </c>
      <c r="E254" s="7" t="s">
        <v>15</v>
      </c>
      <c r="F254" s="7" t="s">
        <v>274</v>
      </c>
    </row>
    <row r="255" spans="1:6" ht="12.75">
      <c r="A255" s="6">
        <v>45625.330796273149</v>
      </c>
      <c r="B255" s="7" t="s">
        <v>11</v>
      </c>
      <c r="C255" s="5" t="str">
        <f>LEFT(Form_Responses1[[#This Row],[問１　あなたは何年生ですか。]],3)</f>
        <v>小学校</v>
      </c>
      <c r="D255" s="7" t="s">
        <v>275</v>
      </c>
      <c r="E255" s="7" t="s">
        <v>10</v>
      </c>
      <c r="F255" s="7" t="s">
        <v>276</v>
      </c>
    </row>
    <row r="256" spans="1:6" ht="12.75">
      <c r="A256" s="6">
        <v>45625.330844918979</v>
      </c>
      <c r="B256" s="7" t="s">
        <v>23</v>
      </c>
      <c r="C256" s="5" t="str">
        <f>LEFT(Form_Responses1[[#This Row],[問１　あなたは何年生ですか。]],3)</f>
        <v>小学校</v>
      </c>
      <c r="D256" s="7" t="s">
        <v>6</v>
      </c>
      <c r="E256" s="7" t="s">
        <v>7</v>
      </c>
      <c r="F256" s="7" t="s">
        <v>277</v>
      </c>
    </row>
    <row r="257" spans="1:6" ht="12.75">
      <c r="A257" s="6">
        <v>45625.33125278935</v>
      </c>
      <c r="B257" s="7" t="s">
        <v>23</v>
      </c>
      <c r="C257" s="5" t="str">
        <f>LEFT(Form_Responses1[[#This Row],[問１　あなたは何年生ですか。]],3)</f>
        <v>小学校</v>
      </c>
      <c r="D257" s="7" t="s">
        <v>121</v>
      </c>
      <c r="E257" s="7" t="s">
        <v>10</v>
      </c>
      <c r="F257" s="7" t="s">
        <v>278</v>
      </c>
    </row>
    <row r="258" spans="1:6" ht="12.75">
      <c r="A258" s="6">
        <v>45625.331349212967</v>
      </c>
      <c r="B258" s="7" t="s">
        <v>23</v>
      </c>
      <c r="C258" s="5" t="str">
        <f>LEFT(Form_Responses1[[#This Row],[問１　あなたは何年生ですか。]],3)</f>
        <v>小学校</v>
      </c>
      <c r="D258" s="7" t="s">
        <v>17</v>
      </c>
      <c r="E258" s="7" t="s">
        <v>10</v>
      </c>
      <c r="F258" s="7" t="s">
        <v>279</v>
      </c>
    </row>
    <row r="259" spans="1:6" ht="12.75">
      <c r="A259" s="6">
        <v>45625.33136048611</v>
      </c>
      <c r="B259" s="7" t="s">
        <v>23</v>
      </c>
      <c r="C259" s="5" t="str">
        <f>LEFT(Form_Responses1[[#This Row],[問１　あなたは何年生ですか。]],3)</f>
        <v>小学校</v>
      </c>
      <c r="D259" s="7" t="s">
        <v>19</v>
      </c>
      <c r="E259" s="7" t="s">
        <v>7</v>
      </c>
      <c r="F259" s="7" t="s">
        <v>280</v>
      </c>
    </row>
    <row r="260" spans="1:6" ht="12.75">
      <c r="A260" s="6">
        <v>45625.331529143514</v>
      </c>
      <c r="B260" s="7" t="s">
        <v>23</v>
      </c>
      <c r="C260" s="5" t="str">
        <f>LEFT(Form_Responses1[[#This Row],[問１　あなたは何年生ですか。]],3)</f>
        <v>小学校</v>
      </c>
      <c r="D260" s="7" t="s">
        <v>19</v>
      </c>
      <c r="E260" s="7" t="s">
        <v>7</v>
      </c>
      <c r="F260" s="7" t="s">
        <v>281</v>
      </c>
    </row>
    <row r="261" spans="1:6" ht="12.75">
      <c r="A261" s="6">
        <v>45625.331670046296</v>
      </c>
      <c r="B261" s="7" t="s">
        <v>23</v>
      </c>
      <c r="C261" s="5" t="str">
        <f>LEFT(Form_Responses1[[#This Row],[問１　あなたは何年生ですか。]],3)</f>
        <v>小学校</v>
      </c>
      <c r="D261" s="7" t="s">
        <v>30</v>
      </c>
      <c r="E261" s="7" t="s">
        <v>10</v>
      </c>
      <c r="F261" s="7" t="s">
        <v>282</v>
      </c>
    </row>
    <row r="262" spans="1:6" ht="12.75">
      <c r="A262" s="6">
        <v>45625.331681203708</v>
      </c>
      <c r="B262" s="7" t="s">
        <v>23</v>
      </c>
      <c r="C262" s="5" t="str">
        <f>LEFT(Form_Responses1[[#This Row],[問１　あなたは何年生ですか。]],3)</f>
        <v>小学校</v>
      </c>
      <c r="D262" s="7" t="s">
        <v>6</v>
      </c>
      <c r="E262" s="7" t="s">
        <v>7</v>
      </c>
      <c r="F262" s="7" t="s">
        <v>283</v>
      </c>
    </row>
    <row r="263" spans="1:6" ht="12.75">
      <c r="A263" s="6">
        <v>45625.33183693287</v>
      </c>
      <c r="B263" s="7" t="s">
        <v>23</v>
      </c>
      <c r="C263" s="5" t="str">
        <f>LEFT(Form_Responses1[[#This Row],[問１　あなたは何年生ですか。]],3)</f>
        <v>小学校</v>
      </c>
      <c r="D263" s="7" t="s">
        <v>284</v>
      </c>
      <c r="E263" s="7" t="s">
        <v>10</v>
      </c>
      <c r="F263" s="7" t="s">
        <v>79</v>
      </c>
    </row>
    <row r="264" spans="1:6" ht="12.75">
      <c r="A264" s="6">
        <v>45625.33224476852</v>
      </c>
      <c r="B264" s="7" t="s">
        <v>23</v>
      </c>
      <c r="C264" s="5" t="str">
        <f>LEFT(Form_Responses1[[#This Row],[問１　あなたは何年生ですか。]],3)</f>
        <v>小学校</v>
      </c>
      <c r="D264" s="7" t="s">
        <v>19</v>
      </c>
      <c r="E264" s="7" t="s">
        <v>7</v>
      </c>
      <c r="F264" s="7" t="s">
        <v>285</v>
      </c>
    </row>
    <row r="265" spans="1:6" ht="12.75">
      <c r="A265" s="6">
        <v>45625.332593726853</v>
      </c>
      <c r="B265" s="7" t="s">
        <v>23</v>
      </c>
      <c r="C265" s="5" t="str">
        <f>LEFT(Form_Responses1[[#This Row],[問１　あなたは何年生ですか。]],3)</f>
        <v>小学校</v>
      </c>
      <c r="D265" s="7" t="s">
        <v>30</v>
      </c>
      <c r="E265" s="7" t="s">
        <v>7</v>
      </c>
      <c r="F265" s="7" t="s">
        <v>286</v>
      </c>
    </row>
    <row r="266" spans="1:6" ht="12.75">
      <c r="A266" s="6">
        <v>45625.332903113427</v>
      </c>
      <c r="B266" s="7" t="s">
        <v>23</v>
      </c>
      <c r="C266" s="5" t="str">
        <f>LEFT(Form_Responses1[[#This Row],[問１　あなたは何年生ですか。]],3)</f>
        <v>小学校</v>
      </c>
      <c r="D266" s="7" t="s">
        <v>19</v>
      </c>
      <c r="E266" s="7" t="s">
        <v>15</v>
      </c>
      <c r="F266" s="7" t="s">
        <v>287</v>
      </c>
    </row>
    <row r="267" spans="1:6" ht="12.75">
      <c r="A267" s="6">
        <v>45625.335942476857</v>
      </c>
      <c r="B267" s="7" t="s">
        <v>11</v>
      </c>
      <c r="C267" s="5" t="str">
        <f>LEFT(Form_Responses1[[#This Row],[問１　あなたは何年生ですか。]],3)</f>
        <v>小学校</v>
      </c>
      <c r="D267" s="7" t="s">
        <v>6</v>
      </c>
      <c r="E267" s="7" t="s">
        <v>7</v>
      </c>
      <c r="F267" s="7" t="s">
        <v>288</v>
      </c>
    </row>
    <row r="268" spans="1:6" ht="12.75">
      <c r="A268" s="6">
        <v>45625.33596950231</v>
      </c>
      <c r="B268" s="7" t="s">
        <v>289</v>
      </c>
      <c r="C268" s="5" t="str">
        <f>LEFT(Form_Responses1[[#This Row],[問１　あなたは何年生ですか。]],3)</f>
        <v>小学校</v>
      </c>
      <c r="D268" s="7" t="s">
        <v>24</v>
      </c>
      <c r="E268" s="7" t="s">
        <v>10</v>
      </c>
      <c r="F268" s="7" t="s">
        <v>290</v>
      </c>
    </row>
    <row r="269" spans="1:6" ht="12.75">
      <c r="A269" s="6">
        <v>45625.336624618052</v>
      </c>
      <c r="B269" s="7" t="s">
        <v>11</v>
      </c>
      <c r="C269" s="5" t="str">
        <f>LEFT(Form_Responses1[[#This Row],[問１　あなたは何年生ですか。]],3)</f>
        <v>小学校</v>
      </c>
      <c r="D269" s="7" t="s">
        <v>19</v>
      </c>
      <c r="E269" s="7" t="s">
        <v>10</v>
      </c>
      <c r="F269" s="7" t="s">
        <v>291</v>
      </c>
    </row>
    <row r="270" spans="1:6" ht="12.75">
      <c r="A270" s="6">
        <v>45625.337769363425</v>
      </c>
      <c r="B270" s="7" t="s">
        <v>11</v>
      </c>
      <c r="C270" s="5" t="str">
        <f>LEFT(Form_Responses1[[#This Row],[問１　あなたは何年生ですか。]],3)</f>
        <v>小学校</v>
      </c>
      <c r="D270" s="7" t="s">
        <v>6</v>
      </c>
      <c r="E270" s="7" t="s">
        <v>10</v>
      </c>
      <c r="F270" s="7" t="s">
        <v>292</v>
      </c>
    </row>
    <row r="271" spans="1:6" ht="12.75">
      <c r="A271" s="6">
        <v>45625.339838935186</v>
      </c>
      <c r="B271" s="7" t="s">
        <v>23</v>
      </c>
      <c r="C271" s="5" t="str">
        <f>LEFT(Form_Responses1[[#This Row],[問１　あなたは何年生ですか。]],3)</f>
        <v>小学校</v>
      </c>
      <c r="D271" s="7" t="s">
        <v>293</v>
      </c>
      <c r="E271" s="7" t="s">
        <v>10</v>
      </c>
      <c r="F271" s="7" t="s">
        <v>165</v>
      </c>
    </row>
    <row r="272" spans="1:6" ht="12.75">
      <c r="A272" s="6">
        <v>45625.344007037042</v>
      </c>
      <c r="B272" s="7" t="s">
        <v>13</v>
      </c>
      <c r="C272" s="5" t="str">
        <f>LEFT(Form_Responses1[[#This Row],[問１　あなたは何年生ですか。]],3)</f>
        <v>小学校</v>
      </c>
      <c r="D272" s="7" t="s">
        <v>24</v>
      </c>
      <c r="E272" s="7" t="s">
        <v>10</v>
      </c>
      <c r="F272" s="8"/>
    </row>
    <row r="273" spans="1:6" ht="12.75">
      <c r="A273" s="6">
        <v>45625.344131747683</v>
      </c>
      <c r="B273" s="7" t="s">
        <v>13</v>
      </c>
      <c r="C273" s="5" t="str">
        <f>LEFT(Form_Responses1[[#This Row],[問１　あなたは何年生ですか。]],3)</f>
        <v>小学校</v>
      </c>
      <c r="D273" s="7" t="s">
        <v>30</v>
      </c>
      <c r="E273" s="7" t="s">
        <v>10</v>
      </c>
      <c r="F273" s="7" t="s">
        <v>239</v>
      </c>
    </row>
    <row r="274" spans="1:6" ht="12.75">
      <c r="A274" s="6">
        <v>45625.344140162037</v>
      </c>
      <c r="B274" s="7" t="s">
        <v>8</v>
      </c>
      <c r="C274" s="5" t="str">
        <f>LEFT(Form_Responses1[[#This Row],[問１　あなたは何年生ですか。]],3)</f>
        <v>小学校</v>
      </c>
      <c r="D274" s="7" t="s">
        <v>14</v>
      </c>
      <c r="E274" s="7" t="s">
        <v>10</v>
      </c>
      <c r="F274" s="7" t="s">
        <v>294</v>
      </c>
    </row>
    <row r="275" spans="1:6" ht="12.75">
      <c r="A275" s="6">
        <v>45625.344141527778</v>
      </c>
      <c r="B275" s="7" t="s">
        <v>13</v>
      </c>
      <c r="C275" s="5" t="str">
        <f>LEFT(Form_Responses1[[#This Row],[問１　あなたは何年生ですか。]],3)</f>
        <v>小学校</v>
      </c>
      <c r="D275" s="7" t="s">
        <v>9</v>
      </c>
      <c r="E275" s="7" t="s">
        <v>7</v>
      </c>
      <c r="F275" s="8"/>
    </row>
    <row r="276" spans="1:6" ht="12.75">
      <c r="A276" s="6">
        <v>45625.344178217594</v>
      </c>
      <c r="B276" s="7" t="s">
        <v>8</v>
      </c>
      <c r="C276" s="5" t="str">
        <f>LEFT(Form_Responses1[[#This Row],[問１　あなたは何年生ですか。]],3)</f>
        <v>小学校</v>
      </c>
      <c r="D276" s="7" t="s">
        <v>6</v>
      </c>
      <c r="E276" s="7" t="s">
        <v>7</v>
      </c>
      <c r="F276" s="7" t="s">
        <v>271</v>
      </c>
    </row>
    <row r="277" spans="1:6" ht="12.75">
      <c r="A277" s="6">
        <v>45625.344305775463</v>
      </c>
      <c r="B277" s="7" t="s">
        <v>8</v>
      </c>
      <c r="C277" s="5" t="str">
        <f>LEFT(Form_Responses1[[#This Row],[問１　あなたは何年生ですか。]],3)</f>
        <v>小学校</v>
      </c>
      <c r="D277" s="7" t="s">
        <v>6</v>
      </c>
      <c r="E277" s="7" t="s">
        <v>10</v>
      </c>
      <c r="F277" s="7" t="s">
        <v>295</v>
      </c>
    </row>
    <row r="278" spans="1:6" ht="12.75">
      <c r="A278" s="6">
        <v>45625.344315347218</v>
      </c>
      <c r="B278" s="7" t="s">
        <v>18</v>
      </c>
      <c r="C278" s="5" t="str">
        <f>LEFT(Form_Responses1[[#This Row],[問１　あなたは何年生ですか。]],3)</f>
        <v>中学校</v>
      </c>
      <c r="D278" s="7" t="s">
        <v>6</v>
      </c>
      <c r="E278" s="7" t="s">
        <v>10</v>
      </c>
      <c r="F278" s="7" t="s">
        <v>296</v>
      </c>
    </row>
    <row r="279" spans="1:6" ht="12.75">
      <c r="A279" s="6">
        <v>45625.344465497685</v>
      </c>
      <c r="B279" s="7" t="s">
        <v>13</v>
      </c>
      <c r="C279" s="5" t="str">
        <f>LEFT(Form_Responses1[[#This Row],[問１　あなたは何年生ですか。]],3)</f>
        <v>小学校</v>
      </c>
      <c r="D279" s="7" t="s">
        <v>24</v>
      </c>
      <c r="E279" s="7" t="s">
        <v>10</v>
      </c>
      <c r="F279" s="7" t="s">
        <v>239</v>
      </c>
    </row>
    <row r="280" spans="1:6" ht="12.75">
      <c r="A280" s="6">
        <v>45625.344559756944</v>
      </c>
      <c r="B280" s="7" t="s">
        <v>13</v>
      </c>
      <c r="C280" s="5" t="str">
        <f>LEFT(Form_Responses1[[#This Row],[問１　あなたは何年生ですか。]],3)</f>
        <v>小学校</v>
      </c>
      <c r="D280" s="7" t="s">
        <v>12</v>
      </c>
      <c r="E280" s="7" t="s">
        <v>10</v>
      </c>
      <c r="F280" s="7" t="s">
        <v>239</v>
      </c>
    </row>
    <row r="281" spans="1:6" ht="12.75">
      <c r="A281" s="6">
        <v>45625.344574641204</v>
      </c>
      <c r="B281" s="7" t="s">
        <v>8</v>
      </c>
      <c r="C281" s="5" t="str">
        <f>LEFT(Form_Responses1[[#This Row],[問１　あなたは何年生ですか。]],3)</f>
        <v>小学校</v>
      </c>
      <c r="D281" s="7" t="s">
        <v>24</v>
      </c>
      <c r="E281" s="7" t="s">
        <v>10</v>
      </c>
      <c r="F281" s="7" t="s">
        <v>297</v>
      </c>
    </row>
    <row r="282" spans="1:6" ht="12.75">
      <c r="A282" s="6">
        <v>45625.344642187498</v>
      </c>
      <c r="B282" s="7" t="s">
        <v>8</v>
      </c>
      <c r="C282" s="5" t="str">
        <f>LEFT(Form_Responses1[[#This Row],[問１　あなたは何年生ですか。]],3)</f>
        <v>小学校</v>
      </c>
      <c r="D282" s="7" t="s">
        <v>6</v>
      </c>
      <c r="E282" s="7" t="s">
        <v>10</v>
      </c>
      <c r="F282" s="7" t="s">
        <v>271</v>
      </c>
    </row>
    <row r="283" spans="1:6" ht="12.75">
      <c r="A283" s="6">
        <v>45625.34499539352</v>
      </c>
      <c r="B283" s="7" t="s">
        <v>8</v>
      </c>
      <c r="C283" s="5" t="str">
        <f>LEFT(Form_Responses1[[#This Row],[問１　あなたは何年生ですか。]],3)</f>
        <v>小学校</v>
      </c>
      <c r="D283" s="7" t="s">
        <v>14</v>
      </c>
      <c r="E283" s="7" t="s">
        <v>15</v>
      </c>
      <c r="F283" s="7" t="s">
        <v>298</v>
      </c>
    </row>
    <row r="284" spans="1:6" ht="12.75">
      <c r="A284" s="6">
        <v>45625.345007754629</v>
      </c>
      <c r="B284" s="7" t="s">
        <v>13</v>
      </c>
      <c r="C284" s="5" t="str">
        <f>LEFT(Form_Responses1[[#This Row],[問１　あなたは何年生ですか。]],3)</f>
        <v>小学校</v>
      </c>
      <c r="D284" s="7" t="s">
        <v>14</v>
      </c>
      <c r="E284" s="7" t="s">
        <v>10</v>
      </c>
      <c r="F284" s="7" t="s">
        <v>299</v>
      </c>
    </row>
    <row r="285" spans="1:6" ht="12.75">
      <c r="A285" s="6">
        <v>45625.345040451386</v>
      </c>
      <c r="B285" s="7" t="s">
        <v>8</v>
      </c>
      <c r="C285" s="5" t="str">
        <f>LEFT(Form_Responses1[[#This Row],[問１　あなたは何年生ですか。]],3)</f>
        <v>小学校</v>
      </c>
      <c r="D285" s="7" t="s">
        <v>12</v>
      </c>
      <c r="E285" s="7" t="s">
        <v>10</v>
      </c>
      <c r="F285" s="7" t="s">
        <v>300</v>
      </c>
    </row>
    <row r="286" spans="1:6" ht="12.75">
      <c r="A286" s="6">
        <v>45625.345102962965</v>
      </c>
      <c r="B286" s="7" t="s">
        <v>8</v>
      </c>
      <c r="C286" s="5" t="str">
        <f>LEFT(Form_Responses1[[#This Row],[問１　あなたは何年生ですか。]],3)</f>
        <v>小学校</v>
      </c>
      <c r="D286" s="7" t="s">
        <v>30</v>
      </c>
      <c r="E286" s="7" t="s">
        <v>10</v>
      </c>
      <c r="F286" s="8"/>
    </row>
    <row r="287" spans="1:6" ht="12.75">
      <c r="A287" s="6">
        <v>45625.345147870372</v>
      </c>
      <c r="B287" s="7" t="s">
        <v>13</v>
      </c>
      <c r="C287" s="5" t="str">
        <f>LEFT(Form_Responses1[[#This Row],[問１　あなたは何年生ですか。]],3)</f>
        <v>小学校</v>
      </c>
      <c r="D287" s="7" t="s">
        <v>24</v>
      </c>
      <c r="E287" s="7" t="s">
        <v>7</v>
      </c>
      <c r="F287" s="7" t="s">
        <v>301</v>
      </c>
    </row>
    <row r="288" spans="1:6" ht="12.75">
      <c r="A288" s="6">
        <v>45625.345201203701</v>
      </c>
      <c r="B288" s="7" t="s">
        <v>13</v>
      </c>
      <c r="C288" s="5" t="str">
        <f>LEFT(Form_Responses1[[#This Row],[問１　あなたは何年生ですか。]],3)</f>
        <v>小学校</v>
      </c>
      <c r="D288" s="7" t="s">
        <v>9</v>
      </c>
      <c r="E288" s="7" t="s">
        <v>67</v>
      </c>
      <c r="F288" s="7" t="s">
        <v>302</v>
      </c>
    </row>
    <row r="289" spans="1:6" ht="12.75">
      <c r="A289" s="6">
        <v>45625.345247395831</v>
      </c>
      <c r="B289" s="7" t="s">
        <v>23</v>
      </c>
      <c r="C289" s="5" t="str">
        <f>LEFT(Form_Responses1[[#This Row],[問１　あなたは何年生ですか。]],3)</f>
        <v>小学校</v>
      </c>
      <c r="D289" s="7" t="s">
        <v>14</v>
      </c>
      <c r="E289" s="7" t="s">
        <v>10</v>
      </c>
      <c r="F289" s="7" t="s">
        <v>303</v>
      </c>
    </row>
    <row r="290" spans="1:6" ht="12.75">
      <c r="A290" s="6">
        <v>45625.345264386575</v>
      </c>
      <c r="B290" s="7" t="s">
        <v>8</v>
      </c>
      <c r="C290" s="5" t="str">
        <f>LEFT(Form_Responses1[[#This Row],[問１　あなたは何年生ですか。]],3)</f>
        <v>小学校</v>
      </c>
      <c r="D290" s="7" t="s">
        <v>304</v>
      </c>
      <c r="E290" s="7" t="s">
        <v>10</v>
      </c>
      <c r="F290" s="7" t="s">
        <v>305</v>
      </c>
    </row>
    <row r="291" spans="1:6" ht="12.75">
      <c r="A291" s="6">
        <v>45625.345353321754</v>
      </c>
      <c r="B291" s="7" t="s">
        <v>13</v>
      </c>
      <c r="C291" s="5" t="str">
        <f>LEFT(Form_Responses1[[#This Row],[問１　あなたは何年生ですか。]],3)</f>
        <v>小学校</v>
      </c>
      <c r="D291" s="7" t="s">
        <v>12</v>
      </c>
      <c r="E291" s="7" t="s">
        <v>10</v>
      </c>
      <c r="F291" s="8"/>
    </row>
    <row r="292" spans="1:6" ht="12.75">
      <c r="A292" s="6">
        <v>45625.345439722223</v>
      </c>
      <c r="B292" s="7" t="s">
        <v>8</v>
      </c>
      <c r="C292" s="5" t="str">
        <f>LEFT(Form_Responses1[[#This Row],[問１　あなたは何年生ですか。]],3)</f>
        <v>小学校</v>
      </c>
      <c r="D292" s="7" t="s">
        <v>24</v>
      </c>
      <c r="E292" s="7" t="s">
        <v>10</v>
      </c>
      <c r="F292" s="7" t="s">
        <v>306</v>
      </c>
    </row>
    <row r="293" spans="1:6" ht="12.75">
      <c r="A293" s="6">
        <v>45625.345508900464</v>
      </c>
      <c r="B293" s="7" t="s">
        <v>8</v>
      </c>
      <c r="C293" s="5" t="str">
        <f>LEFT(Form_Responses1[[#This Row],[問１　あなたは何年生ですか。]],3)</f>
        <v>小学校</v>
      </c>
      <c r="D293" s="7" t="s">
        <v>30</v>
      </c>
      <c r="E293" s="7" t="s">
        <v>10</v>
      </c>
      <c r="F293" s="8"/>
    </row>
    <row r="294" spans="1:6" ht="12.75">
      <c r="A294" s="6">
        <v>45625.345912291668</v>
      </c>
      <c r="B294" s="7" t="s">
        <v>8</v>
      </c>
      <c r="C294" s="5" t="str">
        <f>LEFT(Form_Responses1[[#This Row],[問１　あなたは何年生ですか。]],3)</f>
        <v>小学校</v>
      </c>
      <c r="D294" s="7" t="s">
        <v>17</v>
      </c>
      <c r="E294" s="7" t="s">
        <v>10</v>
      </c>
      <c r="F294" s="7" t="s">
        <v>307</v>
      </c>
    </row>
    <row r="295" spans="1:6" ht="12.75">
      <c r="A295" s="6">
        <v>45625.346113530089</v>
      </c>
      <c r="B295" s="7" t="s">
        <v>8</v>
      </c>
      <c r="C295" s="5" t="str">
        <f>LEFT(Form_Responses1[[#This Row],[問１　あなたは何年生ですか。]],3)</f>
        <v>小学校</v>
      </c>
      <c r="D295" s="7" t="s">
        <v>19</v>
      </c>
      <c r="E295" s="7" t="s">
        <v>67</v>
      </c>
      <c r="F295" s="7" t="s">
        <v>308</v>
      </c>
    </row>
    <row r="296" spans="1:6" ht="12.75">
      <c r="A296" s="6">
        <v>45625.34619271991</v>
      </c>
      <c r="B296" s="7" t="s">
        <v>8</v>
      </c>
      <c r="C296" s="5" t="str">
        <f>LEFT(Form_Responses1[[#This Row],[問１　あなたは何年生ですか。]],3)</f>
        <v>小学校</v>
      </c>
      <c r="D296" s="7" t="s">
        <v>6</v>
      </c>
      <c r="E296" s="7" t="s">
        <v>10</v>
      </c>
      <c r="F296" s="7" t="s">
        <v>309</v>
      </c>
    </row>
    <row r="297" spans="1:6" ht="12.75">
      <c r="A297" s="6">
        <v>45625.346311504632</v>
      </c>
      <c r="B297" s="7" t="s">
        <v>8</v>
      </c>
      <c r="C297" s="5" t="str">
        <f>LEFT(Form_Responses1[[#This Row],[問１　あなたは何年生ですか。]],3)</f>
        <v>小学校</v>
      </c>
      <c r="D297" s="7" t="s">
        <v>9</v>
      </c>
      <c r="E297" s="7" t="s">
        <v>10</v>
      </c>
      <c r="F297" s="7" t="s">
        <v>310</v>
      </c>
    </row>
    <row r="298" spans="1:6" ht="12.75">
      <c r="A298" s="6">
        <v>45625.3463453125</v>
      </c>
      <c r="B298" s="7" t="s">
        <v>13</v>
      </c>
      <c r="C298" s="5" t="str">
        <f>LEFT(Form_Responses1[[#This Row],[問１　あなたは何年生ですか。]],3)</f>
        <v>小学校</v>
      </c>
      <c r="D298" s="7" t="s">
        <v>6</v>
      </c>
      <c r="E298" s="7" t="s">
        <v>10</v>
      </c>
      <c r="F298" s="7" t="s">
        <v>311</v>
      </c>
    </row>
    <row r="299" spans="1:6" ht="12.75">
      <c r="A299" s="6">
        <v>45625.346592569447</v>
      </c>
      <c r="B299" s="7" t="s">
        <v>13</v>
      </c>
      <c r="C299" s="5" t="str">
        <f>LEFT(Form_Responses1[[#This Row],[問１　あなたは何年生ですか。]],3)</f>
        <v>小学校</v>
      </c>
      <c r="D299" s="7" t="s">
        <v>24</v>
      </c>
      <c r="E299" s="7" t="s">
        <v>10</v>
      </c>
      <c r="F299" s="7" t="s">
        <v>312</v>
      </c>
    </row>
    <row r="300" spans="1:6" ht="12.75">
      <c r="A300" s="6">
        <v>45625.346593472219</v>
      </c>
      <c r="B300" s="7" t="s">
        <v>8</v>
      </c>
      <c r="C300" s="5" t="str">
        <f>LEFT(Form_Responses1[[#This Row],[問１　あなたは何年生ですか。]],3)</f>
        <v>小学校</v>
      </c>
      <c r="D300" s="7" t="s">
        <v>6</v>
      </c>
      <c r="E300" s="7" t="s">
        <v>10</v>
      </c>
      <c r="F300" s="7" t="s">
        <v>313</v>
      </c>
    </row>
    <row r="301" spans="1:6" ht="12.75">
      <c r="A301" s="6">
        <v>45625.34661724537</v>
      </c>
      <c r="B301" s="7" t="s">
        <v>8</v>
      </c>
      <c r="C301" s="5" t="str">
        <f>LEFT(Form_Responses1[[#This Row],[問１　あなたは何年生ですか。]],3)</f>
        <v>小学校</v>
      </c>
      <c r="D301" s="7" t="s">
        <v>6</v>
      </c>
      <c r="E301" s="7" t="s">
        <v>67</v>
      </c>
      <c r="F301" s="7" t="s">
        <v>314</v>
      </c>
    </row>
    <row r="302" spans="1:6" ht="12.75">
      <c r="A302" s="6">
        <v>45625.346650543986</v>
      </c>
      <c r="B302" s="7" t="s">
        <v>8</v>
      </c>
      <c r="C302" s="5" t="str">
        <f>LEFT(Form_Responses1[[#This Row],[問１　あなたは何年生ですか。]],3)</f>
        <v>小学校</v>
      </c>
      <c r="D302" s="7" t="s">
        <v>6</v>
      </c>
      <c r="E302" s="7" t="s">
        <v>7</v>
      </c>
      <c r="F302" s="7" t="s">
        <v>315</v>
      </c>
    </row>
    <row r="303" spans="1:6" ht="12.75">
      <c r="A303" s="6">
        <v>45625.346716145832</v>
      </c>
      <c r="B303" s="7" t="s">
        <v>8</v>
      </c>
      <c r="C303" s="5" t="str">
        <f>LEFT(Form_Responses1[[#This Row],[問１　あなたは何年生ですか。]],3)</f>
        <v>小学校</v>
      </c>
      <c r="D303" s="7" t="s">
        <v>22</v>
      </c>
      <c r="E303" s="7" t="s">
        <v>10</v>
      </c>
      <c r="F303" s="7" t="s">
        <v>316</v>
      </c>
    </row>
    <row r="304" spans="1:6" ht="12.75">
      <c r="A304" s="6">
        <v>45625.346769201387</v>
      </c>
      <c r="B304" s="7" t="s">
        <v>13</v>
      </c>
      <c r="C304" s="5" t="str">
        <f>LEFT(Form_Responses1[[#This Row],[問１　あなたは何年生ですか。]],3)</f>
        <v>小学校</v>
      </c>
      <c r="D304" s="7" t="s">
        <v>6</v>
      </c>
      <c r="E304" s="7" t="s">
        <v>10</v>
      </c>
      <c r="F304" s="7" t="s">
        <v>317</v>
      </c>
    </row>
    <row r="305" spans="1:6" ht="12.75">
      <c r="A305" s="6">
        <v>45625.347017662032</v>
      </c>
      <c r="B305" s="7" t="s">
        <v>23</v>
      </c>
      <c r="C305" s="5" t="str">
        <f>LEFT(Form_Responses1[[#This Row],[問１　あなたは何年生ですか。]],3)</f>
        <v>小学校</v>
      </c>
      <c r="D305" s="7" t="s">
        <v>22</v>
      </c>
      <c r="E305" s="7" t="s">
        <v>7</v>
      </c>
      <c r="F305" s="7" t="s">
        <v>318</v>
      </c>
    </row>
    <row r="306" spans="1:6" ht="12.75">
      <c r="A306" s="6">
        <v>45625.347126018518</v>
      </c>
      <c r="B306" s="7" t="s">
        <v>8</v>
      </c>
      <c r="C306" s="5" t="str">
        <f>LEFT(Form_Responses1[[#This Row],[問１　あなたは何年生ですか。]],3)</f>
        <v>小学校</v>
      </c>
      <c r="D306" s="7" t="s">
        <v>6</v>
      </c>
      <c r="E306" s="7" t="s">
        <v>7</v>
      </c>
      <c r="F306" s="7" t="s">
        <v>319</v>
      </c>
    </row>
    <row r="307" spans="1:6" ht="12.75">
      <c r="A307" s="6">
        <v>45625.347252916668</v>
      </c>
      <c r="B307" s="7" t="s">
        <v>13</v>
      </c>
      <c r="C307" s="5" t="str">
        <f>LEFT(Form_Responses1[[#This Row],[問１　あなたは何年生ですか。]],3)</f>
        <v>小学校</v>
      </c>
      <c r="D307" s="7" t="s">
        <v>9</v>
      </c>
      <c r="E307" s="7" t="s">
        <v>10</v>
      </c>
      <c r="F307" s="7" t="s">
        <v>320</v>
      </c>
    </row>
    <row r="308" spans="1:6" ht="12.75">
      <c r="A308" s="6">
        <v>45625.347415416662</v>
      </c>
      <c r="B308" s="7" t="s">
        <v>8</v>
      </c>
      <c r="C308" s="5" t="str">
        <f>LEFT(Form_Responses1[[#This Row],[問１　あなたは何年生ですか。]],3)</f>
        <v>小学校</v>
      </c>
      <c r="D308" s="7" t="s">
        <v>22</v>
      </c>
      <c r="E308" s="7" t="s">
        <v>10</v>
      </c>
      <c r="F308" s="7" t="s">
        <v>321</v>
      </c>
    </row>
    <row r="309" spans="1:6" ht="12.75">
      <c r="A309" s="6">
        <v>45625.347590810183</v>
      </c>
      <c r="B309" s="7" t="s">
        <v>13</v>
      </c>
      <c r="C309" s="5" t="str">
        <f>LEFT(Form_Responses1[[#This Row],[問１　あなたは何年生ですか。]],3)</f>
        <v>小学校</v>
      </c>
      <c r="D309" s="7" t="s">
        <v>6</v>
      </c>
      <c r="E309" s="7" t="s">
        <v>10</v>
      </c>
      <c r="F309" s="7" t="s">
        <v>322</v>
      </c>
    </row>
    <row r="310" spans="1:6" ht="12.75">
      <c r="A310" s="6">
        <v>45625.347634710648</v>
      </c>
      <c r="B310" s="7" t="s">
        <v>13</v>
      </c>
      <c r="C310" s="5" t="str">
        <f>LEFT(Form_Responses1[[#This Row],[問１　あなたは何年生ですか。]],3)</f>
        <v>小学校</v>
      </c>
      <c r="D310" s="7" t="s">
        <v>24</v>
      </c>
      <c r="E310" s="7" t="s">
        <v>10</v>
      </c>
      <c r="F310" s="7" t="s">
        <v>323</v>
      </c>
    </row>
    <row r="311" spans="1:6" ht="12.75">
      <c r="A311" s="6">
        <v>45625.347636203704</v>
      </c>
      <c r="B311" s="7" t="s">
        <v>13</v>
      </c>
      <c r="C311" s="5" t="str">
        <f>LEFT(Form_Responses1[[#This Row],[問１　あなたは何年生ですか。]],3)</f>
        <v>小学校</v>
      </c>
      <c r="D311" s="7" t="s">
        <v>24</v>
      </c>
      <c r="E311" s="7" t="s">
        <v>10</v>
      </c>
      <c r="F311" s="7" t="s">
        <v>239</v>
      </c>
    </row>
    <row r="312" spans="1:6" ht="12.75">
      <c r="A312" s="6">
        <v>45625.347751875001</v>
      </c>
      <c r="B312" s="7" t="s">
        <v>13</v>
      </c>
      <c r="C312" s="5" t="str">
        <f>LEFT(Form_Responses1[[#This Row],[問１　あなたは何年生ですか。]],3)</f>
        <v>小学校</v>
      </c>
      <c r="D312" s="7" t="s">
        <v>12</v>
      </c>
      <c r="E312" s="7" t="s">
        <v>10</v>
      </c>
      <c r="F312" s="7" t="s">
        <v>324</v>
      </c>
    </row>
    <row r="313" spans="1:6" ht="12.75">
      <c r="A313" s="6">
        <v>45625.347836284724</v>
      </c>
      <c r="B313" s="7" t="s">
        <v>13</v>
      </c>
      <c r="C313" s="5" t="str">
        <f>LEFT(Form_Responses1[[#This Row],[問１　あなたは何年生ですか。]],3)</f>
        <v>小学校</v>
      </c>
      <c r="D313" s="7" t="s">
        <v>6</v>
      </c>
      <c r="E313" s="7" t="s">
        <v>10</v>
      </c>
      <c r="F313" s="7" t="s">
        <v>239</v>
      </c>
    </row>
    <row r="314" spans="1:6" ht="12.75">
      <c r="A314" s="6">
        <v>45625.34783752315</v>
      </c>
      <c r="B314" s="7" t="s">
        <v>13</v>
      </c>
      <c r="C314" s="5" t="str">
        <f>LEFT(Form_Responses1[[#This Row],[問１　あなたは何年生ですか。]],3)</f>
        <v>小学校</v>
      </c>
      <c r="D314" s="7" t="s">
        <v>9</v>
      </c>
      <c r="E314" s="7" t="s">
        <v>10</v>
      </c>
      <c r="F314" s="7" t="s">
        <v>325</v>
      </c>
    </row>
    <row r="315" spans="1:6" ht="12.75">
      <c r="A315" s="6">
        <v>45625.347862210649</v>
      </c>
      <c r="B315" s="7" t="s">
        <v>13</v>
      </c>
      <c r="C315" s="5" t="str">
        <f>LEFT(Form_Responses1[[#This Row],[問１　あなたは何年生ですか。]],3)</f>
        <v>小学校</v>
      </c>
      <c r="D315" s="7" t="s">
        <v>9</v>
      </c>
      <c r="E315" s="7" t="s">
        <v>7</v>
      </c>
      <c r="F315" s="7" t="s">
        <v>326</v>
      </c>
    </row>
    <row r="316" spans="1:6" ht="12.75">
      <c r="A316" s="6">
        <v>45625.348094351852</v>
      </c>
      <c r="B316" s="7" t="s">
        <v>8</v>
      </c>
      <c r="C316" s="5" t="str">
        <f>LEFT(Form_Responses1[[#This Row],[問１　あなたは何年生ですか。]],3)</f>
        <v>小学校</v>
      </c>
      <c r="D316" s="7" t="s">
        <v>22</v>
      </c>
      <c r="E316" s="7" t="s">
        <v>10</v>
      </c>
      <c r="F316" s="7" t="s">
        <v>327</v>
      </c>
    </row>
    <row r="317" spans="1:6" ht="12.75">
      <c r="A317" s="6">
        <v>45625.348170613426</v>
      </c>
      <c r="B317" s="7" t="s">
        <v>13</v>
      </c>
      <c r="C317" s="5" t="str">
        <f>LEFT(Form_Responses1[[#This Row],[問１　あなたは何年生ですか。]],3)</f>
        <v>小学校</v>
      </c>
      <c r="D317" s="7" t="s">
        <v>6</v>
      </c>
      <c r="E317" s="7" t="s">
        <v>10</v>
      </c>
      <c r="F317" s="7" t="s">
        <v>328</v>
      </c>
    </row>
    <row r="318" spans="1:6" ht="12.75">
      <c r="A318" s="6">
        <v>45625.348271828705</v>
      </c>
      <c r="B318" s="7" t="s">
        <v>8</v>
      </c>
      <c r="C318" s="5" t="str">
        <f>LEFT(Form_Responses1[[#This Row],[問１　あなたは何年生ですか。]],3)</f>
        <v>小学校</v>
      </c>
      <c r="D318" s="7" t="s">
        <v>6</v>
      </c>
      <c r="E318" s="7" t="s">
        <v>7</v>
      </c>
      <c r="F318" s="7" t="s">
        <v>52</v>
      </c>
    </row>
    <row r="319" spans="1:6" ht="12.75">
      <c r="A319" s="6">
        <v>45625.348652789355</v>
      </c>
      <c r="B319" s="7" t="s">
        <v>13</v>
      </c>
      <c r="C319" s="5" t="str">
        <f>LEFT(Form_Responses1[[#This Row],[問１　あなたは何年生ですか。]],3)</f>
        <v>小学校</v>
      </c>
      <c r="D319" s="7" t="s">
        <v>12</v>
      </c>
      <c r="E319" s="7" t="s">
        <v>10</v>
      </c>
      <c r="F319" s="7" t="s">
        <v>239</v>
      </c>
    </row>
    <row r="320" spans="1:6" ht="12.75">
      <c r="A320" s="6">
        <v>45625.350351724541</v>
      </c>
      <c r="B320" s="7" t="s">
        <v>18</v>
      </c>
      <c r="C320" s="5" t="str">
        <f>LEFT(Form_Responses1[[#This Row],[問１　あなたは何年生ですか。]],3)</f>
        <v>中学校</v>
      </c>
      <c r="D320" s="7" t="s">
        <v>329</v>
      </c>
      <c r="E320" s="7" t="s">
        <v>10</v>
      </c>
      <c r="F320" s="8"/>
    </row>
    <row r="321" spans="1:6" ht="12.75">
      <c r="A321" s="6">
        <v>45625.350479699075</v>
      </c>
      <c r="B321" s="7" t="s">
        <v>18</v>
      </c>
      <c r="C321" s="5" t="str">
        <f>LEFT(Form_Responses1[[#This Row],[問１　あなたは何年生ですか。]],3)</f>
        <v>中学校</v>
      </c>
      <c r="D321" s="7" t="s">
        <v>12</v>
      </c>
      <c r="E321" s="7" t="s">
        <v>10</v>
      </c>
      <c r="F321" s="7" t="s">
        <v>330</v>
      </c>
    </row>
    <row r="322" spans="1:6" ht="12.75">
      <c r="A322" s="6">
        <v>45625.350512962963</v>
      </c>
      <c r="B322" s="7" t="s">
        <v>18</v>
      </c>
      <c r="C322" s="5" t="str">
        <f>LEFT(Form_Responses1[[#This Row],[問１　あなたは何年生ですか。]],3)</f>
        <v>中学校</v>
      </c>
      <c r="D322" s="7" t="s">
        <v>6</v>
      </c>
      <c r="E322" s="7" t="s">
        <v>10</v>
      </c>
      <c r="F322" s="7" t="s">
        <v>331</v>
      </c>
    </row>
    <row r="323" spans="1:6" ht="12.75">
      <c r="A323" s="6">
        <v>45625.350528680559</v>
      </c>
      <c r="B323" s="7" t="s">
        <v>18</v>
      </c>
      <c r="C323" s="5" t="str">
        <f>LEFT(Form_Responses1[[#This Row],[問１　あなたは何年生ですか。]],3)</f>
        <v>中学校</v>
      </c>
      <c r="D323" s="7" t="s">
        <v>19</v>
      </c>
      <c r="E323" s="7" t="s">
        <v>7</v>
      </c>
      <c r="F323" s="7" t="s">
        <v>332</v>
      </c>
    </row>
    <row r="324" spans="1:6" ht="12.75">
      <c r="A324" s="6">
        <v>45625.350560034727</v>
      </c>
      <c r="B324" s="7" t="s">
        <v>18</v>
      </c>
      <c r="C324" s="5" t="str">
        <f>LEFT(Form_Responses1[[#This Row],[問１　あなたは何年生ですか。]],3)</f>
        <v>中学校</v>
      </c>
      <c r="D324" s="7" t="s">
        <v>6</v>
      </c>
      <c r="E324" s="7" t="s">
        <v>7</v>
      </c>
      <c r="F324" s="8"/>
    </row>
    <row r="325" spans="1:6" ht="12.75">
      <c r="A325" s="6">
        <v>45625.351099629625</v>
      </c>
      <c r="B325" s="7" t="s">
        <v>18</v>
      </c>
      <c r="C325" s="5" t="str">
        <f>LEFT(Form_Responses1[[#This Row],[問１　あなたは何年生ですか。]],3)</f>
        <v>中学校</v>
      </c>
      <c r="D325" s="7" t="s">
        <v>19</v>
      </c>
      <c r="E325" s="7" t="s">
        <v>10</v>
      </c>
      <c r="F325" s="8"/>
    </row>
    <row r="326" spans="1:6" ht="12.75">
      <c r="A326" s="6">
        <v>45625.351122129628</v>
      </c>
      <c r="B326" s="7" t="s">
        <v>18</v>
      </c>
      <c r="C326" s="5" t="str">
        <f>LEFT(Form_Responses1[[#This Row],[問１　あなたは何年生ですか。]],3)</f>
        <v>中学校</v>
      </c>
      <c r="D326" s="7" t="s">
        <v>6</v>
      </c>
      <c r="E326" s="7" t="s">
        <v>7</v>
      </c>
      <c r="F326" s="7" t="s">
        <v>333</v>
      </c>
    </row>
    <row r="327" spans="1:6" ht="12.75">
      <c r="A327" s="6">
        <v>45625.351164479165</v>
      </c>
      <c r="B327" s="7" t="s">
        <v>18</v>
      </c>
      <c r="C327" s="5" t="str">
        <f>LEFT(Form_Responses1[[#This Row],[問１　あなたは何年生ですか。]],3)</f>
        <v>中学校</v>
      </c>
      <c r="D327" s="7" t="s">
        <v>9</v>
      </c>
      <c r="E327" s="7" t="s">
        <v>10</v>
      </c>
      <c r="F327" s="7" t="s">
        <v>334</v>
      </c>
    </row>
    <row r="328" spans="1:6" ht="12.75">
      <c r="A328" s="6">
        <v>45625.351173298608</v>
      </c>
      <c r="B328" s="7" t="s">
        <v>18</v>
      </c>
      <c r="C328" s="5" t="str">
        <f>LEFT(Form_Responses1[[#This Row],[問１　あなたは何年生ですか。]],3)</f>
        <v>中学校</v>
      </c>
      <c r="D328" s="7" t="s">
        <v>12</v>
      </c>
      <c r="E328" s="7" t="s">
        <v>7</v>
      </c>
      <c r="F328" s="8"/>
    </row>
    <row r="329" spans="1:6" ht="12.75">
      <c r="A329" s="6">
        <v>45625.351200428238</v>
      </c>
      <c r="B329" s="7" t="s">
        <v>18</v>
      </c>
      <c r="C329" s="5" t="str">
        <f>LEFT(Form_Responses1[[#This Row],[問１　あなたは何年生ですか。]],3)</f>
        <v>中学校</v>
      </c>
      <c r="D329" s="7" t="s">
        <v>17</v>
      </c>
      <c r="E329" s="7" t="s">
        <v>67</v>
      </c>
      <c r="F329" s="7" t="s">
        <v>335</v>
      </c>
    </row>
    <row r="330" spans="1:6" ht="12.75">
      <c r="A330" s="6">
        <v>45625.351327060183</v>
      </c>
      <c r="B330" s="7" t="s">
        <v>18</v>
      </c>
      <c r="C330" s="5" t="str">
        <f>LEFT(Form_Responses1[[#This Row],[問１　あなたは何年生ですか。]],3)</f>
        <v>中学校</v>
      </c>
      <c r="D330" s="7" t="s">
        <v>336</v>
      </c>
      <c r="E330" s="7" t="s">
        <v>10</v>
      </c>
      <c r="F330" s="8"/>
    </row>
    <row r="331" spans="1:6" ht="12.75">
      <c r="A331" s="6">
        <v>45625.351414675926</v>
      </c>
      <c r="B331" s="7" t="s">
        <v>18</v>
      </c>
      <c r="C331" s="5" t="str">
        <f>LEFT(Form_Responses1[[#This Row],[問１　あなたは何年生ですか。]],3)</f>
        <v>中学校</v>
      </c>
      <c r="D331" s="7" t="s">
        <v>19</v>
      </c>
      <c r="E331" s="7" t="s">
        <v>7</v>
      </c>
      <c r="F331" s="7" t="s">
        <v>337</v>
      </c>
    </row>
    <row r="332" spans="1:6" ht="12.75">
      <c r="A332" s="6">
        <v>45625.351417210652</v>
      </c>
      <c r="B332" s="7" t="s">
        <v>18</v>
      </c>
      <c r="C332" s="5" t="str">
        <f>LEFT(Form_Responses1[[#This Row],[問１　あなたは何年生ですか。]],3)</f>
        <v>中学校</v>
      </c>
      <c r="D332" s="7" t="s">
        <v>19</v>
      </c>
      <c r="E332" s="7" t="s">
        <v>10</v>
      </c>
      <c r="F332" s="7" t="s">
        <v>338</v>
      </c>
    </row>
    <row r="333" spans="1:6" ht="12.75">
      <c r="A333" s="6">
        <v>45625.351418819446</v>
      </c>
      <c r="B333" s="7" t="s">
        <v>18</v>
      </c>
      <c r="C333" s="5" t="str">
        <f>LEFT(Form_Responses1[[#This Row],[問１　あなたは何年生ですか。]],3)</f>
        <v>中学校</v>
      </c>
      <c r="D333" s="7" t="s">
        <v>17</v>
      </c>
      <c r="E333" s="7" t="s">
        <v>10</v>
      </c>
      <c r="F333" s="7" t="s">
        <v>244</v>
      </c>
    </row>
    <row r="334" spans="1:6" ht="12.75">
      <c r="A334" s="6">
        <v>45625.351520914352</v>
      </c>
      <c r="B334" s="7" t="s">
        <v>18</v>
      </c>
      <c r="C334" s="5" t="str">
        <f>LEFT(Form_Responses1[[#This Row],[問１　あなたは何年生ですか。]],3)</f>
        <v>中学校</v>
      </c>
      <c r="D334" s="7" t="s">
        <v>17</v>
      </c>
      <c r="E334" s="7" t="s">
        <v>10</v>
      </c>
      <c r="F334" s="7" t="s">
        <v>339</v>
      </c>
    </row>
    <row r="335" spans="1:6" ht="12.75">
      <c r="A335" s="6">
        <v>45625.35152887732</v>
      </c>
      <c r="B335" s="7" t="s">
        <v>18</v>
      </c>
      <c r="C335" s="5" t="str">
        <f>LEFT(Form_Responses1[[#This Row],[問１　あなたは何年生ですか。]],3)</f>
        <v>中学校</v>
      </c>
      <c r="D335" s="7" t="s">
        <v>19</v>
      </c>
      <c r="E335" s="7" t="s">
        <v>10</v>
      </c>
      <c r="F335" s="7" t="s">
        <v>340</v>
      </c>
    </row>
    <row r="336" spans="1:6" ht="12.75">
      <c r="A336" s="6">
        <v>45625.351561354168</v>
      </c>
      <c r="B336" s="7" t="s">
        <v>18</v>
      </c>
      <c r="C336" s="5" t="str">
        <f>LEFT(Form_Responses1[[#This Row],[問１　あなたは何年生ですか。]],3)</f>
        <v>中学校</v>
      </c>
      <c r="D336" s="7" t="s">
        <v>121</v>
      </c>
      <c r="E336" s="7" t="s">
        <v>10</v>
      </c>
      <c r="F336" s="7" t="s">
        <v>52</v>
      </c>
    </row>
    <row r="337" spans="1:6" ht="12.75">
      <c r="A337" s="6">
        <v>45625.351615011576</v>
      </c>
      <c r="B337" s="7" t="s">
        <v>18</v>
      </c>
      <c r="C337" s="5" t="str">
        <f>LEFT(Form_Responses1[[#This Row],[問１　あなたは何年生ですか。]],3)</f>
        <v>中学校</v>
      </c>
      <c r="D337" s="7" t="s">
        <v>19</v>
      </c>
      <c r="E337" s="7" t="s">
        <v>7</v>
      </c>
      <c r="F337" s="7" t="s">
        <v>341</v>
      </c>
    </row>
    <row r="338" spans="1:6" ht="12.75">
      <c r="A338" s="6">
        <v>45625.351630127319</v>
      </c>
      <c r="B338" s="7" t="s">
        <v>18</v>
      </c>
      <c r="C338" s="5" t="str">
        <f>LEFT(Form_Responses1[[#This Row],[問１　あなたは何年生ですか。]],3)</f>
        <v>中学校</v>
      </c>
      <c r="D338" s="7" t="s">
        <v>17</v>
      </c>
      <c r="E338" s="7" t="s">
        <v>10</v>
      </c>
      <c r="F338" s="7" t="s">
        <v>342</v>
      </c>
    </row>
    <row r="339" spans="1:6" ht="12.75">
      <c r="A339" s="6">
        <v>45625.35164627315</v>
      </c>
      <c r="B339" s="7" t="s">
        <v>18</v>
      </c>
      <c r="C339" s="5" t="str">
        <f>LEFT(Form_Responses1[[#This Row],[問１　あなたは何年生ですか。]],3)</f>
        <v>中学校</v>
      </c>
      <c r="D339" s="7" t="s">
        <v>6</v>
      </c>
      <c r="E339" s="7" t="s">
        <v>10</v>
      </c>
      <c r="F339" s="7" t="s">
        <v>343</v>
      </c>
    </row>
    <row r="340" spans="1:6" ht="12.75">
      <c r="A340" s="6">
        <v>45625.3516728588</v>
      </c>
      <c r="B340" s="7" t="s">
        <v>18</v>
      </c>
      <c r="C340" s="5" t="str">
        <f>LEFT(Form_Responses1[[#This Row],[問１　あなたは何年生ですか。]],3)</f>
        <v>中学校</v>
      </c>
      <c r="D340" s="7" t="s">
        <v>6</v>
      </c>
      <c r="E340" s="7" t="s">
        <v>10</v>
      </c>
      <c r="F340" s="7" t="s">
        <v>344</v>
      </c>
    </row>
    <row r="341" spans="1:6" ht="12.75">
      <c r="A341" s="6">
        <v>45625.35168482639</v>
      </c>
      <c r="B341" s="7" t="s">
        <v>18</v>
      </c>
      <c r="C341" s="5" t="str">
        <f>LEFT(Form_Responses1[[#This Row],[問１　あなたは何年生ですか。]],3)</f>
        <v>中学校</v>
      </c>
      <c r="D341" s="7" t="s">
        <v>6</v>
      </c>
      <c r="E341" s="7" t="s">
        <v>10</v>
      </c>
      <c r="F341" s="7" t="s">
        <v>345</v>
      </c>
    </row>
    <row r="342" spans="1:6" ht="12.75">
      <c r="A342" s="6">
        <v>45625.351702442131</v>
      </c>
      <c r="B342" s="7" t="s">
        <v>18</v>
      </c>
      <c r="C342" s="5" t="str">
        <f>LEFT(Form_Responses1[[#This Row],[問１　あなたは何年生ですか。]],3)</f>
        <v>中学校</v>
      </c>
      <c r="D342" s="7" t="s">
        <v>6</v>
      </c>
      <c r="E342" s="7" t="s">
        <v>7</v>
      </c>
      <c r="F342" s="8"/>
    </row>
    <row r="343" spans="1:6" ht="12.75">
      <c r="A343" s="6">
        <v>45625.35180207176</v>
      </c>
      <c r="B343" s="7" t="s">
        <v>18</v>
      </c>
      <c r="C343" s="5" t="str">
        <f>LEFT(Form_Responses1[[#This Row],[問１　あなたは何年生ですか。]],3)</f>
        <v>中学校</v>
      </c>
      <c r="D343" s="7" t="s">
        <v>346</v>
      </c>
      <c r="E343" s="7" t="s">
        <v>10</v>
      </c>
      <c r="F343" s="8"/>
    </row>
    <row r="344" spans="1:6" ht="12.75">
      <c r="A344" s="6">
        <v>45625.35198162037</v>
      </c>
      <c r="B344" s="7" t="s">
        <v>18</v>
      </c>
      <c r="C344" s="5" t="str">
        <f>LEFT(Form_Responses1[[#This Row],[問１　あなたは何年生ですか。]],3)</f>
        <v>中学校</v>
      </c>
      <c r="D344" s="7" t="s">
        <v>12</v>
      </c>
      <c r="E344" s="7" t="s">
        <v>10</v>
      </c>
      <c r="F344" s="7" t="s">
        <v>347</v>
      </c>
    </row>
    <row r="345" spans="1:6" ht="12.75">
      <c r="A345" s="6">
        <v>45625.352164143522</v>
      </c>
      <c r="B345" s="7" t="s">
        <v>18</v>
      </c>
      <c r="C345" s="5" t="str">
        <f>LEFT(Form_Responses1[[#This Row],[問１　あなたは何年生ですか。]],3)</f>
        <v>中学校</v>
      </c>
      <c r="D345" s="7" t="s">
        <v>19</v>
      </c>
      <c r="E345" s="7" t="s">
        <v>7</v>
      </c>
      <c r="F345" s="7" t="s">
        <v>348</v>
      </c>
    </row>
    <row r="346" spans="1:6" ht="12.75">
      <c r="A346" s="6">
        <v>45625.352839224535</v>
      </c>
      <c r="B346" s="7" t="s">
        <v>18</v>
      </c>
      <c r="C346" s="5" t="str">
        <f>LEFT(Form_Responses1[[#This Row],[問１　あなたは何年生ですか。]],3)</f>
        <v>中学校</v>
      </c>
      <c r="D346" s="7" t="s">
        <v>91</v>
      </c>
      <c r="E346" s="7" t="s">
        <v>10</v>
      </c>
      <c r="F346" s="7" t="s">
        <v>112</v>
      </c>
    </row>
    <row r="347" spans="1:6" ht="12.75">
      <c r="A347" s="6">
        <v>45625.380181875</v>
      </c>
      <c r="B347" s="7" t="s">
        <v>289</v>
      </c>
      <c r="C347" s="5" t="str">
        <f>LEFT(Form_Responses1[[#This Row],[問１　あなたは何年生ですか。]],3)</f>
        <v>小学校</v>
      </c>
      <c r="D347" s="7" t="s">
        <v>30</v>
      </c>
      <c r="E347" s="7" t="s">
        <v>10</v>
      </c>
      <c r="F347" s="7" t="s">
        <v>349</v>
      </c>
    </row>
    <row r="348" spans="1:6" ht="12.75">
      <c r="A348" s="6">
        <v>45625.380585127314</v>
      </c>
      <c r="B348" s="7" t="s">
        <v>289</v>
      </c>
      <c r="C348" s="5" t="str">
        <f>LEFT(Form_Responses1[[#This Row],[問１　あなたは何年生ですか。]],3)</f>
        <v>小学校</v>
      </c>
      <c r="D348" s="7" t="s">
        <v>30</v>
      </c>
      <c r="E348" s="7" t="s">
        <v>10</v>
      </c>
      <c r="F348" s="7" t="s">
        <v>350</v>
      </c>
    </row>
    <row r="349" spans="1:6" ht="12.75">
      <c r="A349" s="6">
        <v>45625.380779733794</v>
      </c>
      <c r="B349" s="7" t="s">
        <v>289</v>
      </c>
      <c r="C349" s="5" t="str">
        <f>LEFT(Form_Responses1[[#This Row],[問１　あなたは何年生ですか。]],3)</f>
        <v>小学校</v>
      </c>
      <c r="D349" s="7" t="s">
        <v>19</v>
      </c>
      <c r="E349" s="7" t="s">
        <v>15</v>
      </c>
      <c r="F349" s="7" t="s">
        <v>351</v>
      </c>
    </row>
    <row r="350" spans="1:6" ht="12.75">
      <c r="A350" s="6">
        <v>45625.380996284723</v>
      </c>
      <c r="B350" s="7" t="s">
        <v>289</v>
      </c>
      <c r="C350" s="5" t="str">
        <f>LEFT(Form_Responses1[[#This Row],[問１　あなたは何年生ですか。]],3)</f>
        <v>小学校</v>
      </c>
      <c r="D350" s="7" t="s">
        <v>19</v>
      </c>
      <c r="E350" s="7" t="s">
        <v>7</v>
      </c>
      <c r="F350" s="7" t="s">
        <v>352</v>
      </c>
    </row>
    <row r="351" spans="1:6" ht="12.75">
      <c r="A351" s="6">
        <v>45625.381001030095</v>
      </c>
      <c r="B351" s="7" t="s">
        <v>289</v>
      </c>
      <c r="C351" s="5" t="str">
        <f>LEFT(Form_Responses1[[#This Row],[問１　あなたは何年生ですか。]],3)</f>
        <v>小学校</v>
      </c>
      <c r="D351" s="7" t="s">
        <v>30</v>
      </c>
      <c r="E351" s="7" t="s">
        <v>7</v>
      </c>
      <c r="F351" s="7" t="s">
        <v>353</v>
      </c>
    </row>
    <row r="352" spans="1:6" ht="12.75">
      <c r="A352" s="6">
        <v>45625.381061863431</v>
      </c>
      <c r="B352" s="7" t="s">
        <v>289</v>
      </c>
      <c r="C352" s="5" t="str">
        <f>LEFT(Form_Responses1[[#This Row],[問１　あなたは何年生ですか。]],3)</f>
        <v>小学校</v>
      </c>
      <c r="D352" s="7" t="s">
        <v>30</v>
      </c>
      <c r="E352" s="7" t="s">
        <v>7</v>
      </c>
      <c r="F352" s="7" t="s">
        <v>353</v>
      </c>
    </row>
    <row r="353" spans="1:6" ht="12.75">
      <c r="A353" s="6">
        <v>45625.381134270836</v>
      </c>
      <c r="B353" s="7" t="s">
        <v>289</v>
      </c>
      <c r="C353" s="5" t="str">
        <f>LEFT(Form_Responses1[[#This Row],[問１　あなたは何年生ですか。]],3)</f>
        <v>小学校</v>
      </c>
      <c r="D353" s="7" t="s">
        <v>354</v>
      </c>
      <c r="E353" s="7" t="s">
        <v>7</v>
      </c>
      <c r="F353" s="7" t="s">
        <v>355</v>
      </c>
    </row>
    <row r="354" spans="1:6" ht="12.75">
      <c r="A354" s="6">
        <v>45625.381242013886</v>
      </c>
      <c r="B354" s="7" t="s">
        <v>289</v>
      </c>
      <c r="C354" s="5" t="str">
        <f>LEFT(Form_Responses1[[#This Row],[問１　あなたは何年生ですか。]],3)</f>
        <v>小学校</v>
      </c>
      <c r="D354" s="7" t="s">
        <v>30</v>
      </c>
      <c r="E354" s="7" t="s">
        <v>7</v>
      </c>
      <c r="F354" s="7" t="s">
        <v>356</v>
      </c>
    </row>
    <row r="355" spans="1:6" ht="12.75">
      <c r="A355" s="6">
        <v>45625.381251168983</v>
      </c>
      <c r="B355" s="7" t="s">
        <v>289</v>
      </c>
      <c r="C355" s="5" t="str">
        <f>LEFT(Form_Responses1[[#This Row],[問１　あなたは何年生ですか。]],3)</f>
        <v>小学校</v>
      </c>
      <c r="D355" s="7" t="s">
        <v>6</v>
      </c>
      <c r="E355" s="7" t="s">
        <v>10</v>
      </c>
      <c r="F355" s="7" t="s">
        <v>357</v>
      </c>
    </row>
    <row r="356" spans="1:6" ht="12.75">
      <c r="A356" s="6">
        <v>45625.38125982639</v>
      </c>
      <c r="B356" s="7" t="s">
        <v>289</v>
      </c>
      <c r="C356" s="5" t="str">
        <f>LEFT(Form_Responses1[[#This Row],[問１　あなたは何年生ですか。]],3)</f>
        <v>小学校</v>
      </c>
      <c r="D356" s="7" t="s">
        <v>6</v>
      </c>
      <c r="E356" s="7" t="s">
        <v>7</v>
      </c>
      <c r="F356" s="7" t="s">
        <v>358</v>
      </c>
    </row>
    <row r="357" spans="1:6" ht="12.75">
      <c r="A357" s="6">
        <v>45625.381309699078</v>
      </c>
      <c r="B357" s="7" t="s">
        <v>289</v>
      </c>
      <c r="C357" s="5" t="str">
        <f>LEFT(Form_Responses1[[#This Row],[問１　あなたは何年生ですか。]],3)</f>
        <v>小学校</v>
      </c>
      <c r="D357" s="7" t="s">
        <v>22</v>
      </c>
      <c r="E357" s="7" t="s">
        <v>7</v>
      </c>
      <c r="F357" s="7" t="s">
        <v>359</v>
      </c>
    </row>
    <row r="358" spans="1:6" ht="12.75">
      <c r="A358" s="6">
        <v>45625.381500902775</v>
      </c>
      <c r="B358" s="7" t="s">
        <v>289</v>
      </c>
      <c r="C358" s="5" t="str">
        <f>LEFT(Form_Responses1[[#This Row],[問１　あなたは何年生ですか。]],3)</f>
        <v>小学校</v>
      </c>
      <c r="D358" s="7" t="s">
        <v>6</v>
      </c>
      <c r="E358" s="7" t="s">
        <v>7</v>
      </c>
      <c r="F358" s="7" t="s">
        <v>360</v>
      </c>
    </row>
    <row r="359" spans="1:6" ht="12.75">
      <c r="A359" s="6">
        <v>45625.381706840279</v>
      </c>
      <c r="B359" s="7" t="s">
        <v>289</v>
      </c>
      <c r="C359" s="5" t="str">
        <f>LEFT(Form_Responses1[[#This Row],[問１　あなたは何年生ですか。]],3)</f>
        <v>小学校</v>
      </c>
      <c r="D359" s="7" t="s">
        <v>19</v>
      </c>
      <c r="E359" s="7" t="s">
        <v>15</v>
      </c>
      <c r="F359" s="7" t="s">
        <v>361</v>
      </c>
    </row>
    <row r="360" spans="1:6" ht="12.75">
      <c r="A360" s="6">
        <v>45625.382143460651</v>
      </c>
      <c r="B360" s="7" t="s">
        <v>289</v>
      </c>
      <c r="C360" s="5" t="str">
        <f>LEFT(Form_Responses1[[#This Row],[問１　あなたは何年生ですか。]],3)</f>
        <v>小学校</v>
      </c>
      <c r="D360" s="7" t="s">
        <v>14</v>
      </c>
      <c r="E360" s="7" t="s">
        <v>10</v>
      </c>
      <c r="F360" s="7" t="s">
        <v>362</v>
      </c>
    </row>
    <row r="361" spans="1:6" ht="12.75">
      <c r="A361" s="6">
        <v>45625.382184178241</v>
      </c>
      <c r="B361" s="7" t="s">
        <v>289</v>
      </c>
      <c r="C361" s="5" t="str">
        <f>LEFT(Form_Responses1[[#This Row],[問１　あなたは何年生ですか。]],3)</f>
        <v>小学校</v>
      </c>
      <c r="D361" s="7" t="s">
        <v>6</v>
      </c>
      <c r="E361" s="7" t="s">
        <v>7</v>
      </c>
      <c r="F361" s="7" t="s">
        <v>363</v>
      </c>
    </row>
    <row r="362" spans="1:6" ht="12.75">
      <c r="A362" s="6">
        <v>45625.382255115735</v>
      </c>
      <c r="B362" s="7" t="s">
        <v>289</v>
      </c>
      <c r="C362" s="5" t="str">
        <f>LEFT(Form_Responses1[[#This Row],[問１　あなたは何年生ですか。]],3)</f>
        <v>小学校</v>
      </c>
      <c r="D362" s="7" t="s">
        <v>19</v>
      </c>
      <c r="E362" s="7" t="s">
        <v>15</v>
      </c>
      <c r="F362" s="7" t="s">
        <v>364</v>
      </c>
    </row>
    <row r="363" spans="1:6" ht="12.75">
      <c r="A363" s="6">
        <v>45625.382444340277</v>
      </c>
      <c r="B363" s="7" t="s">
        <v>289</v>
      </c>
      <c r="C363" s="5" t="str">
        <f>LEFT(Form_Responses1[[#This Row],[問１　あなたは何年生ですか。]],3)</f>
        <v>小学校</v>
      </c>
      <c r="D363" s="7" t="s">
        <v>19</v>
      </c>
      <c r="E363" s="7" t="s">
        <v>7</v>
      </c>
      <c r="F363" s="7" t="s">
        <v>365</v>
      </c>
    </row>
    <row r="364" spans="1:6" ht="12.75">
      <c r="A364" s="6">
        <v>45625.382626666666</v>
      </c>
      <c r="B364" s="7" t="s">
        <v>289</v>
      </c>
      <c r="C364" s="5" t="str">
        <f>LEFT(Form_Responses1[[#This Row],[問１　あなたは何年生ですか。]],3)</f>
        <v>小学校</v>
      </c>
      <c r="D364" s="7" t="s">
        <v>19</v>
      </c>
      <c r="E364" s="7" t="s">
        <v>10</v>
      </c>
      <c r="F364" s="7" t="s">
        <v>366</v>
      </c>
    </row>
    <row r="365" spans="1:6" ht="12.75">
      <c r="A365" s="6">
        <v>45625.383022916663</v>
      </c>
      <c r="B365" s="7" t="s">
        <v>289</v>
      </c>
      <c r="C365" s="5" t="str">
        <f>LEFT(Form_Responses1[[#This Row],[問１　あなたは何年生ですか。]],3)</f>
        <v>小学校</v>
      </c>
      <c r="D365" s="7" t="s">
        <v>14</v>
      </c>
      <c r="E365" s="7" t="s">
        <v>10</v>
      </c>
      <c r="F365" s="7" t="s">
        <v>367</v>
      </c>
    </row>
    <row r="366" spans="1:6" ht="12.75">
      <c r="A366" s="6">
        <v>45625.383289988429</v>
      </c>
      <c r="B366" s="7" t="s">
        <v>289</v>
      </c>
      <c r="C366" s="5" t="str">
        <f>LEFT(Form_Responses1[[#This Row],[問１　あなたは何年生ですか。]],3)</f>
        <v>小学校</v>
      </c>
      <c r="D366" s="7" t="s">
        <v>6</v>
      </c>
      <c r="E366" s="7" t="s">
        <v>10</v>
      </c>
      <c r="F366" s="7" t="s">
        <v>368</v>
      </c>
    </row>
    <row r="367" spans="1:6" ht="12.75">
      <c r="A367" s="6">
        <v>45625.383910879631</v>
      </c>
      <c r="B367" s="7" t="s">
        <v>289</v>
      </c>
      <c r="C367" s="5" t="str">
        <f>LEFT(Form_Responses1[[#This Row],[問１　あなたは何年生ですか。]],3)</f>
        <v>小学校</v>
      </c>
      <c r="D367" s="7" t="s">
        <v>14</v>
      </c>
      <c r="E367" s="7" t="s">
        <v>10</v>
      </c>
      <c r="F367" s="7" t="s">
        <v>369</v>
      </c>
    </row>
    <row r="368" spans="1:6" ht="12.75">
      <c r="A368" s="6">
        <v>45625.386412268519</v>
      </c>
      <c r="B368" s="7" t="s">
        <v>289</v>
      </c>
      <c r="C368" s="5" t="str">
        <f>LEFT(Form_Responses1[[#This Row],[問１　あなたは何年生ですか。]],3)</f>
        <v>小学校</v>
      </c>
      <c r="D368" s="7" t="s">
        <v>24</v>
      </c>
      <c r="E368" s="7" t="s">
        <v>10</v>
      </c>
      <c r="F368" s="7" t="s">
        <v>370</v>
      </c>
    </row>
    <row r="369" spans="1:6" ht="12.75">
      <c r="A369" s="6">
        <v>45625.388008437498</v>
      </c>
      <c r="B369" s="7" t="s">
        <v>21</v>
      </c>
      <c r="C369" s="5" t="str">
        <f>LEFT(Form_Responses1[[#This Row],[問１　あなたは何年生ですか。]],3)</f>
        <v>小学校</v>
      </c>
      <c r="D369" s="7" t="s">
        <v>6</v>
      </c>
      <c r="E369" s="7" t="s">
        <v>10</v>
      </c>
      <c r="F369" s="8"/>
    </row>
    <row r="370" spans="1:6" ht="12.75">
      <c r="A370" s="6">
        <v>45625.388033136573</v>
      </c>
      <c r="B370" s="7" t="s">
        <v>21</v>
      </c>
      <c r="C370" s="5" t="str">
        <f>LEFT(Form_Responses1[[#This Row],[問１　あなたは何年生ですか。]],3)</f>
        <v>小学校</v>
      </c>
      <c r="D370" s="7" t="s">
        <v>24</v>
      </c>
      <c r="E370" s="7" t="s">
        <v>10</v>
      </c>
      <c r="F370" s="8"/>
    </row>
    <row r="371" spans="1:6" ht="12.75">
      <c r="A371" s="6">
        <v>45625.388088900465</v>
      </c>
      <c r="B371" s="7" t="s">
        <v>21</v>
      </c>
      <c r="C371" s="5" t="str">
        <f>LEFT(Form_Responses1[[#This Row],[問１　あなたは何年生ですか。]],3)</f>
        <v>小学校</v>
      </c>
      <c r="D371" s="7" t="s">
        <v>6</v>
      </c>
      <c r="E371" s="7" t="s">
        <v>10</v>
      </c>
      <c r="F371" s="8"/>
    </row>
    <row r="372" spans="1:6" ht="12.75">
      <c r="A372" s="6">
        <v>45625.388109409723</v>
      </c>
      <c r="B372" s="7" t="s">
        <v>21</v>
      </c>
      <c r="C372" s="5" t="str">
        <f>LEFT(Form_Responses1[[#This Row],[問１　あなたは何年生ですか。]],3)</f>
        <v>小学校</v>
      </c>
      <c r="D372" s="7" t="s">
        <v>30</v>
      </c>
      <c r="E372" s="7" t="s">
        <v>7</v>
      </c>
      <c r="F372" s="8"/>
    </row>
    <row r="373" spans="1:6" ht="12.75">
      <c r="A373" s="6">
        <v>45625.388268124996</v>
      </c>
      <c r="B373" s="7" t="s">
        <v>21</v>
      </c>
      <c r="C373" s="5" t="str">
        <f>LEFT(Form_Responses1[[#This Row],[問１　あなたは何年生ですか。]],3)</f>
        <v>小学校</v>
      </c>
      <c r="D373" s="7" t="s">
        <v>22</v>
      </c>
      <c r="E373" s="7" t="s">
        <v>7</v>
      </c>
      <c r="F373" s="8"/>
    </row>
    <row r="374" spans="1:6" ht="12.75">
      <c r="A374" s="6">
        <v>45625.388337916665</v>
      </c>
      <c r="B374" s="7" t="s">
        <v>21</v>
      </c>
      <c r="C374" s="5" t="str">
        <f>LEFT(Form_Responses1[[#This Row],[問１　あなたは何年生ですか。]],3)</f>
        <v>小学校</v>
      </c>
      <c r="D374" s="7" t="s">
        <v>6</v>
      </c>
      <c r="E374" s="7" t="s">
        <v>67</v>
      </c>
      <c r="F374" s="8"/>
    </row>
    <row r="375" spans="1:6" ht="12.75">
      <c r="A375" s="6">
        <v>45625.388496840278</v>
      </c>
      <c r="B375" s="7" t="s">
        <v>21</v>
      </c>
      <c r="C375" s="5" t="str">
        <f>LEFT(Form_Responses1[[#This Row],[問１　あなたは何年生ですか。]],3)</f>
        <v>小学校</v>
      </c>
      <c r="D375" s="7" t="s">
        <v>371</v>
      </c>
      <c r="E375" s="7" t="s">
        <v>7</v>
      </c>
      <c r="F375" s="8"/>
    </row>
    <row r="376" spans="1:6" ht="12.75">
      <c r="A376" s="6">
        <v>45625.388809282405</v>
      </c>
      <c r="B376" s="7" t="s">
        <v>21</v>
      </c>
      <c r="C376" s="5" t="str">
        <f>LEFT(Form_Responses1[[#This Row],[問１　あなたは何年生ですか。]],3)</f>
        <v>小学校</v>
      </c>
      <c r="D376" s="7" t="s">
        <v>19</v>
      </c>
      <c r="E376" s="7" t="s">
        <v>15</v>
      </c>
      <c r="F376" s="8"/>
    </row>
    <row r="377" spans="1:6" ht="12.75">
      <c r="A377" s="6">
        <v>45625.388899375001</v>
      </c>
      <c r="B377" s="7" t="s">
        <v>21</v>
      </c>
      <c r="C377" s="5" t="str">
        <f>LEFT(Form_Responses1[[#This Row],[問１　あなたは何年生ですか。]],3)</f>
        <v>小学校</v>
      </c>
      <c r="D377" s="7" t="s">
        <v>9</v>
      </c>
      <c r="E377" s="7" t="s">
        <v>10</v>
      </c>
      <c r="F377" s="8"/>
    </row>
    <row r="378" spans="1:6" ht="12.75">
      <c r="A378" s="6">
        <v>45625.389023206022</v>
      </c>
      <c r="B378" s="7" t="s">
        <v>21</v>
      </c>
      <c r="C378" s="5" t="str">
        <f>LEFT(Form_Responses1[[#This Row],[問１　あなたは何年生ですか。]],3)</f>
        <v>小学校</v>
      </c>
      <c r="D378" s="7" t="s">
        <v>19</v>
      </c>
      <c r="E378" s="7" t="s">
        <v>10</v>
      </c>
      <c r="F378" s="7" t="s">
        <v>372</v>
      </c>
    </row>
    <row r="379" spans="1:6" ht="12.75">
      <c r="A379" s="6">
        <v>45625.389037974535</v>
      </c>
      <c r="B379" s="7" t="s">
        <v>21</v>
      </c>
      <c r="C379" s="5" t="str">
        <f>LEFT(Form_Responses1[[#This Row],[問１　あなたは何年生ですか。]],3)</f>
        <v>小学校</v>
      </c>
      <c r="D379" s="7" t="s">
        <v>12</v>
      </c>
      <c r="E379" s="7" t="s">
        <v>10</v>
      </c>
      <c r="F379" s="8"/>
    </row>
    <row r="380" spans="1:6" ht="12.75">
      <c r="A380" s="6">
        <v>45625.389049282407</v>
      </c>
      <c r="B380" s="7" t="s">
        <v>21</v>
      </c>
      <c r="C380" s="5" t="str">
        <f>LEFT(Form_Responses1[[#This Row],[問１　あなたは何年生ですか。]],3)</f>
        <v>小学校</v>
      </c>
      <c r="D380" s="7" t="s">
        <v>14</v>
      </c>
      <c r="E380" s="7" t="s">
        <v>10</v>
      </c>
      <c r="F380" s="8"/>
    </row>
    <row r="381" spans="1:6" ht="12.75">
      <c r="A381" s="6">
        <v>45625.389074444443</v>
      </c>
      <c r="B381" s="7" t="s">
        <v>21</v>
      </c>
      <c r="C381" s="5" t="str">
        <f>LEFT(Form_Responses1[[#This Row],[問１　あなたは何年生ですか。]],3)</f>
        <v>小学校</v>
      </c>
      <c r="D381" s="7" t="s">
        <v>22</v>
      </c>
      <c r="E381" s="7" t="s">
        <v>15</v>
      </c>
      <c r="F381" s="7" t="s">
        <v>373</v>
      </c>
    </row>
    <row r="382" spans="1:6" ht="12.75">
      <c r="A382" s="6">
        <v>45625.3890927662</v>
      </c>
      <c r="B382" s="7" t="s">
        <v>21</v>
      </c>
      <c r="C382" s="5" t="str">
        <f>LEFT(Form_Responses1[[#This Row],[問１　あなたは何年生ですか。]],3)</f>
        <v>小学校</v>
      </c>
      <c r="D382" s="7" t="s">
        <v>22</v>
      </c>
      <c r="E382" s="7" t="s">
        <v>10</v>
      </c>
      <c r="F382" s="8"/>
    </row>
    <row r="383" spans="1:6" ht="12.75">
      <c r="A383" s="6">
        <v>45625.389136076388</v>
      </c>
      <c r="B383" s="7" t="s">
        <v>21</v>
      </c>
      <c r="C383" s="5" t="str">
        <f>LEFT(Form_Responses1[[#This Row],[問１　あなたは何年生ですか。]],3)</f>
        <v>小学校</v>
      </c>
      <c r="D383" s="7" t="s">
        <v>6</v>
      </c>
      <c r="E383" s="7" t="s">
        <v>7</v>
      </c>
      <c r="F383" s="8"/>
    </row>
    <row r="384" spans="1:6" ht="12.75">
      <c r="A384" s="6">
        <v>45625.389138229162</v>
      </c>
      <c r="B384" s="7" t="s">
        <v>21</v>
      </c>
      <c r="C384" s="5" t="str">
        <f>LEFT(Form_Responses1[[#This Row],[問１　あなたは何年生ですか。]],3)</f>
        <v>小学校</v>
      </c>
      <c r="D384" s="7" t="s">
        <v>6</v>
      </c>
      <c r="E384" s="7" t="s">
        <v>10</v>
      </c>
      <c r="F384" s="7" t="s">
        <v>374</v>
      </c>
    </row>
    <row r="385" spans="1:6" ht="12.75">
      <c r="A385" s="6">
        <v>45625.389182511572</v>
      </c>
      <c r="B385" s="7" t="s">
        <v>21</v>
      </c>
      <c r="C385" s="5" t="str">
        <f>LEFT(Form_Responses1[[#This Row],[問１　あなたは何年生ですか。]],3)</f>
        <v>小学校</v>
      </c>
      <c r="D385" s="7" t="s">
        <v>22</v>
      </c>
      <c r="E385" s="7" t="s">
        <v>10</v>
      </c>
      <c r="F385" s="7" t="s">
        <v>375</v>
      </c>
    </row>
    <row r="386" spans="1:6" ht="12.75">
      <c r="A386" s="6">
        <v>45625.389379907407</v>
      </c>
      <c r="B386" s="7" t="s">
        <v>21</v>
      </c>
      <c r="C386" s="5" t="str">
        <f>LEFT(Form_Responses1[[#This Row],[問１　あなたは何年生ですか。]],3)</f>
        <v>小学校</v>
      </c>
      <c r="D386" s="7" t="s">
        <v>22</v>
      </c>
      <c r="E386" s="7" t="s">
        <v>10</v>
      </c>
      <c r="F386" s="7" t="s">
        <v>376</v>
      </c>
    </row>
    <row r="387" spans="1:6" ht="12.75">
      <c r="A387" s="6">
        <v>45625.389450000002</v>
      </c>
      <c r="B387" s="7" t="s">
        <v>21</v>
      </c>
      <c r="C387" s="5" t="str">
        <f>LEFT(Form_Responses1[[#This Row],[問１　あなたは何年生ですか。]],3)</f>
        <v>小学校</v>
      </c>
      <c r="D387" s="7" t="s">
        <v>377</v>
      </c>
      <c r="E387" s="7" t="s">
        <v>10</v>
      </c>
      <c r="F387" s="7" t="s">
        <v>378</v>
      </c>
    </row>
    <row r="388" spans="1:6" ht="12.75">
      <c r="A388" s="6">
        <v>45625.389583460652</v>
      </c>
      <c r="B388" s="7" t="s">
        <v>21</v>
      </c>
      <c r="C388" s="5" t="str">
        <f>LEFT(Form_Responses1[[#This Row],[問１　あなたは何年生ですか。]],3)</f>
        <v>小学校</v>
      </c>
      <c r="D388" s="7" t="s">
        <v>22</v>
      </c>
      <c r="E388" s="7" t="s">
        <v>10</v>
      </c>
      <c r="F388" s="7" t="s">
        <v>379</v>
      </c>
    </row>
    <row r="389" spans="1:6" ht="12.75">
      <c r="A389" s="6">
        <v>45625.390533576385</v>
      </c>
      <c r="B389" s="7" t="s">
        <v>21</v>
      </c>
      <c r="C389" s="5" t="str">
        <f>LEFT(Form_Responses1[[#This Row],[問１　あなたは何年生ですか。]],3)</f>
        <v>小学校</v>
      </c>
      <c r="D389" s="7" t="s">
        <v>14</v>
      </c>
      <c r="E389" s="7" t="s">
        <v>10</v>
      </c>
      <c r="F389" s="7" t="s">
        <v>380</v>
      </c>
    </row>
    <row r="390" spans="1:6" ht="12.75">
      <c r="A390" s="6">
        <v>45625.391784259264</v>
      </c>
      <c r="B390" s="7" t="s">
        <v>21</v>
      </c>
      <c r="C390" s="5" t="str">
        <f>LEFT(Form_Responses1[[#This Row],[問１　あなたは何年生ですか。]],3)</f>
        <v>小学校</v>
      </c>
      <c r="D390" s="7" t="s">
        <v>381</v>
      </c>
      <c r="E390" s="7" t="s">
        <v>10</v>
      </c>
      <c r="F390" s="7" t="s">
        <v>382</v>
      </c>
    </row>
    <row r="391" spans="1:6" ht="12.75">
      <c r="A391" s="6">
        <v>45625.392505451389</v>
      </c>
      <c r="B391" s="7" t="s">
        <v>23</v>
      </c>
      <c r="C391" s="5" t="str">
        <f>LEFT(Form_Responses1[[#This Row],[問１　あなたは何年生ですか。]],3)</f>
        <v>小学校</v>
      </c>
      <c r="D391" s="7" t="s">
        <v>6</v>
      </c>
      <c r="E391" s="7" t="s">
        <v>15</v>
      </c>
      <c r="F391" s="7" t="s">
        <v>383</v>
      </c>
    </row>
    <row r="392" spans="1:6" ht="12.75">
      <c r="A392" s="6">
        <v>45625.392696145835</v>
      </c>
      <c r="B392" s="7" t="s">
        <v>23</v>
      </c>
      <c r="C392" s="5" t="str">
        <f>LEFT(Form_Responses1[[#This Row],[問１　あなたは何年生ですか。]],3)</f>
        <v>小学校</v>
      </c>
      <c r="D392" s="7" t="s">
        <v>19</v>
      </c>
      <c r="E392" s="7" t="s">
        <v>7</v>
      </c>
      <c r="F392" s="7" t="s">
        <v>384</v>
      </c>
    </row>
    <row r="393" spans="1:6" ht="12.75">
      <c r="A393" s="6">
        <v>45625.392770277773</v>
      </c>
      <c r="B393" s="7" t="s">
        <v>23</v>
      </c>
      <c r="C393" s="5" t="str">
        <f>LEFT(Form_Responses1[[#This Row],[問１　あなたは何年生ですか。]],3)</f>
        <v>小学校</v>
      </c>
      <c r="D393" s="7" t="s">
        <v>6</v>
      </c>
      <c r="E393" s="7" t="s">
        <v>7</v>
      </c>
      <c r="F393" s="7" t="s">
        <v>385</v>
      </c>
    </row>
    <row r="394" spans="1:6" ht="12.75">
      <c r="A394" s="6">
        <v>45625.392850115742</v>
      </c>
      <c r="B394" s="7" t="s">
        <v>23</v>
      </c>
      <c r="C394" s="5" t="str">
        <f>LEFT(Form_Responses1[[#This Row],[問１　あなたは何年生ですか。]],3)</f>
        <v>小学校</v>
      </c>
      <c r="D394" s="7" t="s">
        <v>24</v>
      </c>
      <c r="E394" s="7" t="s">
        <v>7</v>
      </c>
      <c r="F394" s="7" t="s">
        <v>386</v>
      </c>
    </row>
    <row r="395" spans="1:6" ht="12.75">
      <c r="A395" s="6">
        <v>45625.393127835647</v>
      </c>
      <c r="B395" s="7" t="s">
        <v>23</v>
      </c>
      <c r="C395" s="5" t="str">
        <f>LEFT(Form_Responses1[[#This Row],[問１　あなたは何年生ですか。]],3)</f>
        <v>小学校</v>
      </c>
      <c r="D395" s="7" t="s">
        <v>24</v>
      </c>
      <c r="E395" s="7" t="s">
        <v>7</v>
      </c>
      <c r="F395" s="7" t="s">
        <v>387</v>
      </c>
    </row>
    <row r="396" spans="1:6" ht="12.75">
      <c r="A396" s="6">
        <v>45625.393175844903</v>
      </c>
      <c r="B396" s="7" t="s">
        <v>23</v>
      </c>
      <c r="C396" s="5" t="str">
        <f>LEFT(Form_Responses1[[#This Row],[問１　あなたは何年生ですか。]],3)</f>
        <v>小学校</v>
      </c>
      <c r="D396" s="7" t="s">
        <v>19</v>
      </c>
      <c r="E396" s="7" t="s">
        <v>15</v>
      </c>
      <c r="F396" s="7" t="s">
        <v>388</v>
      </c>
    </row>
    <row r="397" spans="1:6" ht="12.75">
      <c r="A397" s="6">
        <v>45625.393198935184</v>
      </c>
      <c r="B397" s="7" t="s">
        <v>23</v>
      </c>
      <c r="C397" s="5" t="str">
        <f>LEFT(Form_Responses1[[#This Row],[問１　あなたは何年生ですか。]],3)</f>
        <v>小学校</v>
      </c>
      <c r="D397" s="7" t="s">
        <v>6</v>
      </c>
      <c r="E397" s="7" t="s">
        <v>10</v>
      </c>
      <c r="F397" s="7" t="s">
        <v>389</v>
      </c>
    </row>
    <row r="398" spans="1:6" ht="12.75">
      <c r="A398" s="6">
        <v>45625.393224270832</v>
      </c>
      <c r="B398" s="7" t="s">
        <v>23</v>
      </c>
      <c r="C398" s="5" t="str">
        <f>LEFT(Form_Responses1[[#This Row],[問１　あなたは何年生ですか。]],3)</f>
        <v>小学校</v>
      </c>
      <c r="D398" s="7" t="s">
        <v>12</v>
      </c>
      <c r="E398" s="7" t="s">
        <v>7</v>
      </c>
      <c r="F398" s="7" t="s">
        <v>390</v>
      </c>
    </row>
    <row r="399" spans="1:6" ht="12.75">
      <c r="A399" s="6">
        <v>45625.393515706019</v>
      </c>
      <c r="B399" s="7" t="s">
        <v>23</v>
      </c>
      <c r="C399" s="5" t="str">
        <f>LEFT(Form_Responses1[[#This Row],[問１　あなたは何年生ですか。]],3)</f>
        <v>小学校</v>
      </c>
      <c r="D399" s="7" t="s">
        <v>12</v>
      </c>
      <c r="E399" s="7" t="s">
        <v>7</v>
      </c>
      <c r="F399" s="7" t="s">
        <v>391</v>
      </c>
    </row>
    <row r="400" spans="1:6" ht="12.75">
      <c r="A400" s="6">
        <v>45625.393530324072</v>
      </c>
      <c r="B400" s="7" t="s">
        <v>23</v>
      </c>
      <c r="C400" s="5" t="str">
        <f>LEFT(Form_Responses1[[#This Row],[問１　あなたは何年生ですか。]],3)</f>
        <v>小学校</v>
      </c>
      <c r="D400" s="7" t="s">
        <v>9</v>
      </c>
      <c r="E400" s="7" t="s">
        <v>10</v>
      </c>
      <c r="F400" s="7" t="s">
        <v>392</v>
      </c>
    </row>
    <row r="401" spans="1:6" ht="12.75">
      <c r="A401" s="6">
        <v>45625.393674803243</v>
      </c>
      <c r="B401" s="7" t="s">
        <v>23</v>
      </c>
      <c r="C401" s="5" t="str">
        <f>LEFT(Form_Responses1[[#This Row],[問１　あなたは何年生ですか。]],3)</f>
        <v>小学校</v>
      </c>
      <c r="D401" s="7" t="s">
        <v>30</v>
      </c>
      <c r="E401" s="7" t="s">
        <v>10</v>
      </c>
      <c r="F401" s="7" t="s">
        <v>393</v>
      </c>
    </row>
    <row r="402" spans="1:6" ht="12.75">
      <c r="A402" s="6">
        <v>45625.393726400463</v>
      </c>
      <c r="B402" s="7" t="s">
        <v>23</v>
      </c>
      <c r="C402" s="5" t="str">
        <f>LEFT(Form_Responses1[[#This Row],[問１　あなたは何年生ですか。]],3)</f>
        <v>小学校</v>
      </c>
      <c r="D402" s="7" t="s">
        <v>24</v>
      </c>
      <c r="E402" s="7" t="s">
        <v>10</v>
      </c>
      <c r="F402" s="7" t="s">
        <v>394</v>
      </c>
    </row>
    <row r="403" spans="1:6" ht="12.75">
      <c r="A403" s="6">
        <v>45625.393736284721</v>
      </c>
      <c r="B403" s="7" t="s">
        <v>23</v>
      </c>
      <c r="C403" s="5" t="str">
        <f>LEFT(Form_Responses1[[#This Row],[問１　あなたは何年生ですか。]],3)</f>
        <v>小学校</v>
      </c>
      <c r="D403" s="7" t="s">
        <v>30</v>
      </c>
      <c r="E403" s="7" t="s">
        <v>7</v>
      </c>
      <c r="F403" s="7" t="s">
        <v>395</v>
      </c>
    </row>
    <row r="404" spans="1:6" ht="12.75">
      <c r="A404" s="6">
        <v>45625.393819247685</v>
      </c>
      <c r="B404" s="7" t="s">
        <v>23</v>
      </c>
      <c r="C404" s="5" t="str">
        <f>LEFT(Form_Responses1[[#This Row],[問１　あなたは何年生ですか。]],3)</f>
        <v>小学校</v>
      </c>
      <c r="D404" s="7" t="s">
        <v>19</v>
      </c>
      <c r="E404" s="7" t="s">
        <v>15</v>
      </c>
      <c r="F404" s="7" t="s">
        <v>396</v>
      </c>
    </row>
    <row r="405" spans="1:6" ht="12.75">
      <c r="A405" s="6">
        <v>45625.393834409726</v>
      </c>
      <c r="B405" s="7" t="s">
        <v>23</v>
      </c>
      <c r="C405" s="5" t="str">
        <f>LEFT(Form_Responses1[[#This Row],[問１　あなたは何年生ですか。]],3)</f>
        <v>小学校</v>
      </c>
      <c r="D405" s="7" t="s">
        <v>30</v>
      </c>
      <c r="E405" s="7" t="s">
        <v>7</v>
      </c>
      <c r="F405" s="7" t="s">
        <v>397</v>
      </c>
    </row>
    <row r="406" spans="1:6" ht="12.75">
      <c r="A406" s="6">
        <v>45625.393956400461</v>
      </c>
      <c r="B406" s="7" t="s">
        <v>23</v>
      </c>
      <c r="C406" s="5" t="str">
        <f>LEFT(Form_Responses1[[#This Row],[問１　あなたは何年生ですか。]],3)</f>
        <v>小学校</v>
      </c>
      <c r="D406" s="7" t="s">
        <v>30</v>
      </c>
      <c r="E406" s="7" t="s">
        <v>7</v>
      </c>
      <c r="F406" s="7" t="s">
        <v>398</v>
      </c>
    </row>
    <row r="407" spans="1:6" ht="12.75">
      <c r="A407" s="6">
        <v>45625.394005439812</v>
      </c>
      <c r="B407" s="7" t="s">
        <v>23</v>
      </c>
      <c r="C407" s="5" t="str">
        <f>LEFT(Form_Responses1[[#This Row],[問１　あなたは何年生ですか。]],3)</f>
        <v>小学校</v>
      </c>
      <c r="D407" s="7" t="s">
        <v>19</v>
      </c>
      <c r="E407" s="7" t="s">
        <v>7</v>
      </c>
      <c r="F407" s="7" t="s">
        <v>399</v>
      </c>
    </row>
    <row r="408" spans="1:6" ht="12.75">
      <c r="A408" s="6">
        <v>45625.394095162032</v>
      </c>
      <c r="B408" s="7" t="s">
        <v>23</v>
      </c>
      <c r="C408" s="5" t="str">
        <f>LEFT(Form_Responses1[[#This Row],[問１　あなたは何年生ですか。]],3)</f>
        <v>小学校</v>
      </c>
      <c r="D408" s="7" t="s">
        <v>24</v>
      </c>
      <c r="E408" s="7" t="s">
        <v>7</v>
      </c>
      <c r="F408" s="7" t="s">
        <v>400</v>
      </c>
    </row>
    <row r="409" spans="1:6" ht="12.75">
      <c r="A409" s="6">
        <v>45625.394125034727</v>
      </c>
      <c r="B409" s="7" t="s">
        <v>23</v>
      </c>
      <c r="C409" s="5" t="str">
        <f>LEFT(Form_Responses1[[#This Row],[問１　あなたは何年生ですか。]],3)</f>
        <v>小学校</v>
      </c>
      <c r="D409" s="7" t="s">
        <v>6</v>
      </c>
      <c r="E409" s="7" t="s">
        <v>15</v>
      </c>
      <c r="F409" s="7" t="s">
        <v>401</v>
      </c>
    </row>
    <row r="410" spans="1:6" ht="12.75">
      <c r="A410" s="6">
        <v>45625.394127916668</v>
      </c>
      <c r="B410" s="7" t="s">
        <v>23</v>
      </c>
      <c r="C410" s="5" t="str">
        <f>LEFT(Form_Responses1[[#This Row],[問１　あなたは何年生ですか。]],3)</f>
        <v>小学校</v>
      </c>
      <c r="D410" s="7" t="s">
        <v>6</v>
      </c>
      <c r="E410" s="7" t="s">
        <v>10</v>
      </c>
      <c r="F410" s="7" t="s">
        <v>402</v>
      </c>
    </row>
    <row r="411" spans="1:6" ht="12.75">
      <c r="A411" s="6">
        <v>45625.394207060184</v>
      </c>
      <c r="B411" s="7" t="s">
        <v>23</v>
      </c>
      <c r="C411" s="5" t="str">
        <f>LEFT(Form_Responses1[[#This Row],[問１　あなたは何年生ですか。]],3)</f>
        <v>小学校</v>
      </c>
      <c r="D411" s="7" t="s">
        <v>14</v>
      </c>
      <c r="E411" s="7" t="s">
        <v>10</v>
      </c>
      <c r="F411" s="7" t="s">
        <v>403</v>
      </c>
    </row>
    <row r="412" spans="1:6" ht="12.75">
      <c r="A412" s="6">
        <v>45625.39422021991</v>
      </c>
      <c r="B412" s="7" t="s">
        <v>23</v>
      </c>
      <c r="C412" s="5" t="str">
        <f>LEFT(Form_Responses1[[#This Row],[問１　あなたは何年生ですか。]],3)</f>
        <v>小学校</v>
      </c>
      <c r="D412" s="7" t="s">
        <v>30</v>
      </c>
      <c r="E412" s="7" t="s">
        <v>10</v>
      </c>
      <c r="F412" s="7" t="s">
        <v>404</v>
      </c>
    </row>
    <row r="413" spans="1:6" ht="12.75">
      <c r="A413" s="6">
        <v>45625.394556770829</v>
      </c>
      <c r="B413" s="7" t="s">
        <v>23</v>
      </c>
      <c r="C413" s="5" t="str">
        <f>LEFT(Form_Responses1[[#This Row],[問１　あなたは何年生ですか。]],3)</f>
        <v>小学校</v>
      </c>
      <c r="D413" s="7" t="s">
        <v>405</v>
      </c>
      <c r="E413" s="7" t="s">
        <v>10</v>
      </c>
      <c r="F413" s="7" t="s">
        <v>406</v>
      </c>
    </row>
    <row r="414" spans="1:6" ht="12.75">
      <c r="A414" s="6">
        <v>45625.394582013891</v>
      </c>
      <c r="B414" s="7" t="s">
        <v>23</v>
      </c>
      <c r="C414" s="5" t="str">
        <f>LEFT(Form_Responses1[[#This Row],[問１　あなたは何年生ですか。]],3)</f>
        <v>小学校</v>
      </c>
      <c r="D414" s="7" t="s">
        <v>24</v>
      </c>
      <c r="E414" s="7" t="s">
        <v>10</v>
      </c>
      <c r="F414" s="7" t="s">
        <v>407</v>
      </c>
    </row>
    <row r="415" spans="1:6" ht="12.75">
      <c r="A415" s="6">
        <v>45625.40119819445</v>
      </c>
      <c r="B415" s="7" t="s">
        <v>21</v>
      </c>
      <c r="C415" s="5" t="str">
        <f>LEFT(Form_Responses1[[#This Row],[問１　あなたは何年生ですか。]],3)</f>
        <v>小学校</v>
      </c>
      <c r="D415" s="7" t="s">
        <v>19</v>
      </c>
      <c r="E415" s="7" t="s">
        <v>7</v>
      </c>
      <c r="F415" s="8"/>
    </row>
    <row r="416" spans="1:6" ht="12.75">
      <c r="A416" s="6">
        <v>45625.401425104166</v>
      </c>
      <c r="B416" s="7" t="s">
        <v>21</v>
      </c>
      <c r="C416" s="5" t="str">
        <f>LEFT(Form_Responses1[[#This Row],[問１　あなたは何年生ですか。]],3)</f>
        <v>小学校</v>
      </c>
      <c r="D416" s="7" t="s">
        <v>6</v>
      </c>
      <c r="E416" s="7" t="s">
        <v>10</v>
      </c>
      <c r="F416" s="7" t="s">
        <v>52</v>
      </c>
    </row>
    <row r="417" spans="1:6" ht="12.75">
      <c r="A417" s="6">
        <v>45625.401755567131</v>
      </c>
      <c r="B417" s="7" t="s">
        <v>21</v>
      </c>
      <c r="C417" s="5" t="str">
        <f>LEFT(Form_Responses1[[#This Row],[問１　あなたは何年生ですか。]],3)</f>
        <v>小学校</v>
      </c>
      <c r="D417" s="7" t="s">
        <v>30</v>
      </c>
      <c r="E417" s="7" t="s">
        <v>10</v>
      </c>
      <c r="F417" s="7" t="s">
        <v>408</v>
      </c>
    </row>
    <row r="418" spans="1:6" ht="12.75">
      <c r="A418" s="6">
        <v>45625.401764988426</v>
      </c>
      <c r="B418" s="7" t="s">
        <v>21</v>
      </c>
      <c r="C418" s="5" t="str">
        <f>LEFT(Form_Responses1[[#This Row],[問１　あなたは何年生ですか。]],3)</f>
        <v>小学校</v>
      </c>
      <c r="D418" s="7" t="s">
        <v>6</v>
      </c>
      <c r="E418" s="7" t="s">
        <v>10</v>
      </c>
      <c r="F418" s="7" t="s">
        <v>409</v>
      </c>
    </row>
    <row r="419" spans="1:6" ht="12.75">
      <c r="A419" s="6">
        <v>45625.402072905097</v>
      </c>
      <c r="B419" s="7" t="s">
        <v>21</v>
      </c>
      <c r="C419" s="5" t="str">
        <f>LEFT(Form_Responses1[[#This Row],[問１　あなたは何年生ですか。]],3)</f>
        <v>小学校</v>
      </c>
      <c r="D419" s="7" t="s">
        <v>6</v>
      </c>
      <c r="E419" s="7" t="s">
        <v>10</v>
      </c>
      <c r="F419" s="7" t="s">
        <v>410</v>
      </c>
    </row>
    <row r="420" spans="1:6" ht="12.75">
      <c r="A420" s="6">
        <v>45625.402602847222</v>
      </c>
      <c r="B420" s="7" t="s">
        <v>21</v>
      </c>
      <c r="C420" s="5" t="str">
        <f>LEFT(Form_Responses1[[#This Row],[問１　あなたは何年生ですか。]],3)</f>
        <v>小学校</v>
      </c>
      <c r="D420" s="7" t="s">
        <v>24</v>
      </c>
      <c r="E420" s="7" t="s">
        <v>7</v>
      </c>
      <c r="F420" s="7" t="s">
        <v>411</v>
      </c>
    </row>
    <row r="421" spans="1:6" ht="12.75">
      <c r="A421" s="6">
        <v>45625.403031134258</v>
      </c>
      <c r="B421" s="7" t="s">
        <v>21</v>
      </c>
      <c r="C421" s="5" t="str">
        <f>LEFT(Form_Responses1[[#This Row],[問１　あなたは何年生ですか。]],3)</f>
        <v>小学校</v>
      </c>
      <c r="D421" s="7" t="s">
        <v>6</v>
      </c>
      <c r="E421" s="7" t="s">
        <v>10</v>
      </c>
      <c r="F421" s="7" t="s">
        <v>412</v>
      </c>
    </row>
    <row r="422" spans="1:6" ht="12.75">
      <c r="A422" s="6">
        <v>45625.403038240736</v>
      </c>
      <c r="B422" s="7" t="s">
        <v>21</v>
      </c>
      <c r="C422" s="5" t="str">
        <f>LEFT(Form_Responses1[[#This Row],[問１　あなたは何年生ですか。]],3)</f>
        <v>小学校</v>
      </c>
      <c r="D422" s="7" t="s">
        <v>9</v>
      </c>
      <c r="E422" s="7" t="s">
        <v>10</v>
      </c>
      <c r="F422" s="7" t="s">
        <v>413</v>
      </c>
    </row>
    <row r="423" spans="1:6" ht="12.75">
      <c r="A423" s="6">
        <v>45625.403207847223</v>
      </c>
      <c r="B423" s="7" t="s">
        <v>21</v>
      </c>
      <c r="C423" s="5" t="str">
        <f>LEFT(Form_Responses1[[#This Row],[問１　あなたは何年生ですか。]],3)</f>
        <v>小学校</v>
      </c>
      <c r="D423" s="7" t="s">
        <v>19</v>
      </c>
      <c r="E423" s="7" t="s">
        <v>7</v>
      </c>
      <c r="F423" s="7" t="s">
        <v>414</v>
      </c>
    </row>
    <row r="424" spans="1:6" ht="12.75">
      <c r="A424" s="6">
        <v>45625.403272777781</v>
      </c>
      <c r="B424" s="7" t="s">
        <v>21</v>
      </c>
      <c r="C424" s="5" t="str">
        <f>LEFT(Form_Responses1[[#This Row],[問１　あなたは何年生ですか。]],3)</f>
        <v>小学校</v>
      </c>
      <c r="D424" s="7" t="s">
        <v>415</v>
      </c>
      <c r="E424" s="7" t="s">
        <v>15</v>
      </c>
      <c r="F424" s="7" t="s">
        <v>416</v>
      </c>
    </row>
    <row r="425" spans="1:6" ht="12.75">
      <c r="A425" s="6">
        <v>45625.403367395833</v>
      </c>
      <c r="B425" s="7" t="s">
        <v>21</v>
      </c>
      <c r="C425" s="5" t="str">
        <f>LEFT(Form_Responses1[[#This Row],[問１　あなたは何年生ですか。]],3)</f>
        <v>小学校</v>
      </c>
      <c r="D425" s="7" t="s">
        <v>6</v>
      </c>
      <c r="E425" s="7" t="s">
        <v>10</v>
      </c>
      <c r="F425" s="7" t="s">
        <v>417</v>
      </c>
    </row>
    <row r="426" spans="1:6" ht="12.75">
      <c r="A426" s="6">
        <v>45625.40455608796</v>
      </c>
      <c r="B426" s="7" t="s">
        <v>21</v>
      </c>
      <c r="C426" s="5" t="str">
        <f>LEFT(Form_Responses1[[#This Row],[問１　あなたは何年生ですか。]],3)</f>
        <v>小学校</v>
      </c>
      <c r="D426" s="7" t="s">
        <v>30</v>
      </c>
      <c r="E426" s="7" t="s">
        <v>10</v>
      </c>
      <c r="F426" s="7" t="s">
        <v>418</v>
      </c>
    </row>
    <row r="427" spans="1:6" ht="12.75">
      <c r="A427" s="6">
        <v>45625.405266840273</v>
      </c>
      <c r="B427" s="7" t="s">
        <v>21</v>
      </c>
      <c r="C427" s="5" t="str">
        <f>LEFT(Form_Responses1[[#This Row],[問１　あなたは何年生ですか。]],3)</f>
        <v>小学校</v>
      </c>
      <c r="D427" s="7" t="s">
        <v>19</v>
      </c>
      <c r="E427" s="7" t="s">
        <v>10</v>
      </c>
      <c r="F427" s="7" t="s">
        <v>419</v>
      </c>
    </row>
    <row r="428" spans="1:6" ht="12.75">
      <c r="A428" s="6">
        <v>45625.405358981487</v>
      </c>
      <c r="B428" s="7" t="s">
        <v>21</v>
      </c>
      <c r="C428" s="5" t="str">
        <f>LEFT(Form_Responses1[[#This Row],[問１　あなたは何年生ですか。]],3)</f>
        <v>小学校</v>
      </c>
      <c r="D428" s="7" t="s">
        <v>22</v>
      </c>
      <c r="E428" s="7" t="s">
        <v>7</v>
      </c>
      <c r="F428" s="8"/>
    </row>
    <row r="429" spans="1:6" ht="12.75">
      <c r="A429" s="6">
        <v>45625.405833553239</v>
      </c>
      <c r="B429" s="7" t="s">
        <v>21</v>
      </c>
      <c r="C429" s="5" t="str">
        <f>LEFT(Form_Responses1[[#This Row],[問１　あなたは何年生ですか。]],3)</f>
        <v>小学校</v>
      </c>
      <c r="D429" s="7" t="s">
        <v>6</v>
      </c>
      <c r="E429" s="7" t="s">
        <v>7</v>
      </c>
      <c r="F429" s="7" t="s">
        <v>420</v>
      </c>
    </row>
    <row r="430" spans="1:6" ht="12.75">
      <c r="A430" s="6">
        <v>45625.405938668977</v>
      </c>
      <c r="B430" s="7" t="s">
        <v>21</v>
      </c>
      <c r="C430" s="5" t="str">
        <f>LEFT(Form_Responses1[[#This Row],[問１　あなたは何年生ですか。]],3)</f>
        <v>小学校</v>
      </c>
      <c r="D430" s="7" t="s">
        <v>22</v>
      </c>
      <c r="E430" s="7" t="s">
        <v>7</v>
      </c>
      <c r="F430" s="7" t="s">
        <v>421</v>
      </c>
    </row>
    <row r="431" spans="1:6" ht="12.75">
      <c r="A431" s="6">
        <v>45625.406079953704</v>
      </c>
      <c r="B431" s="7" t="s">
        <v>21</v>
      </c>
      <c r="C431" s="5" t="str">
        <f>LEFT(Form_Responses1[[#This Row],[問１　あなたは何年生ですか。]],3)</f>
        <v>小学校</v>
      </c>
      <c r="D431" s="7" t="s">
        <v>30</v>
      </c>
      <c r="E431" s="7" t="s">
        <v>10</v>
      </c>
      <c r="F431" s="7" t="s">
        <v>422</v>
      </c>
    </row>
    <row r="432" spans="1:6" ht="12.75">
      <c r="A432" s="6">
        <v>45625.406221041667</v>
      </c>
      <c r="B432" s="7" t="s">
        <v>21</v>
      </c>
      <c r="C432" s="5" t="str">
        <f>LEFT(Form_Responses1[[#This Row],[問１　あなたは何年生ですか。]],3)</f>
        <v>小学校</v>
      </c>
      <c r="D432" s="7" t="s">
        <v>24</v>
      </c>
      <c r="E432" s="7" t="s">
        <v>10</v>
      </c>
      <c r="F432" s="7" t="s">
        <v>423</v>
      </c>
    </row>
    <row r="433" spans="1:6" ht="12.75">
      <c r="A433" s="6">
        <v>45625.406845555553</v>
      </c>
      <c r="B433" s="7" t="s">
        <v>21</v>
      </c>
      <c r="C433" s="5" t="str">
        <f>LEFT(Form_Responses1[[#This Row],[問１　あなたは何年生ですか。]],3)</f>
        <v>小学校</v>
      </c>
      <c r="D433" s="7" t="s">
        <v>424</v>
      </c>
      <c r="E433" s="7" t="s">
        <v>10</v>
      </c>
      <c r="F433" s="7" t="s">
        <v>52</v>
      </c>
    </row>
    <row r="434" spans="1:6" ht="12.75">
      <c r="A434" s="6">
        <v>45625.407090787034</v>
      </c>
      <c r="B434" s="7" t="s">
        <v>21</v>
      </c>
      <c r="C434" s="5" t="str">
        <f>LEFT(Form_Responses1[[#This Row],[問１　あなたは何年生ですか。]],3)</f>
        <v>小学校</v>
      </c>
      <c r="D434" s="7" t="s">
        <v>6</v>
      </c>
      <c r="E434" s="7" t="s">
        <v>7</v>
      </c>
      <c r="F434" s="7" t="s">
        <v>425</v>
      </c>
    </row>
    <row r="435" spans="1:6" ht="12.75">
      <c r="A435" s="6">
        <v>45625.424467708333</v>
      </c>
      <c r="B435" s="7" t="s">
        <v>13</v>
      </c>
      <c r="C435" s="5" t="str">
        <f>LEFT(Form_Responses1[[#This Row],[問１　あなたは何年生ですか。]],3)</f>
        <v>小学校</v>
      </c>
      <c r="D435" s="7" t="s">
        <v>9</v>
      </c>
      <c r="E435" s="7" t="s">
        <v>10</v>
      </c>
      <c r="F435" s="7" t="s">
        <v>426</v>
      </c>
    </row>
    <row r="436" spans="1:6" ht="12.75">
      <c r="A436" s="6">
        <v>45625.430316770835</v>
      </c>
      <c r="B436" s="7" t="s">
        <v>21</v>
      </c>
      <c r="C436" s="5" t="str">
        <f>LEFT(Form_Responses1[[#This Row],[問１　あなたは何年生ですか。]],3)</f>
        <v>小学校</v>
      </c>
      <c r="D436" s="7" t="s">
        <v>427</v>
      </c>
      <c r="E436" s="7" t="s">
        <v>10</v>
      </c>
      <c r="F436" s="7" t="s">
        <v>428</v>
      </c>
    </row>
    <row r="437" spans="1:6" ht="12.75">
      <c r="A437" s="6">
        <v>45625.431503368054</v>
      </c>
      <c r="B437" s="7" t="s">
        <v>13</v>
      </c>
      <c r="C437" s="5" t="str">
        <f>LEFT(Form_Responses1[[#This Row],[問１　あなたは何年生ですか。]],3)</f>
        <v>小学校</v>
      </c>
      <c r="D437" s="7" t="s">
        <v>429</v>
      </c>
      <c r="E437" s="7" t="s">
        <v>10</v>
      </c>
      <c r="F437" s="7" t="s">
        <v>430</v>
      </c>
    </row>
    <row r="438" spans="1:6" ht="12.75">
      <c r="A438" s="6">
        <v>45625.442476273151</v>
      </c>
      <c r="B438" s="7" t="s">
        <v>18</v>
      </c>
      <c r="C438" s="5" t="str">
        <f>LEFT(Form_Responses1[[#This Row],[問１　あなたは何年生ですか。]],3)</f>
        <v>中学校</v>
      </c>
      <c r="D438" s="7" t="s">
        <v>12</v>
      </c>
      <c r="E438" s="7" t="s">
        <v>10</v>
      </c>
      <c r="F438" s="7" t="s">
        <v>431</v>
      </c>
    </row>
    <row r="439" spans="1:6" ht="12.75">
      <c r="A439" s="6">
        <v>45625.475616261574</v>
      </c>
      <c r="B439" s="7" t="s">
        <v>8</v>
      </c>
      <c r="C439" s="5" t="str">
        <f>LEFT(Form_Responses1[[#This Row],[問１　あなたは何年生ですか。]],3)</f>
        <v>小学校</v>
      </c>
      <c r="D439" s="7" t="s">
        <v>6</v>
      </c>
      <c r="E439" s="7" t="s">
        <v>67</v>
      </c>
      <c r="F439" s="8"/>
    </row>
    <row r="440" spans="1:6" ht="12.75">
      <c r="A440" s="6">
        <v>45625.47672450231</v>
      </c>
      <c r="B440" s="7" t="s">
        <v>8</v>
      </c>
      <c r="C440" s="5" t="str">
        <f>LEFT(Form_Responses1[[#This Row],[問１　あなたは何年生ですか。]],3)</f>
        <v>小学校</v>
      </c>
      <c r="D440" s="7" t="s">
        <v>22</v>
      </c>
      <c r="E440" s="7" t="s">
        <v>67</v>
      </c>
      <c r="F440" s="8"/>
    </row>
    <row r="441" spans="1:6" ht="12.75">
      <c r="A441" s="6">
        <v>45625.476999050923</v>
      </c>
      <c r="B441" s="7" t="s">
        <v>8</v>
      </c>
      <c r="C441" s="5" t="str">
        <f>LEFT(Form_Responses1[[#This Row],[問１　あなたは何年生ですか。]],3)</f>
        <v>小学校</v>
      </c>
      <c r="D441" s="7" t="s">
        <v>19</v>
      </c>
      <c r="E441" s="7" t="s">
        <v>10</v>
      </c>
      <c r="F441" s="7" t="s">
        <v>157</v>
      </c>
    </row>
    <row r="442" spans="1:6" ht="12.75">
      <c r="A442" s="6">
        <v>45625.477094652779</v>
      </c>
      <c r="B442" s="7" t="s">
        <v>8</v>
      </c>
      <c r="C442" s="5" t="str">
        <f>LEFT(Form_Responses1[[#This Row],[問１　あなたは何年生ですか。]],3)</f>
        <v>小学校</v>
      </c>
      <c r="D442" s="7" t="s">
        <v>24</v>
      </c>
      <c r="E442" s="7" t="s">
        <v>10</v>
      </c>
      <c r="F442" s="8"/>
    </row>
    <row r="443" spans="1:6" ht="12.75">
      <c r="A443" s="6">
        <v>45625.47710668981</v>
      </c>
      <c r="B443" s="7" t="s">
        <v>8</v>
      </c>
      <c r="C443" s="5" t="str">
        <f>LEFT(Form_Responses1[[#This Row],[問１　あなたは何年生ですか。]],3)</f>
        <v>小学校</v>
      </c>
      <c r="D443" s="7" t="s">
        <v>6</v>
      </c>
      <c r="E443" s="7" t="s">
        <v>10</v>
      </c>
      <c r="F443" s="7" t="s">
        <v>432</v>
      </c>
    </row>
    <row r="444" spans="1:6" ht="12.75">
      <c r="A444" s="6">
        <v>45625.477261388893</v>
      </c>
      <c r="B444" s="7" t="s">
        <v>8</v>
      </c>
      <c r="C444" s="5" t="str">
        <f>LEFT(Form_Responses1[[#This Row],[問１　あなたは何年生ですか。]],3)</f>
        <v>小学校</v>
      </c>
      <c r="D444" s="7" t="s">
        <v>22</v>
      </c>
      <c r="E444" s="7" t="s">
        <v>10</v>
      </c>
      <c r="F444" s="7" t="s">
        <v>433</v>
      </c>
    </row>
    <row r="445" spans="1:6" ht="12.75">
      <c r="A445" s="6">
        <v>45625.47734863426</v>
      </c>
      <c r="B445" s="7" t="s">
        <v>8</v>
      </c>
      <c r="C445" s="5" t="str">
        <f>LEFT(Form_Responses1[[#This Row],[問１　あなたは何年生ですか。]],3)</f>
        <v>小学校</v>
      </c>
      <c r="D445" s="7" t="s">
        <v>30</v>
      </c>
      <c r="E445" s="7" t="s">
        <v>10</v>
      </c>
      <c r="F445" s="7" t="s">
        <v>434</v>
      </c>
    </row>
    <row r="446" spans="1:6" ht="12.75">
      <c r="A446" s="6">
        <v>45625.477461562499</v>
      </c>
      <c r="B446" s="7" t="s">
        <v>8</v>
      </c>
      <c r="C446" s="5" t="str">
        <f>LEFT(Form_Responses1[[#This Row],[問１　あなたは何年生ですか。]],3)</f>
        <v>小学校</v>
      </c>
      <c r="D446" s="7" t="s">
        <v>6</v>
      </c>
      <c r="E446" s="7" t="s">
        <v>10</v>
      </c>
      <c r="F446" s="8"/>
    </row>
    <row r="447" spans="1:6" ht="12.75">
      <c r="A447" s="6">
        <v>45625.477518657412</v>
      </c>
      <c r="B447" s="7" t="s">
        <v>8</v>
      </c>
      <c r="C447" s="5" t="str">
        <f>LEFT(Form_Responses1[[#This Row],[問１　あなたは何年生ですか。]],3)</f>
        <v>小学校</v>
      </c>
      <c r="D447" s="7" t="s">
        <v>24</v>
      </c>
      <c r="E447" s="7" t="s">
        <v>10</v>
      </c>
      <c r="F447" s="7" t="s">
        <v>435</v>
      </c>
    </row>
    <row r="448" spans="1:6" ht="12.75">
      <c r="A448" s="6">
        <v>45625.477692245375</v>
      </c>
      <c r="B448" s="7" t="s">
        <v>8</v>
      </c>
      <c r="C448" s="5" t="str">
        <f>LEFT(Form_Responses1[[#This Row],[問１　あなたは何年生ですか。]],3)</f>
        <v>小学校</v>
      </c>
      <c r="D448" s="7" t="s">
        <v>19</v>
      </c>
      <c r="E448" s="7" t="s">
        <v>10</v>
      </c>
      <c r="F448" s="7" t="s">
        <v>436</v>
      </c>
    </row>
    <row r="449" spans="1:6" ht="12.75">
      <c r="A449" s="6">
        <v>45625.477821354165</v>
      </c>
      <c r="B449" s="7" t="s">
        <v>8</v>
      </c>
      <c r="C449" s="5" t="str">
        <f>LEFT(Form_Responses1[[#This Row],[問１　あなたは何年生ですか。]],3)</f>
        <v>小学校</v>
      </c>
      <c r="D449" s="7" t="s">
        <v>24</v>
      </c>
      <c r="E449" s="7" t="s">
        <v>10</v>
      </c>
      <c r="F449" s="7" t="s">
        <v>437</v>
      </c>
    </row>
    <row r="450" spans="1:6" ht="12.75">
      <c r="A450" s="6">
        <v>45625.477861180552</v>
      </c>
      <c r="B450" s="7" t="s">
        <v>8</v>
      </c>
      <c r="C450" s="5" t="str">
        <f>LEFT(Form_Responses1[[#This Row],[問１　あなたは何年生ですか。]],3)</f>
        <v>小学校</v>
      </c>
      <c r="D450" s="7" t="s">
        <v>24</v>
      </c>
      <c r="E450" s="7" t="s">
        <v>10</v>
      </c>
      <c r="F450" s="7" t="s">
        <v>438</v>
      </c>
    </row>
    <row r="451" spans="1:6" ht="12.75">
      <c r="A451" s="6">
        <v>45625.477877592595</v>
      </c>
      <c r="B451" s="7" t="s">
        <v>8</v>
      </c>
      <c r="C451" s="5" t="str">
        <f>LEFT(Form_Responses1[[#This Row],[問１　あなたは何年生ですか。]],3)</f>
        <v>小学校</v>
      </c>
      <c r="D451" s="7" t="s">
        <v>6</v>
      </c>
      <c r="E451" s="7" t="s">
        <v>10</v>
      </c>
      <c r="F451" s="8"/>
    </row>
    <row r="452" spans="1:6" ht="12.75">
      <c r="A452" s="6">
        <v>45625.47789454861</v>
      </c>
      <c r="B452" s="7" t="s">
        <v>8</v>
      </c>
      <c r="C452" s="5" t="str">
        <f>LEFT(Form_Responses1[[#This Row],[問１　あなたは何年生ですか。]],3)</f>
        <v>小学校</v>
      </c>
      <c r="D452" s="7" t="s">
        <v>439</v>
      </c>
      <c r="E452" s="7" t="s">
        <v>10</v>
      </c>
      <c r="F452" s="8"/>
    </row>
    <row r="453" spans="1:6" ht="12.75">
      <c r="A453" s="6">
        <v>45625.477903194449</v>
      </c>
      <c r="B453" s="7" t="s">
        <v>13</v>
      </c>
      <c r="C453" s="5" t="str">
        <f>LEFT(Form_Responses1[[#This Row],[問１　あなたは何年生ですか。]],3)</f>
        <v>小学校</v>
      </c>
      <c r="D453" s="7" t="s">
        <v>6</v>
      </c>
      <c r="E453" s="7" t="s">
        <v>7</v>
      </c>
      <c r="F453" s="7" t="s">
        <v>7</v>
      </c>
    </row>
    <row r="454" spans="1:6" ht="12.75">
      <c r="A454" s="6">
        <v>45625.477982870369</v>
      </c>
      <c r="B454" s="7" t="s">
        <v>8</v>
      </c>
      <c r="C454" s="5" t="str">
        <f>LEFT(Form_Responses1[[#This Row],[問１　あなたは何年生ですか。]],3)</f>
        <v>小学校</v>
      </c>
      <c r="D454" s="7" t="s">
        <v>22</v>
      </c>
      <c r="E454" s="7" t="s">
        <v>7</v>
      </c>
      <c r="F454" s="7" t="s">
        <v>440</v>
      </c>
    </row>
    <row r="455" spans="1:6" ht="12.75">
      <c r="A455" s="6">
        <v>45625.47798546296</v>
      </c>
      <c r="B455" s="7" t="s">
        <v>8</v>
      </c>
      <c r="C455" s="5" t="str">
        <f>LEFT(Form_Responses1[[#This Row],[問１　あなたは何年生ですか。]],3)</f>
        <v>小学校</v>
      </c>
      <c r="D455" s="7" t="s">
        <v>6</v>
      </c>
      <c r="E455" s="7" t="s">
        <v>7</v>
      </c>
      <c r="F455" s="7" t="s">
        <v>441</v>
      </c>
    </row>
    <row r="456" spans="1:6" ht="12.75">
      <c r="A456" s="6">
        <v>45625.477996585643</v>
      </c>
      <c r="B456" s="7" t="s">
        <v>8</v>
      </c>
      <c r="C456" s="5" t="str">
        <f>LEFT(Form_Responses1[[#This Row],[問１　あなたは何年生ですか。]],3)</f>
        <v>小学校</v>
      </c>
      <c r="D456" s="7" t="s">
        <v>24</v>
      </c>
      <c r="E456" s="7" t="s">
        <v>10</v>
      </c>
      <c r="F456" s="7" t="s">
        <v>442</v>
      </c>
    </row>
    <row r="457" spans="1:6" ht="12.75">
      <c r="A457" s="6">
        <v>45625.478221585647</v>
      </c>
      <c r="B457" s="7" t="s">
        <v>8</v>
      </c>
      <c r="C457" s="5" t="str">
        <f>LEFT(Form_Responses1[[#This Row],[問１　あなたは何年生ですか。]],3)</f>
        <v>小学校</v>
      </c>
      <c r="D457" s="7" t="s">
        <v>443</v>
      </c>
      <c r="E457" s="7" t="s">
        <v>10</v>
      </c>
      <c r="F457" s="8"/>
    </row>
    <row r="458" spans="1:6" ht="12.75">
      <c r="A458" s="6">
        <v>45625.478348657409</v>
      </c>
      <c r="B458" s="7" t="s">
        <v>8</v>
      </c>
      <c r="C458" s="5" t="str">
        <f>LEFT(Form_Responses1[[#This Row],[問１　あなたは何年生ですか。]],3)</f>
        <v>小学校</v>
      </c>
      <c r="D458" s="7" t="s">
        <v>24</v>
      </c>
      <c r="E458" s="7" t="s">
        <v>10</v>
      </c>
      <c r="F458" s="7" t="s">
        <v>444</v>
      </c>
    </row>
    <row r="459" spans="1:6" ht="12.75">
      <c r="A459" s="6">
        <v>45625.478486388893</v>
      </c>
      <c r="B459" s="7" t="s">
        <v>8</v>
      </c>
      <c r="C459" s="5" t="str">
        <f>LEFT(Form_Responses1[[#This Row],[問１　あなたは何年生ですか。]],3)</f>
        <v>小学校</v>
      </c>
      <c r="D459" s="7" t="s">
        <v>6</v>
      </c>
      <c r="E459" s="7" t="s">
        <v>7</v>
      </c>
      <c r="F459" s="7" t="s">
        <v>7</v>
      </c>
    </row>
    <row r="460" spans="1:6" ht="12.75">
      <c r="A460" s="6">
        <v>45625.478503148144</v>
      </c>
      <c r="B460" s="7" t="s">
        <v>8</v>
      </c>
      <c r="C460" s="5" t="str">
        <f>LEFT(Form_Responses1[[#This Row],[問１　あなたは何年生ですか。]],3)</f>
        <v>小学校</v>
      </c>
      <c r="D460" s="7" t="s">
        <v>6</v>
      </c>
      <c r="E460" s="7" t="s">
        <v>10</v>
      </c>
      <c r="F460" s="7" t="s">
        <v>445</v>
      </c>
    </row>
    <row r="461" spans="1:6" ht="12.75">
      <c r="A461" s="6">
        <v>45625.478516886578</v>
      </c>
      <c r="B461" s="7" t="s">
        <v>8</v>
      </c>
      <c r="C461" s="5" t="str">
        <f>LEFT(Form_Responses1[[#This Row],[問１　あなたは何年生ですか。]],3)</f>
        <v>小学校</v>
      </c>
      <c r="D461" s="7" t="s">
        <v>446</v>
      </c>
      <c r="E461" s="7" t="s">
        <v>10</v>
      </c>
      <c r="F461" s="7" t="s">
        <v>447</v>
      </c>
    </row>
    <row r="462" spans="1:6" ht="12.75">
      <c r="A462" s="6">
        <v>45625.47853497685</v>
      </c>
      <c r="B462" s="7" t="s">
        <v>8</v>
      </c>
      <c r="C462" s="5" t="str">
        <f>LEFT(Form_Responses1[[#This Row],[問１　あなたは何年生ですか。]],3)</f>
        <v>小学校</v>
      </c>
      <c r="D462" s="7" t="s">
        <v>6</v>
      </c>
      <c r="E462" s="7" t="s">
        <v>10</v>
      </c>
      <c r="F462" s="7" t="s">
        <v>432</v>
      </c>
    </row>
    <row r="463" spans="1:6" ht="12.75">
      <c r="A463" s="6">
        <v>45625.47855133102</v>
      </c>
      <c r="B463" s="7" t="s">
        <v>8</v>
      </c>
      <c r="C463" s="5" t="str">
        <f>LEFT(Form_Responses1[[#This Row],[問１　あなたは何年生ですか。]],3)</f>
        <v>小学校</v>
      </c>
      <c r="D463" s="7" t="s">
        <v>12</v>
      </c>
      <c r="E463" s="7" t="s">
        <v>10</v>
      </c>
      <c r="F463" s="7" t="s">
        <v>448</v>
      </c>
    </row>
    <row r="464" spans="1:6" ht="12.75">
      <c r="A464" s="6">
        <v>45625.478595138891</v>
      </c>
      <c r="B464" s="7" t="s">
        <v>8</v>
      </c>
      <c r="C464" s="5" t="str">
        <f>LEFT(Form_Responses1[[#This Row],[問１　あなたは何年生ですか。]],3)</f>
        <v>小学校</v>
      </c>
      <c r="D464" s="7" t="s">
        <v>19</v>
      </c>
      <c r="E464" s="7" t="s">
        <v>10</v>
      </c>
      <c r="F464" s="7" t="s">
        <v>449</v>
      </c>
    </row>
    <row r="465" spans="1:6" ht="12.75">
      <c r="A465" s="6">
        <v>45625.478651527781</v>
      </c>
      <c r="B465" s="7" t="s">
        <v>8</v>
      </c>
      <c r="C465" s="5" t="str">
        <f>LEFT(Form_Responses1[[#This Row],[問１　あなたは何年生ですか。]],3)</f>
        <v>小学校</v>
      </c>
      <c r="D465" s="7" t="s">
        <v>12</v>
      </c>
      <c r="E465" s="7" t="s">
        <v>10</v>
      </c>
      <c r="F465" s="7" t="s">
        <v>450</v>
      </c>
    </row>
    <row r="466" spans="1:6" ht="12.75">
      <c r="A466" s="6">
        <v>45625.479059201389</v>
      </c>
      <c r="B466" s="7" t="s">
        <v>8</v>
      </c>
      <c r="C466" s="5" t="str">
        <f>LEFT(Form_Responses1[[#This Row],[問１　あなたは何年生ですか。]],3)</f>
        <v>小学校</v>
      </c>
      <c r="D466" s="7" t="s">
        <v>9</v>
      </c>
      <c r="E466" s="7" t="s">
        <v>7</v>
      </c>
      <c r="F466" s="8"/>
    </row>
    <row r="467" spans="1:6" ht="12.75">
      <c r="A467" s="6">
        <v>45625.479128333332</v>
      </c>
      <c r="B467" s="7" t="s">
        <v>8</v>
      </c>
      <c r="C467" s="5" t="str">
        <f>LEFT(Form_Responses1[[#This Row],[問１　あなたは何年生ですか。]],3)</f>
        <v>小学校</v>
      </c>
      <c r="D467" s="7" t="s">
        <v>19</v>
      </c>
      <c r="E467" s="7" t="s">
        <v>7</v>
      </c>
      <c r="F467" s="7" t="s">
        <v>451</v>
      </c>
    </row>
    <row r="468" spans="1:6" ht="12.75">
      <c r="A468" s="6">
        <v>45625.479196944449</v>
      </c>
      <c r="B468" s="7" t="s">
        <v>8</v>
      </c>
      <c r="C468" s="5" t="str">
        <f>LEFT(Form_Responses1[[#This Row],[問１　あなたは何年生ですか。]],3)</f>
        <v>小学校</v>
      </c>
      <c r="D468" s="7" t="s">
        <v>30</v>
      </c>
      <c r="E468" s="7" t="s">
        <v>10</v>
      </c>
      <c r="F468" s="8"/>
    </row>
    <row r="469" spans="1:6" ht="12.75">
      <c r="A469" s="6">
        <v>45625.47920105324</v>
      </c>
      <c r="B469" s="7" t="s">
        <v>8</v>
      </c>
      <c r="C469" s="5" t="str">
        <f>LEFT(Form_Responses1[[#This Row],[問１　あなたは何年生ですか。]],3)</f>
        <v>小学校</v>
      </c>
      <c r="D469" s="7" t="s">
        <v>12</v>
      </c>
      <c r="E469" s="7" t="s">
        <v>10</v>
      </c>
      <c r="F469" s="7" t="s">
        <v>452</v>
      </c>
    </row>
    <row r="470" spans="1:6" ht="12.75">
      <c r="A470" s="6">
        <v>45625.479521527777</v>
      </c>
      <c r="B470" s="7" t="s">
        <v>8</v>
      </c>
      <c r="C470" s="5" t="str">
        <f>LEFT(Form_Responses1[[#This Row],[問１　あなたは何年生ですか。]],3)</f>
        <v>小学校</v>
      </c>
      <c r="D470" s="7" t="s">
        <v>14</v>
      </c>
      <c r="E470" s="7" t="s">
        <v>10</v>
      </c>
      <c r="F470" s="7" t="s">
        <v>453</v>
      </c>
    </row>
    <row r="471" spans="1:6" ht="12.75">
      <c r="A471" s="6">
        <v>45625.48953313657</v>
      </c>
      <c r="B471" s="7" t="s">
        <v>5</v>
      </c>
      <c r="C471" s="5" t="str">
        <f>LEFT(Form_Responses1[[#This Row],[問１　あなたは何年生ですか。]],3)</f>
        <v>中学校</v>
      </c>
      <c r="D471" s="7" t="s">
        <v>6</v>
      </c>
      <c r="E471" s="7" t="s">
        <v>10</v>
      </c>
      <c r="F471" s="7" t="s">
        <v>454</v>
      </c>
    </row>
    <row r="472" spans="1:6" ht="12.75">
      <c r="A472" s="6">
        <v>45625.489629398144</v>
      </c>
      <c r="B472" s="7" t="s">
        <v>5</v>
      </c>
      <c r="C472" s="5" t="str">
        <f>LEFT(Form_Responses1[[#This Row],[問１　あなたは何年生ですか。]],3)</f>
        <v>中学校</v>
      </c>
      <c r="D472" s="7" t="s">
        <v>6</v>
      </c>
      <c r="E472" s="7" t="s">
        <v>7</v>
      </c>
      <c r="F472" s="8"/>
    </row>
    <row r="473" spans="1:6" ht="12.75">
      <c r="A473" s="6">
        <v>45625.489780601856</v>
      </c>
      <c r="B473" s="7" t="s">
        <v>5</v>
      </c>
      <c r="C473" s="5" t="str">
        <f>LEFT(Form_Responses1[[#This Row],[問１　あなたは何年生ですか。]],3)</f>
        <v>中学校</v>
      </c>
      <c r="D473" s="7" t="s">
        <v>19</v>
      </c>
      <c r="E473" s="7" t="s">
        <v>10</v>
      </c>
      <c r="F473" s="7" t="s">
        <v>455</v>
      </c>
    </row>
    <row r="474" spans="1:6" ht="12.75">
      <c r="A474" s="6">
        <v>45625.489867928241</v>
      </c>
      <c r="B474" s="7" t="s">
        <v>5</v>
      </c>
      <c r="C474" s="5" t="str">
        <f>LEFT(Form_Responses1[[#This Row],[問１　あなたは何年生ですか。]],3)</f>
        <v>中学校</v>
      </c>
      <c r="D474" s="7" t="s">
        <v>24</v>
      </c>
      <c r="E474" s="7" t="s">
        <v>10</v>
      </c>
      <c r="F474" s="7" t="s">
        <v>72</v>
      </c>
    </row>
    <row r="475" spans="1:6" ht="12.75">
      <c r="A475" s="6">
        <v>45625.489931643519</v>
      </c>
      <c r="B475" s="7" t="s">
        <v>5</v>
      </c>
      <c r="C475" s="5" t="str">
        <f>LEFT(Form_Responses1[[#This Row],[問１　あなたは何年生ですか。]],3)</f>
        <v>中学校</v>
      </c>
      <c r="D475" s="7" t="s">
        <v>6</v>
      </c>
      <c r="E475" s="7" t="s">
        <v>10</v>
      </c>
      <c r="F475" s="7" t="s">
        <v>456</v>
      </c>
    </row>
    <row r="476" spans="1:6" ht="12.75">
      <c r="A476" s="6">
        <v>45625.489950868054</v>
      </c>
      <c r="B476" s="7" t="s">
        <v>5</v>
      </c>
      <c r="C476" s="5" t="str">
        <f>LEFT(Form_Responses1[[#This Row],[問１　あなたは何年生ですか。]],3)</f>
        <v>中学校</v>
      </c>
      <c r="D476" s="7" t="s">
        <v>19</v>
      </c>
      <c r="E476" s="7" t="s">
        <v>10</v>
      </c>
      <c r="F476" s="8"/>
    </row>
    <row r="477" spans="1:6" ht="12.75">
      <c r="A477" s="6">
        <v>45625.489983958338</v>
      </c>
      <c r="B477" s="7" t="s">
        <v>5</v>
      </c>
      <c r="C477" s="5" t="str">
        <f>LEFT(Form_Responses1[[#This Row],[問１　あなたは何年生ですか。]],3)</f>
        <v>中学校</v>
      </c>
      <c r="D477" s="7" t="s">
        <v>19</v>
      </c>
      <c r="E477" s="7" t="s">
        <v>10</v>
      </c>
      <c r="F477" s="7" t="s">
        <v>457</v>
      </c>
    </row>
    <row r="478" spans="1:6" ht="12.75">
      <c r="A478" s="6">
        <v>45625.490008900466</v>
      </c>
      <c r="B478" s="7" t="s">
        <v>5</v>
      </c>
      <c r="C478" s="5" t="str">
        <f>LEFT(Form_Responses1[[#This Row],[問１　あなたは何年生ですか。]],3)</f>
        <v>中学校</v>
      </c>
      <c r="D478" s="7" t="s">
        <v>19</v>
      </c>
      <c r="E478" s="7" t="s">
        <v>10</v>
      </c>
      <c r="F478" s="7" t="s">
        <v>458</v>
      </c>
    </row>
    <row r="479" spans="1:6" ht="12.75">
      <c r="A479" s="6">
        <v>45625.490069826388</v>
      </c>
      <c r="B479" s="7" t="s">
        <v>5</v>
      </c>
      <c r="C479" s="5" t="str">
        <f>LEFT(Form_Responses1[[#This Row],[問１　あなたは何年生ですか。]],3)</f>
        <v>中学校</v>
      </c>
      <c r="D479" s="7" t="s">
        <v>459</v>
      </c>
      <c r="E479" s="7" t="s">
        <v>10</v>
      </c>
      <c r="F479" s="7" t="s">
        <v>460</v>
      </c>
    </row>
    <row r="480" spans="1:6" ht="12.75">
      <c r="A480" s="6">
        <v>45625.490099641203</v>
      </c>
      <c r="B480" s="7" t="s">
        <v>5</v>
      </c>
      <c r="C480" s="5" t="str">
        <f>LEFT(Form_Responses1[[#This Row],[問１　あなたは何年生ですか。]],3)</f>
        <v>中学校</v>
      </c>
      <c r="D480" s="7" t="s">
        <v>12</v>
      </c>
      <c r="E480" s="7" t="s">
        <v>10</v>
      </c>
      <c r="F480" s="7" t="s">
        <v>461</v>
      </c>
    </row>
    <row r="481" spans="1:6" ht="12.75">
      <c r="A481" s="6">
        <v>45625.490131087965</v>
      </c>
      <c r="B481" s="7" t="s">
        <v>5</v>
      </c>
      <c r="C481" s="5" t="str">
        <f>LEFT(Form_Responses1[[#This Row],[問１　あなたは何年生ですか。]],3)</f>
        <v>中学校</v>
      </c>
      <c r="D481" s="7" t="s">
        <v>19</v>
      </c>
      <c r="E481" s="7" t="s">
        <v>10</v>
      </c>
      <c r="F481" s="7" t="s">
        <v>462</v>
      </c>
    </row>
    <row r="482" spans="1:6" ht="12.75">
      <c r="A482" s="6">
        <v>45625.490156747685</v>
      </c>
      <c r="B482" s="7" t="s">
        <v>5</v>
      </c>
      <c r="C482" s="5" t="str">
        <f>LEFT(Form_Responses1[[#This Row],[問１　あなたは何年生ですか。]],3)</f>
        <v>中学校</v>
      </c>
      <c r="D482" s="7" t="s">
        <v>19</v>
      </c>
      <c r="E482" s="7" t="s">
        <v>7</v>
      </c>
      <c r="F482" s="7" t="s">
        <v>463</v>
      </c>
    </row>
    <row r="483" spans="1:6" ht="12.75">
      <c r="A483" s="6">
        <v>45625.490255069446</v>
      </c>
      <c r="B483" s="7" t="s">
        <v>5</v>
      </c>
      <c r="C483" s="5" t="str">
        <f>LEFT(Form_Responses1[[#This Row],[問１　あなたは何年生ですか。]],3)</f>
        <v>中学校</v>
      </c>
      <c r="D483" s="7" t="s">
        <v>19</v>
      </c>
      <c r="E483" s="7" t="s">
        <v>15</v>
      </c>
      <c r="F483" s="7" t="s">
        <v>464</v>
      </c>
    </row>
    <row r="484" spans="1:6" ht="12.75">
      <c r="A484" s="6">
        <v>45625.490267280096</v>
      </c>
      <c r="B484" s="7" t="s">
        <v>5</v>
      </c>
      <c r="C484" s="5" t="str">
        <f>LEFT(Form_Responses1[[#This Row],[問１　あなたは何年生ですか。]],3)</f>
        <v>中学校</v>
      </c>
      <c r="D484" s="7" t="s">
        <v>19</v>
      </c>
      <c r="E484" s="7" t="s">
        <v>10</v>
      </c>
      <c r="F484" s="7" t="s">
        <v>465</v>
      </c>
    </row>
    <row r="485" spans="1:6" ht="12.75">
      <c r="A485" s="6">
        <v>45625.490298321762</v>
      </c>
      <c r="B485" s="7" t="s">
        <v>5</v>
      </c>
      <c r="C485" s="5" t="str">
        <f>LEFT(Form_Responses1[[#This Row],[問１　あなたは何年生ですか。]],3)</f>
        <v>中学校</v>
      </c>
      <c r="D485" s="7" t="s">
        <v>6</v>
      </c>
      <c r="E485" s="7" t="s">
        <v>7</v>
      </c>
      <c r="F485" s="7" t="s">
        <v>466</v>
      </c>
    </row>
    <row r="486" spans="1:6" ht="12.75">
      <c r="A486" s="6">
        <v>45625.490348703708</v>
      </c>
      <c r="B486" s="7" t="s">
        <v>5</v>
      </c>
      <c r="C486" s="5" t="str">
        <f>LEFT(Form_Responses1[[#This Row],[問１　あなたは何年生ですか。]],3)</f>
        <v>中学校</v>
      </c>
      <c r="D486" s="7" t="s">
        <v>6</v>
      </c>
      <c r="E486" s="7" t="s">
        <v>7</v>
      </c>
      <c r="F486" s="7" t="s">
        <v>467</v>
      </c>
    </row>
    <row r="487" spans="1:6" ht="12.75">
      <c r="A487" s="6">
        <v>45625.490377314811</v>
      </c>
      <c r="B487" s="7" t="s">
        <v>5</v>
      </c>
      <c r="C487" s="5" t="str">
        <f>LEFT(Form_Responses1[[#This Row],[問１　あなたは何年生ですか。]],3)</f>
        <v>中学校</v>
      </c>
      <c r="D487" s="7" t="s">
        <v>24</v>
      </c>
      <c r="E487" s="7" t="s">
        <v>10</v>
      </c>
      <c r="F487" s="7" t="s">
        <v>468</v>
      </c>
    </row>
    <row r="488" spans="1:6" ht="12.75">
      <c r="A488" s="6">
        <v>45625.490401099538</v>
      </c>
      <c r="B488" s="7" t="s">
        <v>5</v>
      </c>
      <c r="C488" s="5" t="str">
        <f>LEFT(Form_Responses1[[#This Row],[問１　あなたは何年生ですか。]],3)</f>
        <v>中学校</v>
      </c>
      <c r="D488" s="7" t="s">
        <v>14</v>
      </c>
      <c r="E488" s="7" t="s">
        <v>10</v>
      </c>
      <c r="F488" s="7" t="s">
        <v>469</v>
      </c>
    </row>
    <row r="489" spans="1:6" ht="12.75">
      <c r="A489" s="6">
        <v>45625.490428738427</v>
      </c>
      <c r="B489" s="7" t="s">
        <v>5</v>
      </c>
      <c r="C489" s="5" t="str">
        <f>LEFT(Form_Responses1[[#This Row],[問１　あなたは何年生ですか。]],3)</f>
        <v>中学校</v>
      </c>
      <c r="D489" s="7" t="s">
        <v>19</v>
      </c>
      <c r="E489" s="7" t="s">
        <v>7</v>
      </c>
      <c r="F489" s="7" t="s">
        <v>470</v>
      </c>
    </row>
    <row r="490" spans="1:6" ht="12.75">
      <c r="A490" s="6">
        <v>45625.490475104161</v>
      </c>
      <c r="B490" s="7" t="s">
        <v>5</v>
      </c>
      <c r="C490" s="5" t="str">
        <f>LEFT(Form_Responses1[[#This Row],[問１　あなたは何年生ですか。]],3)</f>
        <v>中学校</v>
      </c>
      <c r="D490" s="7" t="s">
        <v>6</v>
      </c>
      <c r="E490" s="7" t="s">
        <v>10</v>
      </c>
      <c r="F490" s="7" t="s">
        <v>471</v>
      </c>
    </row>
    <row r="491" spans="1:6" ht="12.75">
      <c r="A491" s="6">
        <v>45625.490506851856</v>
      </c>
      <c r="B491" s="7" t="s">
        <v>5</v>
      </c>
      <c r="C491" s="5" t="str">
        <f>LEFT(Form_Responses1[[#This Row],[問１　あなたは何年生ですか。]],3)</f>
        <v>中学校</v>
      </c>
      <c r="D491" s="7" t="s">
        <v>12</v>
      </c>
      <c r="E491" s="7" t="s">
        <v>7</v>
      </c>
      <c r="F491" s="7" t="s">
        <v>472</v>
      </c>
    </row>
    <row r="492" spans="1:6" ht="12.75">
      <c r="A492" s="6">
        <v>45625.490678379632</v>
      </c>
      <c r="B492" s="7" t="s">
        <v>5</v>
      </c>
      <c r="C492" s="5" t="str">
        <f>LEFT(Form_Responses1[[#This Row],[問１　あなたは何年生ですか。]],3)</f>
        <v>中学校</v>
      </c>
      <c r="D492" s="7" t="s">
        <v>12</v>
      </c>
      <c r="E492" s="7" t="s">
        <v>10</v>
      </c>
      <c r="F492" s="7" t="s">
        <v>473</v>
      </c>
    </row>
    <row r="493" spans="1:6" ht="12.75">
      <c r="A493" s="6">
        <v>45625.490700995375</v>
      </c>
      <c r="B493" s="7" t="s">
        <v>5</v>
      </c>
      <c r="C493" s="5" t="str">
        <f>LEFT(Form_Responses1[[#This Row],[問１　あなたは何年生ですか。]],3)</f>
        <v>中学校</v>
      </c>
      <c r="D493" s="7" t="s">
        <v>6</v>
      </c>
      <c r="E493" s="7" t="s">
        <v>10</v>
      </c>
      <c r="F493" s="7" t="s">
        <v>474</v>
      </c>
    </row>
    <row r="494" spans="1:6" ht="12.75">
      <c r="A494" s="6">
        <v>45625.490754629631</v>
      </c>
      <c r="B494" s="7" t="s">
        <v>5</v>
      </c>
      <c r="C494" s="5" t="str">
        <f>LEFT(Form_Responses1[[#This Row],[問１　あなたは何年生ですか。]],3)</f>
        <v>中学校</v>
      </c>
      <c r="D494" s="7" t="s">
        <v>12</v>
      </c>
      <c r="E494" s="7" t="s">
        <v>10</v>
      </c>
      <c r="F494" s="7" t="s">
        <v>475</v>
      </c>
    </row>
    <row r="495" spans="1:6" ht="12.75">
      <c r="A495" s="6">
        <v>45625.490822349537</v>
      </c>
      <c r="B495" s="7" t="s">
        <v>5</v>
      </c>
      <c r="C495" s="5" t="str">
        <f>LEFT(Form_Responses1[[#This Row],[問１　あなたは何年生ですか。]],3)</f>
        <v>中学校</v>
      </c>
      <c r="D495" s="7" t="s">
        <v>12</v>
      </c>
      <c r="E495" s="7" t="s">
        <v>10</v>
      </c>
      <c r="F495" s="7" t="s">
        <v>476</v>
      </c>
    </row>
    <row r="496" spans="1:6" ht="12.75">
      <c r="A496" s="6">
        <v>45625.490853402778</v>
      </c>
      <c r="B496" s="7" t="s">
        <v>5</v>
      </c>
      <c r="C496" s="5" t="str">
        <f>LEFT(Form_Responses1[[#This Row],[問１　あなたは何年生ですか。]],3)</f>
        <v>中学校</v>
      </c>
      <c r="D496" s="7" t="s">
        <v>19</v>
      </c>
      <c r="E496" s="7" t="s">
        <v>7</v>
      </c>
      <c r="F496" s="7" t="s">
        <v>477</v>
      </c>
    </row>
    <row r="497" spans="1:6" ht="12.75">
      <c r="A497" s="6">
        <v>45625.490944050922</v>
      </c>
      <c r="B497" s="7" t="s">
        <v>5</v>
      </c>
      <c r="C497" s="5" t="str">
        <f>LEFT(Form_Responses1[[#This Row],[問１　あなたは何年生ですか。]],3)</f>
        <v>中学校</v>
      </c>
      <c r="D497" s="7" t="s">
        <v>19</v>
      </c>
      <c r="E497" s="7" t="s">
        <v>10</v>
      </c>
      <c r="F497" s="7" t="s">
        <v>478</v>
      </c>
    </row>
    <row r="498" spans="1:6" ht="12.75">
      <c r="A498" s="6">
        <v>45625.491230613421</v>
      </c>
      <c r="B498" s="7" t="s">
        <v>5</v>
      </c>
      <c r="C498" s="5" t="str">
        <f>LEFT(Form_Responses1[[#This Row],[問１　あなたは何年生ですか。]],3)</f>
        <v>中学校</v>
      </c>
      <c r="D498" s="7" t="s">
        <v>479</v>
      </c>
      <c r="E498" s="7" t="s">
        <v>10</v>
      </c>
      <c r="F498" s="8"/>
    </row>
    <row r="499" spans="1:6" ht="12.75">
      <c r="A499" s="6">
        <v>45625.491405983797</v>
      </c>
      <c r="B499" s="7" t="s">
        <v>5</v>
      </c>
      <c r="C499" s="5" t="str">
        <f>LEFT(Form_Responses1[[#This Row],[問１　あなたは何年生ですか。]],3)</f>
        <v>中学校</v>
      </c>
      <c r="D499" s="7" t="s">
        <v>6</v>
      </c>
      <c r="E499" s="7" t="s">
        <v>10</v>
      </c>
      <c r="F499" s="7" t="s">
        <v>480</v>
      </c>
    </row>
    <row r="500" spans="1:6" ht="12.75">
      <c r="A500" s="6">
        <v>45625.493179155092</v>
      </c>
      <c r="B500" s="7" t="s">
        <v>5</v>
      </c>
      <c r="C500" s="5" t="str">
        <f>LEFT(Form_Responses1[[#This Row],[問１　あなたは何年生ですか。]],3)</f>
        <v>中学校</v>
      </c>
      <c r="D500" s="7" t="s">
        <v>481</v>
      </c>
      <c r="E500" s="7" t="s">
        <v>10</v>
      </c>
      <c r="F500" s="7" t="s">
        <v>482</v>
      </c>
    </row>
    <row r="501" spans="1:6" ht="12.75">
      <c r="A501" s="6">
        <v>45625.493800219905</v>
      </c>
      <c r="B501" s="7" t="s">
        <v>5</v>
      </c>
      <c r="C501" s="5" t="str">
        <f>LEFT(Form_Responses1[[#This Row],[問１　あなたは何年生ですか。]],3)</f>
        <v>中学校</v>
      </c>
      <c r="D501" s="7" t="s">
        <v>6</v>
      </c>
      <c r="E501" s="7" t="s">
        <v>7</v>
      </c>
      <c r="F501" s="7" t="s">
        <v>483</v>
      </c>
    </row>
    <row r="502" spans="1:6" ht="12.75">
      <c r="A502" s="6">
        <v>45625.496127777777</v>
      </c>
      <c r="B502" s="7" t="s">
        <v>5</v>
      </c>
      <c r="C502" s="5" t="str">
        <f>LEFT(Form_Responses1[[#This Row],[問１　あなたは何年生ですか。]],3)</f>
        <v>中学校</v>
      </c>
      <c r="D502" s="7" t="s">
        <v>19</v>
      </c>
      <c r="E502" s="7" t="s">
        <v>10</v>
      </c>
      <c r="F502" s="7" t="s">
        <v>484</v>
      </c>
    </row>
    <row r="503" spans="1:6" ht="12.75">
      <c r="A503" s="6">
        <v>45625.498119340278</v>
      </c>
      <c r="B503" s="7" t="s">
        <v>5</v>
      </c>
      <c r="C503" s="5" t="str">
        <f>LEFT(Form_Responses1[[#This Row],[問１　あなたは何年生ですか。]],3)</f>
        <v>中学校</v>
      </c>
      <c r="D503" s="7" t="s">
        <v>19</v>
      </c>
      <c r="E503" s="7" t="s">
        <v>10</v>
      </c>
      <c r="F503" s="7" t="s">
        <v>485</v>
      </c>
    </row>
    <row r="504" spans="1:6" ht="12.75">
      <c r="A504" s="6">
        <v>45625.498969224536</v>
      </c>
      <c r="B504" s="7" t="s">
        <v>8</v>
      </c>
      <c r="C504" s="5" t="str">
        <f>LEFT(Form_Responses1[[#This Row],[問１　あなたは何年生ですか。]],3)</f>
        <v>小学校</v>
      </c>
      <c r="D504" s="7" t="s">
        <v>486</v>
      </c>
      <c r="E504" s="7" t="s">
        <v>10</v>
      </c>
      <c r="F504" s="7" t="s">
        <v>487</v>
      </c>
    </row>
    <row r="505" spans="1:6" ht="12.75">
      <c r="A505" s="6">
        <v>45625.506046087961</v>
      </c>
      <c r="B505" s="7" t="s">
        <v>18</v>
      </c>
      <c r="C505" s="5" t="str">
        <f>LEFT(Form_Responses1[[#This Row],[問１　あなたは何年生ですか。]],3)</f>
        <v>中学校</v>
      </c>
      <c r="D505" s="7" t="s">
        <v>19</v>
      </c>
      <c r="E505" s="7" t="s">
        <v>10</v>
      </c>
      <c r="F505" s="8"/>
    </row>
    <row r="506" spans="1:6" ht="12.75">
      <c r="A506" s="6">
        <v>45625.50616193287</v>
      </c>
      <c r="B506" s="7" t="s">
        <v>18</v>
      </c>
      <c r="C506" s="5" t="str">
        <f>LEFT(Form_Responses1[[#This Row],[問１　あなたは何年生ですか。]],3)</f>
        <v>中学校</v>
      </c>
      <c r="D506" s="7" t="s">
        <v>19</v>
      </c>
      <c r="E506" s="7" t="s">
        <v>10</v>
      </c>
      <c r="F506" s="7" t="s">
        <v>488</v>
      </c>
    </row>
    <row r="507" spans="1:6" ht="12.75">
      <c r="A507" s="6">
        <v>45625.508108090275</v>
      </c>
      <c r="B507" s="7" t="s">
        <v>18</v>
      </c>
      <c r="C507" s="5" t="str">
        <f>LEFT(Form_Responses1[[#This Row],[問１　あなたは何年生ですか。]],3)</f>
        <v>中学校</v>
      </c>
      <c r="D507" s="7" t="s">
        <v>12</v>
      </c>
      <c r="E507" s="7" t="s">
        <v>10</v>
      </c>
      <c r="F507" s="7" t="s">
        <v>489</v>
      </c>
    </row>
    <row r="508" spans="1:6" ht="12.75">
      <c r="A508" s="6">
        <v>45625.508202986108</v>
      </c>
      <c r="B508" s="7" t="s">
        <v>16</v>
      </c>
      <c r="C508" s="5" t="str">
        <f>LEFT(Form_Responses1[[#This Row],[問１　あなたは何年生ですか。]],3)</f>
        <v>中学校</v>
      </c>
      <c r="D508" s="7" t="s">
        <v>91</v>
      </c>
      <c r="E508" s="7" t="s">
        <v>10</v>
      </c>
      <c r="F508" s="7" t="s">
        <v>112</v>
      </c>
    </row>
    <row r="509" spans="1:6" ht="12.75">
      <c r="A509" s="6">
        <v>45625.508960567131</v>
      </c>
      <c r="B509" s="7" t="s">
        <v>13</v>
      </c>
      <c r="C509" s="5" t="str">
        <f>LEFT(Form_Responses1[[#This Row],[問１　あなたは何年生ですか。]],3)</f>
        <v>小学校</v>
      </c>
      <c r="D509" s="7" t="s">
        <v>6</v>
      </c>
      <c r="E509" s="7" t="s">
        <v>10</v>
      </c>
      <c r="F509" s="7" t="s">
        <v>490</v>
      </c>
    </row>
    <row r="510" spans="1:6" ht="12.75">
      <c r="A510" s="6">
        <v>45625.509250057876</v>
      </c>
      <c r="B510" s="7" t="s">
        <v>18</v>
      </c>
      <c r="C510" s="5" t="str">
        <f>LEFT(Form_Responses1[[#This Row],[問１　あなたは何年生ですか。]],3)</f>
        <v>中学校</v>
      </c>
      <c r="D510" s="7" t="s">
        <v>491</v>
      </c>
      <c r="E510" s="7" t="s">
        <v>10</v>
      </c>
      <c r="F510" s="7" t="s">
        <v>492</v>
      </c>
    </row>
    <row r="511" spans="1:6" ht="12.75">
      <c r="A511" s="6">
        <v>45625.509265532412</v>
      </c>
      <c r="B511" s="7" t="s">
        <v>18</v>
      </c>
      <c r="C511" s="5" t="str">
        <f>LEFT(Form_Responses1[[#This Row],[問１　あなたは何年生ですか。]],3)</f>
        <v>中学校</v>
      </c>
      <c r="D511" s="7" t="s">
        <v>19</v>
      </c>
      <c r="E511" s="7" t="s">
        <v>7</v>
      </c>
      <c r="F511" s="7" t="s">
        <v>493</v>
      </c>
    </row>
    <row r="512" spans="1:6" ht="12.75">
      <c r="A512" s="6">
        <v>45625.509295625001</v>
      </c>
      <c r="B512" s="7" t="s">
        <v>16</v>
      </c>
      <c r="C512" s="5" t="str">
        <f>LEFT(Form_Responses1[[#This Row],[問１　あなたは何年生ですか。]],3)</f>
        <v>中学校</v>
      </c>
      <c r="D512" s="7" t="s">
        <v>19</v>
      </c>
      <c r="E512" s="7" t="s">
        <v>7</v>
      </c>
      <c r="F512" s="7" t="s">
        <v>494</v>
      </c>
    </row>
    <row r="513" spans="1:6" ht="12.75">
      <c r="A513" s="6">
        <v>45625.509318101853</v>
      </c>
      <c r="B513" s="7" t="s">
        <v>18</v>
      </c>
      <c r="C513" s="5" t="str">
        <f>LEFT(Form_Responses1[[#This Row],[問１　あなたは何年生ですか。]],3)</f>
        <v>中学校</v>
      </c>
      <c r="D513" s="7" t="s">
        <v>6</v>
      </c>
      <c r="E513" s="7" t="s">
        <v>10</v>
      </c>
      <c r="F513" s="7" t="s">
        <v>495</v>
      </c>
    </row>
    <row r="514" spans="1:6" ht="12.75">
      <c r="A514" s="6">
        <v>45625.50933833333</v>
      </c>
      <c r="B514" s="7" t="s">
        <v>18</v>
      </c>
      <c r="C514" s="5" t="str">
        <f>LEFT(Form_Responses1[[#This Row],[問１　あなたは何年生ですか。]],3)</f>
        <v>中学校</v>
      </c>
      <c r="D514" s="7" t="s">
        <v>17</v>
      </c>
      <c r="E514" s="7" t="s">
        <v>10</v>
      </c>
      <c r="F514" s="7" t="s">
        <v>496</v>
      </c>
    </row>
    <row r="515" spans="1:6" ht="12.75">
      <c r="A515" s="6">
        <v>45625.509343993057</v>
      </c>
      <c r="B515" s="7" t="s">
        <v>18</v>
      </c>
      <c r="C515" s="5" t="str">
        <f>LEFT(Form_Responses1[[#This Row],[問１　あなたは何年生ですか。]],3)</f>
        <v>中学校</v>
      </c>
      <c r="D515" s="7" t="s">
        <v>6</v>
      </c>
      <c r="E515" s="7" t="s">
        <v>10</v>
      </c>
      <c r="F515" s="7" t="s">
        <v>497</v>
      </c>
    </row>
    <row r="516" spans="1:6" ht="12.75">
      <c r="A516" s="6">
        <v>45625.509345763887</v>
      </c>
      <c r="B516" s="7" t="s">
        <v>16</v>
      </c>
      <c r="C516" s="5" t="str">
        <f>LEFT(Form_Responses1[[#This Row],[問１　あなたは何年生ですか。]],3)</f>
        <v>中学校</v>
      </c>
      <c r="D516" s="7" t="s">
        <v>498</v>
      </c>
      <c r="E516" s="7" t="s">
        <v>10</v>
      </c>
      <c r="F516" s="7" t="s">
        <v>499</v>
      </c>
    </row>
    <row r="517" spans="1:6" ht="12.75">
      <c r="A517" s="6">
        <v>45625.509534456018</v>
      </c>
      <c r="B517" s="7" t="s">
        <v>16</v>
      </c>
      <c r="C517" s="5" t="str">
        <f>LEFT(Form_Responses1[[#This Row],[問１　あなたは何年生ですか。]],3)</f>
        <v>中学校</v>
      </c>
      <c r="D517" s="7" t="s">
        <v>6</v>
      </c>
      <c r="E517" s="7" t="s">
        <v>10</v>
      </c>
      <c r="F517" s="7" t="s">
        <v>500</v>
      </c>
    </row>
    <row r="518" spans="1:6" ht="12.75">
      <c r="A518" s="6">
        <v>45625.509615416668</v>
      </c>
      <c r="B518" s="7" t="s">
        <v>18</v>
      </c>
      <c r="C518" s="5" t="str">
        <f>LEFT(Form_Responses1[[#This Row],[問１　あなたは何年生ですか。]],3)</f>
        <v>中学校</v>
      </c>
      <c r="D518" s="7" t="s">
        <v>6</v>
      </c>
      <c r="E518" s="7" t="s">
        <v>7</v>
      </c>
      <c r="F518" s="7" t="s">
        <v>501</v>
      </c>
    </row>
    <row r="519" spans="1:6" ht="12.75">
      <c r="A519" s="6">
        <v>45625.509696365742</v>
      </c>
      <c r="B519" s="7" t="s">
        <v>16</v>
      </c>
      <c r="C519" s="5" t="str">
        <f>LEFT(Form_Responses1[[#This Row],[問１　あなたは何年生ですか。]],3)</f>
        <v>中学校</v>
      </c>
      <c r="D519" s="7" t="s">
        <v>19</v>
      </c>
      <c r="E519" s="7" t="s">
        <v>7</v>
      </c>
      <c r="F519" s="8"/>
    </row>
    <row r="520" spans="1:6" ht="12.75">
      <c r="A520" s="6">
        <v>45625.509774629631</v>
      </c>
      <c r="B520" s="7" t="s">
        <v>18</v>
      </c>
      <c r="C520" s="5" t="str">
        <f>LEFT(Form_Responses1[[#This Row],[問１　あなたは何年生ですか。]],3)</f>
        <v>中学校</v>
      </c>
      <c r="D520" s="7" t="s">
        <v>502</v>
      </c>
      <c r="E520" s="7" t="s">
        <v>10</v>
      </c>
      <c r="F520" s="7" t="s">
        <v>503</v>
      </c>
    </row>
    <row r="521" spans="1:6" ht="12.75">
      <c r="A521" s="6">
        <v>45625.509812407407</v>
      </c>
      <c r="B521" s="7" t="s">
        <v>16</v>
      </c>
      <c r="C521" s="5" t="str">
        <f>LEFT(Form_Responses1[[#This Row],[問１　あなたは何年生ですか。]],3)</f>
        <v>中学校</v>
      </c>
      <c r="D521" s="7" t="s">
        <v>24</v>
      </c>
      <c r="E521" s="7" t="s">
        <v>10</v>
      </c>
      <c r="F521" s="7" t="s">
        <v>504</v>
      </c>
    </row>
    <row r="522" spans="1:6" ht="12.75">
      <c r="A522" s="6">
        <v>45625.509862361112</v>
      </c>
      <c r="B522" s="7" t="s">
        <v>18</v>
      </c>
      <c r="C522" s="5" t="str">
        <f>LEFT(Form_Responses1[[#This Row],[問１　あなたは何年生ですか。]],3)</f>
        <v>中学校</v>
      </c>
      <c r="D522" s="7" t="s">
        <v>505</v>
      </c>
      <c r="E522" s="7" t="s">
        <v>10</v>
      </c>
      <c r="F522" s="8"/>
    </row>
    <row r="523" spans="1:6" ht="12.75">
      <c r="A523" s="6">
        <v>45625.509926493054</v>
      </c>
      <c r="B523" s="7" t="s">
        <v>16</v>
      </c>
      <c r="C523" s="5" t="str">
        <f>LEFT(Form_Responses1[[#This Row],[問１　あなたは何年生ですか。]],3)</f>
        <v>中学校</v>
      </c>
      <c r="D523" s="7" t="s">
        <v>6</v>
      </c>
      <c r="E523" s="7" t="s">
        <v>7</v>
      </c>
      <c r="F523" s="7" t="s">
        <v>506</v>
      </c>
    </row>
    <row r="524" spans="1:6" ht="12.75">
      <c r="A524" s="6">
        <v>45625.509939525466</v>
      </c>
      <c r="B524" s="7" t="s">
        <v>18</v>
      </c>
      <c r="C524" s="5" t="str">
        <f>LEFT(Form_Responses1[[#This Row],[問１　あなたは何年生ですか。]],3)</f>
        <v>中学校</v>
      </c>
      <c r="D524" s="7" t="s">
        <v>24</v>
      </c>
      <c r="E524" s="7" t="s">
        <v>10</v>
      </c>
      <c r="F524" s="7" t="s">
        <v>507</v>
      </c>
    </row>
    <row r="525" spans="1:6" ht="12.75">
      <c r="A525" s="6">
        <v>45625.509986840276</v>
      </c>
      <c r="B525" s="7" t="s">
        <v>18</v>
      </c>
      <c r="C525" s="5" t="str">
        <f>LEFT(Form_Responses1[[#This Row],[問１　あなたは何年生ですか。]],3)</f>
        <v>中学校</v>
      </c>
      <c r="D525" s="7" t="s">
        <v>19</v>
      </c>
      <c r="E525" s="7" t="s">
        <v>7</v>
      </c>
      <c r="F525" s="8"/>
    </row>
    <row r="526" spans="1:6" ht="12.75">
      <c r="A526" s="6">
        <v>45625.510029513884</v>
      </c>
      <c r="B526" s="7" t="s">
        <v>16</v>
      </c>
      <c r="C526" s="5" t="str">
        <f>LEFT(Form_Responses1[[#This Row],[問１　あなたは何年生ですか。]],3)</f>
        <v>中学校</v>
      </c>
      <c r="D526" s="7" t="s">
        <v>19</v>
      </c>
      <c r="E526" s="7" t="s">
        <v>10</v>
      </c>
      <c r="F526" s="7" t="s">
        <v>508</v>
      </c>
    </row>
    <row r="527" spans="1:6" ht="12.75">
      <c r="A527" s="6">
        <v>45625.510031192127</v>
      </c>
      <c r="B527" s="7" t="s">
        <v>16</v>
      </c>
      <c r="C527" s="5" t="str">
        <f>LEFT(Form_Responses1[[#This Row],[問１　あなたは何年生ですか。]],3)</f>
        <v>中学校</v>
      </c>
      <c r="D527" s="7" t="s">
        <v>24</v>
      </c>
      <c r="E527" s="7" t="s">
        <v>10</v>
      </c>
      <c r="F527" s="7" t="s">
        <v>509</v>
      </c>
    </row>
    <row r="528" spans="1:6" ht="12.75">
      <c r="A528" s="6">
        <v>45625.510255706016</v>
      </c>
      <c r="B528" s="7" t="s">
        <v>18</v>
      </c>
      <c r="C528" s="5" t="str">
        <f>LEFT(Form_Responses1[[#This Row],[問１　あなたは何年生ですか。]],3)</f>
        <v>中学校</v>
      </c>
      <c r="D528" s="7" t="s">
        <v>24</v>
      </c>
      <c r="E528" s="7" t="s">
        <v>7</v>
      </c>
      <c r="F528" s="7" t="s">
        <v>510</v>
      </c>
    </row>
    <row r="529" spans="1:6" ht="12.75">
      <c r="A529" s="6">
        <v>45625.5102925463</v>
      </c>
      <c r="B529" s="7" t="s">
        <v>16</v>
      </c>
      <c r="C529" s="5" t="str">
        <f>LEFT(Form_Responses1[[#This Row],[問１　あなたは何年生ですか。]],3)</f>
        <v>中学校</v>
      </c>
      <c r="D529" s="7" t="s">
        <v>19</v>
      </c>
      <c r="E529" s="7" t="s">
        <v>15</v>
      </c>
      <c r="F529" s="7" t="s">
        <v>511</v>
      </c>
    </row>
    <row r="530" spans="1:6" ht="12.75">
      <c r="A530" s="6">
        <v>45625.510297777779</v>
      </c>
      <c r="B530" s="7" t="s">
        <v>16</v>
      </c>
      <c r="C530" s="5" t="str">
        <f>LEFT(Form_Responses1[[#This Row],[問１　あなたは何年生ですか。]],3)</f>
        <v>中学校</v>
      </c>
      <c r="D530" s="7" t="s">
        <v>512</v>
      </c>
      <c r="E530" s="7" t="s">
        <v>10</v>
      </c>
      <c r="F530" s="7" t="s">
        <v>513</v>
      </c>
    </row>
    <row r="531" spans="1:6" ht="12.75">
      <c r="A531" s="6">
        <v>45625.510343425922</v>
      </c>
      <c r="B531" s="7" t="s">
        <v>16</v>
      </c>
      <c r="C531" s="5" t="str">
        <f>LEFT(Form_Responses1[[#This Row],[問１　あなたは何年生ですか。]],3)</f>
        <v>中学校</v>
      </c>
      <c r="D531" s="7" t="s">
        <v>12</v>
      </c>
      <c r="E531" s="7" t="s">
        <v>7</v>
      </c>
      <c r="F531" s="7" t="s">
        <v>514</v>
      </c>
    </row>
    <row r="532" spans="1:6" ht="12.75">
      <c r="A532" s="6">
        <v>45625.510344907409</v>
      </c>
      <c r="B532" s="7" t="s">
        <v>18</v>
      </c>
      <c r="C532" s="5" t="str">
        <f>LEFT(Form_Responses1[[#This Row],[問１　あなたは何年生ですか。]],3)</f>
        <v>中学校</v>
      </c>
      <c r="D532" s="7" t="s">
        <v>19</v>
      </c>
      <c r="E532" s="7" t="s">
        <v>7</v>
      </c>
      <c r="F532" s="7" t="s">
        <v>20</v>
      </c>
    </row>
    <row r="533" spans="1:6" ht="12.75">
      <c r="A533" s="6">
        <v>45625.510402291664</v>
      </c>
      <c r="B533" s="7" t="s">
        <v>16</v>
      </c>
      <c r="C533" s="5" t="str">
        <f>LEFT(Form_Responses1[[#This Row],[問１　あなたは何年生ですか。]],3)</f>
        <v>中学校</v>
      </c>
      <c r="D533" s="7" t="s">
        <v>12</v>
      </c>
      <c r="E533" s="7" t="s">
        <v>7</v>
      </c>
      <c r="F533" s="7" t="s">
        <v>515</v>
      </c>
    </row>
    <row r="534" spans="1:6" ht="12.75">
      <c r="A534" s="6">
        <v>45625.510439351856</v>
      </c>
      <c r="B534" s="7" t="s">
        <v>16</v>
      </c>
      <c r="C534" s="5" t="str">
        <f>LEFT(Form_Responses1[[#This Row],[問１　あなたは何年生ですか。]],3)</f>
        <v>中学校</v>
      </c>
      <c r="D534" s="7" t="s">
        <v>6</v>
      </c>
      <c r="E534" s="7" t="s">
        <v>7</v>
      </c>
      <c r="F534" s="7" t="s">
        <v>516</v>
      </c>
    </row>
    <row r="535" spans="1:6" ht="12.75">
      <c r="A535" s="6">
        <v>45625.510468680557</v>
      </c>
      <c r="B535" s="7" t="s">
        <v>16</v>
      </c>
      <c r="C535" s="5" t="str">
        <f>LEFT(Form_Responses1[[#This Row],[問１　あなたは何年生ですか。]],3)</f>
        <v>中学校</v>
      </c>
      <c r="D535" s="7" t="s">
        <v>24</v>
      </c>
      <c r="E535" s="7" t="s">
        <v>10</v>
      </c>
      <c r="F535" s="8"/>
    </row>
    <row r="536" spans="1:6" ht="12.75">
      <c r="A536" s="6">
        <v>45625.510498148149</v>
      </c>
      <c r="B536" s="7" t="s">
        <v>16</v>
      </c>
      <c r="C536" s="5" t="str">
        <f>LEFT(Form_Responses1[[#This Row],[問１　あなたは何年生ですか。]],3)</f>
        <v>中学校</v>
      </c>
      <c r="D536" s="7" t="s">
        <v>517</v>
      </c>
      <c r="E536" s="7" t="s">
        <v>10</v>
      </c>
      <c r="F536" s="7" t="s">
        <v>518</v>
      </c>
    </row>
    <row r="537" spans="1:6" ht="12.75">
      <c r="A537" s="6">
        <v>45625.510644895832</v>
      </c>
      <c r="B537" s="7" t="s">
        <v>18</v>
      </c>
      <c r="C537" s="5" t="str">
        <f>LEFT(Form_Responses1[[#This Row],[問１　あなたは何年生ですか。]],3)</f>
        <v>中学校</v>
      </c>
      <c r="D537" s="7" t="s">
        <v>12</v>
      </c>
      <c r="E537" s="7" t="s">
        <v>7</v>
      </c>
      <c r="F537" s="8"/>
    </row>
    <row r="538" spans="1:6" ht="12.75">
      <c r="A538" s="6">
        <v>45625.510678865743</v>
      </c>
      <c r="B538" s="7" t="s">
        <v>18</v>
      </c>
      <c r="C538" s="5" t="str">
        <f>LEFT(Form_Responses1[[#This Row],[問１　あなたは何年生ですか。]],3)</f>
        <v>中学校</v>
      </c>
      <c r="D538" s="7" t="s">
        <v>519</v>
      </c>
      <c r="E538" s="7" t="s">
        <v>10</v>
      </c>
      <c r="F538" s="7" t="s">
        <v>520</v>
      </c>
    </row>
    <row r="539" spans="1:6" ht="12.75">
      <c r="A539" s="6">
        <v>45625.510709965281</v>
      </c>
      <c r="B539" s="7" t="s">
        <v>16</v>
      </c>
      <c r="C539" s="5" t="str">
        <f>LEFT(Form_Responses1[[#This Row],[問１　あなたは何年生ですか。]],3)</f>
        <v>中学校</v>
      </c>
      <c r="D539" s="7" t="s">
        <v>6</v>
      </c>
      <c r="E539" s="7" t="s">
        <v>7</v>
      </c>
      <c r="F539" s="8"/>
    </row>
    <row r="540" spans="1:6" ht="12.75">
      <c r="A540" s="6">
        <v>45625.510719814818</v>
      </c>
      <c r="B540" s="7" t="s">
        <v>16</v>
      </c>
      <c r="C540" s="5" t="str">
        <f>LEFT(Form_Responses1[[#This Row],[問１　あなたは何年生ですか。]],3)</f>
        <v>中学校</v>
      </c>
      <c r="D540" s="7" t="s">
        <v>19</v>
      </c>
      <c r="E540" s="7" t="s">
        <v>7</v>
      </c>
      <c r="F540" s="7" t="s">
        <v>521</v>
      </c>
    </row>
    <row r="541" spans="1:6" ht="12.75">
      <c r="A541" s="6">
        <v>45625.510721701387</v>
      </c>
      <c r="B541" s="7" t="s">
        <v>18</v>
      </c>
      <c r="C541" s="5" t="str">
        <f>LEFT(Form_Responses1[[#This Row],[問１　あなたは何年生ですか。]],3)</f>
        <v>中学校</v>
      </c>
      <c r="D541" s="7" t="s">
        <v>121</v>
      </c>
      <c r="E541" s="7" t="s">
        <v>10</v>
      </c>
      <c r="F541" s="7" t="s">
        <v>522</v>
      </c>
    </row>
    <row r="542" spans="1:6" ht="12.75">
      <c r="A542" s="6">
        <v>45625.510727025467</v>
      </c>
      <c r="B542" s="7" t="s">
        <v>18</v>
      </c>
      <c r="C542" s="5" t="str">
        <f>LEFT(Form_Responses1[[#This Row],[問１　あなたは何年生ですか。]],3)</f>
        <v>中学校</v>
      </c>
      <c r="D542" s="7" t="s">
        <v>19</v>
      </c>
      <c r="E542" s="7" t="s">
        <v>7</v>
      </c>
      <c r="F542" s="7" t="s">
        <v>523</v>
      </c>
    </row>
    <row r="543" spans="1:6" ht="12.75">
      <c r="A543" s="6">
        <v>45625.510791435183</v>
      </c>
      <c r="B543" s="7" t="s">
        <v>16</v>
      </c>
      <c r="C543" s="5" t="str">
        <f>LEFT(Form_Responses1[[#This Row],[問１　あなたは何年生ですか。]],3)</f>
        <v>中学校</v>
      </c>
      <c r="D543" s="7" t="s">
        <v>6</v>
      </c>
      <c r="E543" s="7" t="s">
        <v>10</v>
      </c>
      <c r="F543" s="7" t="s">
        <v>524</v>
      </c>
    </row>
    <row r="544" spans="1:6" ht="12.75">
      <c r="A544" s="6">
        <v>45625.510865879631</v>
      </c>
      <c r="B544" s="7" t="s">
        <v>18</v>
      </c>
      <c r="C544" s="5" t="str">
        <f>LEFT(Form_Responses1[[#This Row],[問１　あなたは何年生ですか。]],3)</f>
        <v>中学校</v>
      </c>
      <c r="D544" s="7" t="s">
        <v>6</v>
      </c>
      <c r="E544" s="7" t="s">
        <v>7</v>
      </c>
      <c r="F544" s="8"/>
    </row>
    <row r="545" spans="1:6" ht="12.75">
      <c r="A545" s="6">
        <v>45625.510902986112</v>
      </c>
      <c r="B545" s="7" t="s">
        <v>16</v>
      </c>
      <c r="C545" s="5" t="str">
        <f>LEFT(Form_Responses1[[#This Row],[問１　あなたは何年生ですか。]],3)</f>
        <v>中学校</v>
      </c>
      <c r="D545" s="7" t="s">
        <v>6</v>
      </c>
      <c r="E545" s="7" t="s">
        <v>10</v>
      </c>
      <c r="F545" s="7" t="s">
        <v>525</v>
      </c>
    </row>
    <row r="546" spans="1:6" ht="12.75">
      <c r="A546" s="6">
        <v>45625.51096915509</v>
      </c>
      <c r="B546" s="7" t="s">
        <v>16</v>
      </c>
      <c r="C546" s="5" t="str">
        <f>LEFT(Form_Responses1[[#This Row],[問１　あなたは何年生ですか。]],3)</f>
        <v>中学校</v>
      </c>
      <c r="D546" s="7" t="s">
        <v>24</v>
      </c>
      <c r="E546" s="7" t="s">
        <v>10</v>
      </c>
      <c r="F546" s="7" t="s">
        <v>526</v>
      </c>
    </row>
    <row r="547" spans="1:6" ht="12.75">
      <c r="A547" s="6">
        <v>45625.511016805554</v>
      </c>
      <c r="B547" s="7" t="s">
        <v>18</v>
      </c>
      <c r="C547" s="5" t="str">
        <f>LEFT(Form_Responses1[[#This Row],[問１　あなたは何年生ですか。]],3)</f>
        <v>中学校</v>
      </c>
      <c r="D547" s="7" t="s">
        <v>19</v>
      </c>
      <c r="E547" s="7" t="s">
        <v>7</v>
      </c>
      <c r="F547" s="8"/>
    </row>
    <row r="548" spans="1:6" ht="12.75">
      <c r="A548" s="6">
        <v>45625.511058356482</v>
      </c>
      <c r="B548" s="7" t="s">
        <v>16</v>
      </c>
      <c r="C548" s="5" t="str">
        <f>LEFT(Form_Responses1[[#This Row],[問１　あなたは何年生ですか。]],3)</f>
        <v>中学校</v>
      </c>
      <c r="D548" s="7" t="s">
        <v>6</v>
      </c>
      <c r="E548" s="7" t="s">
        <v>15</v>
      </c>
      <c r="F548" s="8"/>
    </row>
    <row r="549" spans="1:6" ht="12.75">
      <c r="A549" s="6">
        <v>45625.511188090277</v>
      </c>
      <c r="B549" s="7" t="s">
        <v>16</v>
      </c>
      <c r="C549" s="5" t="str">
        <f>LEFT(Form_Responses1[[#This Row],[問１　あなたは何年生ですか。]],3)</f>
        <v>中学校</v>
      </c>
      <c r="D549" s="7" t="s">
        <v>6</v>
      </c>
      <c r="E549" s="7" t="s">
        <v>7</v>
      </c>
      <c r="F549" s="7" t="s">
        <v>527</v>
      </c>
    </row>
    <row r="550" spans="1:6" ht="12.75">
      <c r="A550" s="6">
        <v>45625.511218495369</v>
      </c>
      <c r="B550" s="7" t="s">
        <v>18</v>
      </c>
      <c r="C550" s="5" t="str">
        <f>LEFT(Form_Responses1[[#This Row],[問１　あなたは何年生ですか。]],3)</f>
        <v>中学校</v>
      </c>
      <c r="D550" s="7" t="s">
        <v>91</v>
      </c>
      <c r="E550" s="7" t="s">
        <v>10</v>
      </c>
      <c r="F550" s="7" t="s">
        <v>112</v>
      </c>
    </row>
    <row r="551" spans="1:6" ht="12.75">
      <c r="A551" s="6">
        <v>45625.511393576387</v>
      </c>
      <c r="B551" s="7" t="s">
        <v>16</v>
      </c>
      <c r="C551" s="5" t="str">
        <f>LEFT(Form_Responses1[[#This Row],[問１　あなたは何年生ですか。]],3)</f>
        <v>中学校</v>
      </c>
      <c r="D551" s="7" t="s">
        <v>19</v>
      </c>
      <c r="E551" s="7" t="s">
        <v>10</v>
      </c>
      <c r="F551" s="7" t="s">
        <v>528</v>
      </c>
    </row>
    <row r="552" spans="1:6" ht="12.75">
      <c r="A552" s="6">
        <v>45625.511480706016</v>
      </c>
      <c r="B552" s="7" t="s">
        <v>18</v>
      </c>
      <c r="C552" s="5" t="str">
        <f>LEFT(Form_Responses1[[#This Row],[問１　あなたは何年生ですか。]],3)</f>
        <v>中学校</v>
      </c>
      <c r="D552" s="7" t="s">
        <v>529</v>
      </c>
      <c r="E552" s="7" t="s">
        <v>10</v>
      </c>
      <c r="F552" s="7" t="s">
        <v>530</v>
      </c>
    </row>
    <row r="553" spans="1:6" ht="12.75">
      <c r="A553" s="6">
        <v>45625.511586307868</v>
      </c>
      <c r="B553" s="7" t="s">
        <v>16</v>
      </c>
      <c r="C553" s="5" t="str">
        <f>LEFT(Form_Responses1[[#This Row],[問１　あなたは何年生ですか。]],3)</f>
        <v>中学校</v>
      </c>
      <c r="D553" s="7" t="s">
        <v>6</v>
      </c>
      <c r="E553" s="7" t="s">
        <v>10</v>
      </c>
      <c r="F553" s="7" t="s">
        <v>112</v>
      </c>
    </row>
    <row r="554" spans="1:6" ht="12.75">
      <c r="A554" s="6">
        <v>45625.511591342598</v>
      </c>
      <c r="B554" s="7" t="s">
        <v>16</v>
      </c>
      <c r="C554" s="5" t="str">
        <f>LEFT(Form_Responses1[[#This Row],[問１　あなたは何年生ですか。]],3)</f>
        <v>中学校</v>
      </c>
      <c r="D554" s="7" t="s">
        <v>6</v>
      </c>
      <c r="E554" s="7" t="s">
        <v>7</v>
      </c>
      <c r="F554" s="7" t="s">
        <v>531</v>
      </c>
    </row>
    <row r="555" spans="1:6" ht="12.75">
      <c r="A555" s="6">
        <v>45625.511858483791</v>
      </c>
      <c r="B555" s="7" t="s">
        <v>16</v>
      </c>
      <c r="C555" s="5" t="str">
        <f>LEFT(Form_Responses1[[#This Row],[問１　あなたは何年生ですか。]],3)</f>
        <v>中学校</v>
      </c>
      <c r="D555" s="7" t="s">
        <v>19</v>
      </c>
      <c r="E555" s="7" t="s">
        <v>10</v>
      </c>
      <c r="F555" s="7" t="s">
        <v>532</v>
      </c>
    </row>
    <row r="556" spans="1:6" ht="12.75">
      <c r="A556" s="6">
        <v>45625.511988900464</v>
      </c>
      <c r="B556" s="7" t="s">
        <v>16</v>
      </c>
      <c r="C556" s="5" t="str">
        <f>LEFT(Form_Responses1[[#This Row],[問１　あなたは何年生ですか。]],3)</f>
        <v>中学校</v>
      </c>
      <c r="D556" s="7" t="s">
        <v>533</v>
      </c>
      <c r="E556" s="7" t="s">
        <v>7</v>
      </c>
      <c r="F556" s="7" t="s">
        <v>534</v>
      </c>
    </row>
    <row r="557" spans="1:6" ht="12.75">
      <c r="A557" s="6">
        <v>45625.512166990738</v>
      </c>
      <c r="B557" s="7" t="s">
        <v>18</v>
      </c>
      <c r="C557" s="5" t="str">
        <f>LEFT(Form_Responses1[[#This Row],[問１　あなたは何年生ですか。]],3)</f>
        <v>中学校</v>
      </c>
      <c r="D557" s="7" t="s">
        <v>19</v>
      </c>
      <c r="E557" s="7" t="s">
        <v>7</v>
      </c>
      <c r="F557" s="8"/>
    </row>
    <row r="558" spans="1:6" ht="12.75">
      <c r="A558" s="6">
        <v>45625.512322060182</v>
      </c>
      <c r="B558" s="7" t="s">
        <v>18</v>
      </c>
      <c r="C558" s="5" t="str">
        <f>LEFT(Form_Responses1[[#This Row],[問１　あなたは何年生ですか。]],3)</f>
        <v>中学校</v>
      </c>
      <c r="D558" s="7" t="s">
        <v>6</v>
      </c>
      <c r="E558" s="7" t="s">
        <v>10</v>
      </c>
      <c r="F558" s="7" t="s">
        <v>535</v>
      </c>
    </row>
    <row r="559" spans="1:6" ht="12.75">
      <c r="A559" s="6">
        <v>45625.513397731484</v>
      </c>
      <c r="B559" s="7" t="s">
        <v>18</v>
      </c>
      <c r="C559" s="5" t="str">
        <f>LEFT(Form_Responses1[[#This Row],[問１　あなたは何年生ですか。]],3)</f>
        <v>中学校</v>
      </c>
      <c r="D559" s="7" t="s">
        <v>91</v>
      </c>
      <c r="E559" s="7" t="s">
        <v>10</v>
      </c>
      <c r="F559" s="7" t="s">
        <v>52</v>
      </c>
    </row>
    <row r="560" spans="1:6" ht="12.75">
      <c r="A560" s="6">
        <v>45625.513748171295</v>
      </c>
      <c r="B560" s="7" t="s">
        <v>16</v>
      </c>
      <c r="C560" s="5" t="str">
        <f>LEFT(Form_Responses1[[#This Row],[問１　あなたは何年生ですか。]],3)</f>
        <v>中学校</v>
      </c>
      <c r="D560" s="7" t="s">
        <v>19</v>
      </c>
      <c r="E560" s="7" t="s">
        <v>10</v>
      </c>
      <c r="F560" s="7" t="s">
        <v>536</v>
      </c>
    </row>
    <row r="561" spans="1:6" ht="12.75">
      <c r="A561" s="6">
        <v>45625.513964814818</v>
      </c>
      <c r="B561" s="7" t="s">
        <v>16</v>
      </c>
      <c r="C561" s="5" t="str">
        <f>LEFT(Form_Responses1[[#This Row],[問１　あなたは何年生ですか。]],3)</f>
        <v>中学校</v>
      </c>
      <c r="D561" s="7" t="s">
        <v>6</v>
      </c>
      <c r="E561" s="7" t="s">
        <v>10</v>
      </c>
      <c r="F561" s="7" t="s">
        <v>537</v>
      </c>
    </row>
    <row r="562" spans="1:6" ht="12.75">
      <c r="A562" s="6">
        <v>45625.514208275461</v>
      </c>
      <c r="B562" s="7" t="s">
        <v>16</v>
      </c>
      <c r="C562" s="5" t="str">
        <f>LEFT(Form_Responses1[[#This Row],[問１　あなたは何年生ですか。]],3)</f>
        <v>中学校</v>
      </c>
      <c r="D562" s="7" t="s">
        <v>91</v>
      </c>
      <c r="E562" s="7" t="s">
        <v>10</v>
      </c>
      <c r="F562" s="8"/>
    </row>
    <row r="563" spans="1:6" ht="12.75">
      <c r="A563" s="6">
        <v>45625.514351712962</v>
      </c>
      <c r="B563" s="7" t="s">
        <v>18</v>
      </c>
      <c r="C563" s="5" t="str">
        <f>LEFT(Form_Responses1[[#This Row],[問１　あなたは何年生ですか。]],3)</f>
        <v>中学校</v>
      </c>
      <c r="D563" s="7" t="s">
        <v>538</v>
      </c>
      <c r="E563" s="7" t="s">
        <v>7</v>
      </c>
      <c r="F563" s="7" t="s">
        <v>539</v>
      </c>
    </row>
    <row r="564" spans="1:6" ht="12.75">
      <c r="A564" s="6">
        <v>45625.514996099533</v>
      </c>
      <c r="B564" s="7" t="s">
        <v>18</v>
      </c>
      <c r="C564" s="5" t="str">
        <f>LEFT(Form_Responses1[[#This Row],[問１　あなたは何年生ですか。]],3)</f>
        <v>中学校</v>
      </c>
      <c r="D564" s="7" t="s">
        <v>540</v>
      </c>
      <c r="E564" s="7" t="s">
        <v>10</v>
      </c>
      <c r="F564" s="7" t="s">
        <v>541</v>
      </c>
    </row>
    <row r="565" spans="1:6" ht="12.75">
      <c r="A565" s="6">
        <v>45625.515161192132</v>
      </c>
      <c r="B565" s="7" t="s">
        <v>18</v>
      </c>
      <c r="C565" s="5" t="str">
        <f>LEFT(Form_Responses1[[#This Row],[問１　あなたは何年生ですか。]],3)</f>
        <v>中学校</v>
      </c>
      <c r="D565" s="7" t="s">
        <v>6</v>
      </c>
      <c r="E565" s="7" t="s">
        <v>10</v>
      </c>
      <c r="F565" s="7" t="s">
        <v>542</v>
      </c>
    </row>
    <row r="566" spans="1:6" ht="12.75">
      <c r="A566" s="6">
        <v>45625.515181840281</v>
      </c>
      <c r="B566" s="7" t="s">
        <v>16</v>
      </c>
      <c r="C566" s="5" t="str">
        <f>LEFT(Form_Responses1[[#This Row],[問１　あなたは何年生ですか。]],3)</f>
        <v>中学校</v>
      </c>
      <c r="D566" s="7" t="s">
        <v>24</v>
      </c>
      <c r="E566" s="7" t="s">
        <v>10</v>
      </c>
      <c r="F566" s="7" t="s">
        <v>454</v>
      </c>
    </row>
    <row r="567" spans="1:6" ht="12.75">
      <c r="A567" s="6">
        <v>45625.515277893515</v>
      </c>
      <c r="B567" s="7" t="s">
        <v>18</v>
      </c>
      <c r="C567" s="5" t="str">
        <f>LEFT(Form_Responses1[[#This Row],[問１　あなたは何年生ですか。]],3)</f>
        <v>中学校</v>
      </c>
      <c r="D567" s="7" t="s">
        <v>12</v>
      </c>
      <c r="E567" s="7" t="s">
        <v>10</v>
      </c>
      <c r="F567" s="7" t="s">
        <v>543</v>
      </c>
    </row>
    <row r="568" spans="1:6" ht="12.75">
      <c r="A568" s="6">
        <v>45625.515393831018</v>
      </c>
      <c r="B568" s="7" t="s">
        <v>18</v>
      </c>
      <c r="C568" s="5" t="str">
        <f>LEFT(Form_Responses1[[#This Row],[問１　あなたは何年生ですか。]],3)</f>
        <v>中学校</v>
      </c>
      <c r="D568" s="7" t="s">
        <v>6</v>
      </c>
      <c r="E568" s="7" t="s">
        <v>7</v>
      </c>
      <c r="F568" s="8"/>
    </row>
    <row r="569" spans="1:6" ht="12.75">
      <c r="A569" s="6">
        <v>45625.515421284726</v>
      </c>
      <c r="B569" s="7" t="s">
        <v>16</v>
      </c>
      <c r="C569" s="5" t="str">
        <f>LEFT(Form_Responses1[[#This Row],[問１　あなたは何年生ですか。]],3)</f>
        <v>中学校</v>
      </c>
      <c r="D569" s="7" t="s">
        <v>19</v>
      </c>
      <c r="E569" s="7" t="s">
        <v>10</v>
      </c>
      <c r="F569" s="7" t="s">
        <v>544</v>
      </c>
    </row>
    <row r="570" spans="1:6" ht="12.75">
      <c r="A570" s="6">
        <v>45625.515465891207</v>
      </c>
      <c r="B570" s="7" t="s">
        <v>18</v>
      </c>
      <c r="C570" s="5" t="str">
        <f>LEFT(Form_Responses1[[#This Row],[問１　あなたは何年生ですか。]],3)</f>
        <v>中学校</v>
      </c>
      <c r="D570" s="7" t="s">
        <v>12</v>
      </c>
      <c r="E570" s="7" t="s">
        <v>7</v>
      </c>
      <c r="F570" s="8"/>
    </row>
    <row r="571" spans="1:6" ht="12.75">
      <c r="A571" s="6">
        <v>45625.516004537036</v>
      </c>
      <c r="B571" s="7" t="s">
        <v>16</v>
      </c>
      <c r="C571" s="5" t="str">
        <f>LEFT(Form_Responses1[[#This Row],[問１　あなたは何年生ですか。]],3)</f>
        <v>中学校</v>
      </c>
      <c r="D571" s="7" t="s">
        <v>6</v>
      </c>
      <c r="E571" s="7" t="s">
        <v>10</v>
      </c>
      <c r="F571" s="8"/>
    </row>
    <row r="572" spans="1:6" ht="12.75">
      <c r="A572" s="6">
        <v>45625.516248773143</v>
      </c>
      <c r="B572" s="7" t="s">
        <v>18</v>
      </c>
      <c r="C572" s="5" t="str">
        <f>LEFT(Form_Responses1[[#This Row],[問１　あなたは何年生ですか。]],3)</f>
        <v>中学校</v>
      </c>
      <c r="D572" s="7" t="s">
        <v>545</v>
      </c>
      <c r="E572" s="7" t="s">
        <v>15</v>
      </c>
      <c r="F572" s="7" t="s">
        <v>546</v>
      </c>
    </row>
    <row r="573" spans="1:6" ht="12.75">
      <c r="A573" s="6">
        <v>45625.516383425929</v>
      </c>
      <c r="B573" s="7" t="s">
        <v>13</v>
      </c>
      <c r="C573" s="5" t="str">
        <f>LEFT(Form_Responses1[[#This Row],[問１　あなたは何年生ですか。]],3)</f>
        <v>小学校</v>
      </c>
      <c r="D573" s="7" t="s">
        <v>19</v>
      </c>
      <c r="E573" s="7" t="s">
        <v>10</v>
      </c>
      <c r="F573" s="7" t="s">
        <v>547</v>
      </c>
    </row>
    <row r="574" spans="1:6" ht="12.75">
      <c r="A574" s="6">
        <v>45625.516438541672</v>
      </c>
      <c r="B574" s="7" t="s">
        <v>16</v>
      </c>
      <c r="C574" s="5" t="str">
        <f>LEFT(Form_Responses1[[#This Row],[問１　あなたは何年生ですか。]],3)</f>
        <v>中学校</v>
      </c>
      <c r="D574" s="7" t="s">
        <v>19</v>
      </c>
      <c r="E574" s="7" t="s">
        <v>7</v>
      </c>
      <c r="F574" s="8"/>
    </row>
    <row r="575" spans="1:6" ht="12.75">
      <c r="A575" s="6">
        <v>45625.51708586805</v>
      </c>
      <c r="B575" s="7" t="s">
        <v>16</v>
      </c>
      <c r="C575" s="5" t="str">
        <f>LEFT(Form_Responses1[[#This Row],[問１　あなたは何年生ですか。]],3)</f>
        <v>中学校</v>
      </c>
      <c r="D575" s="7" t="s">
        <v>19</v>
      </c>
      <c r="E575" s="7" t="s">
        <v>10</v>
      </c>
      <c r="F575" s="7" t="s">
        <v>52</v>
      </c>
    </row>
    <row r="576" spans="1:6" ht="12.75">
      <c r="A576" s="6">
        <v>45625.518076689812</v>
      </c>
      <c r="B576" s="7" t="s">
        <v>18</v>
      </c>
      <c r="C576" s="5" t="str">
        <f>LEFT(Form_Responses1[[#This Row],[問１　あなたは何年生ですか。]],3)</f>
        <v>中学校</v>
      </c>
      <c r="D576" s="7" t="s">
        <v>12</v>
      </c>
      <c r="E576" s="7" t="s">
        <v>7</v>
      </c>
      <c r="F576" s="7" t="s">
        <v>548</v>
      </c>
    </row>
    <row r="577" spans="1:6" ht="12.75">
      <c r="A577" s="6">
        <v>45625.518608923609</v>
      </c>
      <c r="B577" s="7" t="s">
        <v>13</v>
      </c>
      <c r="C577" s="5" t="str">
        <f>LEFT(Form_Responses1[[#This Row],[問１　あなたは何年生ですか。]],3)</f>
        <v>小学校</v>
      </c>
      <c r="D577" s="7" t="s">
        <v>12</v>
      </c>
      <c r="E577" s="7" t="s">
        <v>7</v>
      </c>
      <c r="F577" s="7" t="s">
        <v>549</v>
      </c>
    </row>
    <row r="578" spans="1:6" ht="12.75">
      <c r="A578" s="6">
        <v>45625.520094224536</v>
      </c>
      <c r="B578" s="7" t="s">
        <v>16</v>
      </c>
      <c r="C578" s="5" t="str">
        <f>LEFT(Form_Responses1[[#This Row],[問１　あなたは何年生ですか。]],3)</f>
        <v>中学校</v>
      </c>
      <c r="D578" s="7" t="s">
        <v>12</v>
      </c>
      <c r="E578" s="7" t="s">
        <v>10</v>
      </c>
      <c r="F578" s="7" t="s">
        <v>550</v>
      </c>
    </row>
    <row r="579" spans="1:6" ht="12.75">
      <c r="A579" s="6">
        <v>45625.521225613425</v>
      </c>
      <c r="B579" s="7" t="s">
        <v>18</v>
      </c>
      <c r="C579" s="5" t="str">
        <f>LEFT(Form_Responses1[[#This Row],[問１　あなたは何年生ですか。]],3)</f>
        <v>中学校</v>
      </c>
      <c r="D579" s="7" t="s">
        <v>19</v>
      </c>
      <c r="E579" s="7" t="s">
        <v>10</v>
      </c>
      <c r="F579" s="7" t="s">
        <v>551</v>
      </c>
    </row>
    <row r="580" spans="1:6" ht="12.75">
      <c r="A580" s="6">
        <v>45625.551360277779</v>
      </c>
      <c r="B580" s="7" t="s">
        <v>21</v>
      </c>
      <c r="C580" s="5" t="str">
        <f>LEFT(Form_Responses1[[#This Row],[問１　あなたは何年生ですか。]],3)</f>
        <v>小学校</v>
      </c>
      <c r="D580" s="7" t="s">
        <v>24</v>
      </c>
      <c r="E580" s="7" t="s">
        <v>10</v>
      </c>
      <c r="F580" s="8"/>
    </row>
    <row r="581" spans="1:6" ht="12.75">
      <c r="A581" s="6">
        <v>45625.55167833333</v>
      </c>
      <c r="B581" s="7" t="s">
        <v>21</v>
      </c>
      <c r="C581" s="5" t="str">
        <f>LEFT(Form_Responses1[[#This Row],[問１　あなたは何年生ですか。]],3)</f>
        <v>小学校</v>
      </c>
      <c r="D581" s="7" t="s">
        <v>22</v>
      </c>
      <c r="E581" s="7" t="s">
        <v>10</v>
      </c>
      <c r="F581" s="8"/>
    </row>
    <row r="582" spans="1:6" ht="12.75">
      <c r="A582" s="6">
        <v>45625.55199201389</v>
      </c>
      <c r="B582" s="7" t="s">
        <v>21</v>
      </c>
      <c r="C582" s="5" t="str">
        <f>LEFT(Form_Responses1[[#This Row],[問１　あなたは何年生ですか。]],3)</f>
        <v>小学校</v>
      </c>
      <c r="D582" s="7" t="s">
        <v>22</v>
      </c>
      <c r="E582" s="7" t="s">
        <v>10</v>
      </c>
      <c r="F582" s="7" t="s">
        <v>552</v>
      </c>
    </row>
    <row r="583" spans="1:6" ht="12.75">
      <c r="A583" s="6">
        <v>45625.55269384259</v>
      </c>
      <c r="B583" s="7" t="s">
        <v>21</v>
      </c>
      <c r="C583" s="5" t="str">
        <f>LEFT(Form_Responses1[[#This Row],[問１　あなたは何年生ですか。]],3)</f>
        <v>小学校</v>
      </c>
      <c r="D583" s="7" t="s">
        <v>553</v>
      </c>
      <c r="E583" s="7" t="s">
        <v>10</v>
      </c>
      <c r="F583" s="7" t="s">
        <v>554</v>
      </c>
    </row>
    <row r="584" spans="1:6" ht="12.75">
      <c r="A584" s="6">
        <v>45625.552748263886</v>
      </c>
      <c r="B584" s="7" t="s">
        <v>21</v>
      </c>
      <c r="C584" s="5" t="str">
        <f>LEFT(Form_Responses1[[#This Row],[問１　あなたは何年生ですか。]],3)</f>
        <v>小学校</v>
      </c>
      <c r="D584" s="7" t="s">
        <v>6</v>
      </c>
      <c r="E584" s="7" t="s">
        <v>7</v>
      </c>
      <c r="F584" s="7" t="s">
        <v>555</v>
      </c>
    </row>
    <row r="585" spans="1:6" ht="12.75">
      <c r="A585" s="6">
        <v>45625.552769004629</v>
      </c>
      <c r="B585" s="7" t="s">
        <v>21</v>
      </c>
      <c r="C585" s="5" t="str">
        <f>LEFT(Form_Responses1[[#This Row],[問１　あなたは何年生ですか。]],3)</f>
        <v>小学校</v>
      </c>
      <c r="D585" s="7" t="s">
        <v>24</v>
      </c>
      <c r="E585" s="7" t="s">
        <v>15</v>
      </c>
      <c r="F585" s="8"/>
    </row>
    <row r="586" spans="1:6" ht="12.75">
      <c r="A586" s="6">
        <v>45625.552783796295</v>
      </c>
      <c r="B586" s="7" t="s">
        <v>21</v>
      </c>
      <c r="C586" s="5" t="str">
        <f>LEFT(Form_Responses1[[#This Row],[問１　あなたは何年生ですか。]],3)</f>
        <v>小学校</v>
      </c>
      <c r="D586" s="7" t="s">
        <v>24</v>
      </c>
      <c r="E586" s="7" t="s">
        <v>7</v>
      </c>
      <c r="F586" s="7" t="s">
        <v>556</v>
      </c>
    </row>
    <row r="587" spans="1:6" ht="12.75">
      <c r="A587" s="6">
        <v>45625.552822395832</v>
      </c>
      <c r="B587" s="7" t="s">
        <v>21</v>
      </c>
      <c r="C587" s="5" t="str">
        <f>LEFT(Form_Responses1[[#This Row],[問１　あなたは何年生ですか。]],3)</f>
        <v>小学校</v>
      </c>
      <c r="D587" s="7" t="s">
        <v>6</v>
      </c>
      <c r="E587" s="7" t="s">
        <v>7</v>
      </c>
      <c r="F587" s="7" t="s">
        <v>557</v>
      </c>
    </row>
    <row r="588" spans="1:6" ht="12.75">
      <c r="A588" s="6">
        <v>45625.553010497686</v>
      </c>
      <c r="B588" s="7" t="s">
        <v>21</v>
      </c>
      <c r="C588" s="5" t="str">
        <f>LEFT(Form_Responses1[[#This Row],[問１　あなたは何年生ですか。]],3)</f>
        <v>小学校</v>
      </c>
      <c r="D588" s="7" t="s">
        <v>24</v>
      </c>
      <c r="E588" s="7" t="s">
        <v>10</v>
      </c>
      <c r="F588" s="7" t="s">
        <v>558</v>
      </c>
    </row>
    <row r="589" spans="1:6" ht="12.75">
      <c r="A589" s="6">
        <v>45625.553014050922</v>
      </c>
      <c r="B589" s="7" t="s">
        <v>21</v>
      </c>
      <c r="C589" s="5" t="str">
        <f>LEFT(Form_Responses1[[#This Row],[問１　あなたは何年生ですか。]],3)</f>
        <v>小学校</v>
      </c>
      <c r="D589" s="7" t="s">
        <v>17</v>
      </c>
      <c r="E589" s="7" t="s">
        <v>10</v>
      </c>
      <c r="F589" s="7" t="s">
        <v>91</v>
      </c>
    </row>
    <row r="590" spans="1:6" ht="12.75">
      <c r="A590" s="6">
        <v>45625.553028206021</v>
      </c>
      <c r="B590" s="7" t="s">
        <v>21</v>
      </c>
      <c r="C590" s="5" t="str">
        <f>LEFT(Form_Responses1[[#This Row],[問１　あなたは何年生ですか。]],3)</f>
        <v>小学校</v>
      </c>
      <c r="D590" s="7" t="s">
        <v>9</v>
      </c>
      <c r="E590" s="7" t="s">
        <v>10</v>
      </c>
      <c r="F590" s="7" t="s">
        <v>559</v>
      </c>
    </row>
    <row r="591" spans="1:6" ht="12.75">
      <c r="A591" s="6">
        <v>45625.553101087964</v>
      </c>
      <c r="B591" s="7" t="s">
        <v>21</v>
      </c>
      <c r="C591" s="5" t="str">
        <f>LEFT(Form_Responses1[[#This Row],[問１　あなたは何年生ですか。]],3)</f>
        <v>小学校</v>
      </c>
      <c r="D591" s="7" t="s">
        <v>24</v>
      </c>
      <c r="E591" s="7" t="s">
        <v>10</v>
      </c>
      <c r="F591" s="7" t="s">
        <v>560</v>
      </c>
    </row>
    <row r="592" spans="1:6" ht="12.75">
      <c r="A592" s="6">
        <v>45625.553144548612</v>
      </c>
      <c r="B592" s="7" t="s">
        <v>21</v>
      </c>
      <c r="C592" s="5" t="str">
        <f>LEFT(Form_Responses1[[#This Row],[問１　あなたは何年生ですか。]],3)</f>
        <v>小学校</v>
      </c>
      <c r="D592" s="7" t="s">
        <v>6</v>
      </c>
      <c r="E592" s="7" t="s">
        <v>10</v>
      </c>
      <c r="F592" s="7" t="s">
        <v>271</v>
      </c>
    </row>
    <row r="593" spans="1:6" ht="12.75">
      <c r="A593" s="6">
        <v>45625.553181898147</v>
      </c>
      <c r="B593" s="7" t="s">
        <v>21</v>
      </c>
      <c r="C593" s="5" t="str">
        <f>LEFT(Form_Responses1[[#This Row],[問１　あなたは何年生ですか。]],3)</f>
        <v>小学校</v>
      </c>
      <c r="D593" s="7" t="s">
        <v>12</v>
      </c>
      <c r="E593" s="7" t="s">
        <v>10</v>
      </c>
      <c r="F593" s="7" t="s">
        <v>561</v>
      </c>
    </row>
    <row r="594" spans="1:6" ht="12.75">
      <c r="A594" s="6">
        <v>45625.553407719912</v>
      </c>
      <c r="B594" s="7" t="s">
        <v>21</v>
      </c>
      <c r="C594" s="5" t="str">
        <f>LEFT(Form_Responses1[[#This Row],[問１　あなたは何年生ですか。]],3)</f>
        <v>小学校</v>
      </c>
      <c r="D594" s="7" t="s">
        <v>17</v>
      </c>
      <c r="E594" s="7" t="s">
        <v>10</v>
      </c>
      <c r="F594" s="7" t="s">
        <v>562</v>
      </c>
    </row>
    <row r="595" spans="1:6" ht="12.75">
      <c r="A595" s="6">
        <v>45625.553441782409</v>
      </c>
      <c r="B595" s="7" t="s">
        <v>21</v>
      </c>
      <c r="C595" s="5" t="str">
        <f>LEFT(Form_Responses1[[#This Row],[問１　あなたは何年生ですか。]],3)</f>
        <v>小学校</v>
      </c>
      <c r="D595" s="7" t="s">
        <v>22</v>
      </c>
      <c r="E595" s="7" t="s">
        <v>10</v>
      </c>
      <c r="F595" s="7" t="s">
        <v>563</v>
      </c>
    </row>
    <row r="596" spans="1:6" ht="12.75">
      <c r="A596" s="6">
        <v>45625.553503703704</v>
      </c>
      <c r="B596" s="7" t="s">
        <v>21</v>
      </c>
      <c r="C596" s="5" t="str">
        <f>LEFT(Form_Responses1[[#This Row],[問１　あなたは何年生ですか。]],3)</f>
        <v>小学校</v>
      </c>
      <c r="D596" s="7" t="s">
        <v>22</v>
      </c>
      <c r="E596" s="7" t="s">
        <v>10</v>
      </c>
      <c r="F596" s="7" t="s">
        <v>564</v>
      </c>
    </row>
    <row r="597" spans="1:6" ht="12.75">
      <c r="A597" s="6">
        <v>45625.55352306713</v>
      </c>
      <c r="B597" s="7" t="s">
        <v>21</v>
      </c>
      <c r="C597" s="5" t="str">
        <f>LEFT(Form_Responses1[[#This Row],[問１　あなたは何年生ですか。]],3)</f>
        <v>小学校</v>
      </c>
      <c r="D597" s="7" t="s">
        <v>6</v>
      </c>
      <c r="E597" s="7" t="s">
        <v>7</v>
      </c>
      <c r="F597" s="7" t="s">
        <v>565</v>
      </c>
    </row>
    <row r="598" spans="1:6" ht="12.75">
      <c r="A598" s="6">
        <v>45625.553829548611</v>
      </c>
      <c r="B598" s="7" t="s">
        <v>21</v>
      </c>
      <c r="C598" s="5" t="str">
        <f>LEFT(Form_Responses1[[#This Row],[問１　あなたは何年生ですか。]],3)</f>
        <v>小学校</v>
      </c>
      <c r="D598" s="7" t="s">
        <v>30</v>
      </c>
      <c r="E598" s="7" t="s">
        <v>7</v>
      </c>
      <c r="F598" s="7" t="s">
        <v>566</v>
      </c>
    </row>
    <row r="599" spans="1:6" ht="12.75">
      <c r="A599" s="6">
        <v>45625.553905428242</v>
      </c>
      <c r="B599" s="7" t="s">
        <v>21</v>
      </c>
      <c r="C599" s="5" t="str">
        <f>LEFT(Form_Responses1[[#This Row],[問１　あなたは何年生ですか。]],3)</f>
        <v>小学校</v>
      </c>
      <c r="D599" s="7" t="s">
        <v>12</v>
      </c>
      <c r="E599" s="7" t="s">
        <v>10</v>
      </c>
      <c r="F599" s="7" t="s">
        <v>561</v>
      </c>
    </row>
    <row r="600" spans="1:6" ht="12.75">
      <c r="A600" s="6">
        <v>45625.553934236115</v>
      </c>
      <c r="B600" s="7" t="s">
        <v>21</v>
      </c>
      <c r="C600" s="5" t="str">
        <f>LEFT(Form_Responses1[[#This Row],[問１　あなたは何年生ですか。]],3)</f>
        <v>小学校</v>
      </c>
      <c r="D600" s="7" t="s">
        <v>24</v>
      </c>
      <c r="E600" s="7" t="s">
        <v>10</v>
      </c>
      <c r="F600" s="7" t="s">
        <v>567</v>
      </c>
    </row>
    <row r="601" spans="1:6" ht="12.75">
      <c r="A601" s="6">
        <v>45625.554067025463</v>
      </c>
      <c r="B601" s="7" t="s">
        <v>21</v>
      </c>
      <c r="C601" s="5" t="str">
        <f>LEFT(Form_Responses1[[#This Row],[問１　あなたは何年生ですか。]],3)</f>
        <v>小学校</v>
      </c>
      <c r="D601" s="7" t="s">
        <v>24</v>
      </c>
      <c r="E601" s="7" t="s">
        <v>10</v>
      </c>
      <c r="F601" s="7" t="s">
        <v>568</v>
      </c>
    </row>
    <row r="602" spans="1:6" ht="12.75">
      <c r="A602" s="6">
        <v>45625.554323067132</v>
      </c>
      <c r="B602" s="7" t="s">
        <v>21</v>
      </c>
      <c r="C602" s="5" t="str">
        <f>LEFT(Form_Responses1[[#This Row],[問１　あなたは何年生ですか。]],3)</f>
        <v>小学校</v>
      </c>
      <c r="D602" s="7" t="s">
        <v>12</v>
      </c>
      <c r="E602" s="7" t="s">
        <v>10</v>
      </c>
      <c r="F602" s="7" t="s">
        <v>569</v>
      </c>
    </row>
    <row r="603" spans="1:6" ht="12.75">
      <c r="A603" s="6">
        <v>45625.554505671302</v>
      </c>
      <c r="B603" s="7" t="s">
        <v>21</v>
      </c>
      <c r="C603" s="5" t="str">
        <f>LEFT(Form_Responses1[[#This Row],[問１　あなたは何年生ですか。]],3)</f>
        <v>小学校</v>
      </c>
      <c r="D603" s="7" t="s">
        <v>22</v>
      </c>
      <c r="E603" s="7" t="s">
        <v>10</v>
      </c>
      <c r="F603" s="7" t="s">
        <v>570</v>
      </c>
    </row>
    <row r="604" spans="1:6" ht="12.75">
      <c r="A604" s="6">
        <v>45625.574320231477</v>
      </c>
      <c r="B604" s="7" t="s">
        <v>8</v>
      </c>
      <c r="C604" s="5" t="str">
        <f>LEFT(Form_Responses1[[#This Row],[問１　あなたは何年生ですか。]],3)</f>
        <v>小学校</v>
      </c>
      <c r="D604" s="7" t="s">
        <v>6</v>
      </c>
      <c r="E604" s="7" t="s">
        <v>15</v>
      </c>
      <c r="F604" s="8"/>
    </row>
    <row r="605" spans="1:6" ht="12.75">
      <c r="A605" s="6">
        <v>45625.574727210653</v>
      </c>
      <c r="B605" s="7" t="s">
        <v>8</v>
      </c>
      <c r="C605" s="5" t="str">
        <f>LEFT(Form_Responses1[[#This Row],[問１　あなたは何年生ですか。]],3)</f>
        <v>小学校</v>
      </c>
      <c r="D605" s="7" t="s">
        <v>6</v>
      </c>
      <c r="E605" s="7" t="s">
        <v>15</v>
      </c>
      <c r="F605" s="8"/>
    </row>
    <row r="606" spans="1:6" ht="12.75">
      <c r="A606" s="6">
        <v>45625.574871412042</v>
      </c>
      <c r="B606" s="7" t="s">
        <v>8</v>
      </c>
      <c r="C606" s="5" t="str">
        <f>LEFT(Form_Responses1[[#This Row],[問１　あなたは何年生ですか。]],3)</f>
        <v>小学校</v>
      </c>
      <c r="D606" s="7" t="s">
        <v>22</v>
      </c>
      <c r="E606" s="7" t="s">
        <v>10</v>
      </c>
      <c r="F606" s="7" t="s">
        <v>571</v>
      </c>
    </row>
    <row r="607" spans="1:6" ht="12.75">
      <c r="A607" s="6">
        <v>45625.574875613427</v>
      </c>
      <c r="B607" s="7" t="s">
        <v>8</v>
      </c>
      <c r="C607" s="5" t="str">
        <f>LEFT(Form_Responses1[[#This Row],[問１　あなたは何年生ですか。]],3)</f>
        <v>小学校</v>
      </c>
      <c r="D607" s="7" t="s">
        <v>572</v>
      </c>
      <c r="E607" s="7" t="s">
        <v>7</v>
      </c>
      <c r="F607" s="7" t="s">
        <v>573</v>
      </c>
    </row>
    <row r="608" spans="1:6" ht="12.75">
      <c r="A608" s="6">
        <v>45625.575071898144</v>
      </c>
      <c r="B608" s="7" t="s">
        <v>8</v>
      </c>
      <c r="C608" s="5" t="str">
        <f>LEFT(Form_Responses1[[#This Row],[問１　あなたは何年生ですか。]],3)</f>
        <v>小学校</v>
      </c>
      <c r="D608" s="7" t="s">
        <v>574</v>
      </c>
      <c r="E608" s="7" t="s">
        <v>7</v>
      </c>
      <c r="F608" s="7" t="s">
        <v>575</v>
      </c>
    </row>
    <row r="609" spans="1:6" ht="12.75">
      <c r="A609" s="6">
        <v>45625.575078946757</v>
      </c>
      <c r="B609" s="7" t="s">
        <v>8</v>
      </c>
      <c r="C609" s="5" t="str">
        <f>LEFT(Form_Responses1[[#This Row],[問１　あなたは何年生ですか。]],3)</f>
        <v>小学校</v>
      </c>
      <c r="D609" s="7" t="s">
        <v>9</v>
      </c>
      <c r="E609" s="7" t="s">
        <v>10</v>
      </c>
      <c r="F609" s="7" t="s">
        <v>576</v>
      </c>
    </row>
    <row r="610" spans="1:6" ht="12.75">
      <c r="A610" s="6">
        <v>45625.575159502318</v>
      </c>
      <c r="B610" s="7" t="s">
        <v>8</v>
      </c>
      <c r="C610" s="5" t="str">
        <f>LEFT(Form_Responses1[[#This Row],[問１　あなたは何年生ですか。]],3)</f>
        <v>小学校</v>
      </c>
      <c r="D610" s="7" t="s">
        <v>9</v>
      </c>
      <c r="E610" s="7" t="s">
        <v>10</v>
      </c>
      <c r="F610" s="7" t="s">
        <v>577</v>
      </c>
    </row>
    <row r="611" spans="1:6" ht="12.75">
      <c r="A611" s="6">
        <v>45625.575171238423</v>
      </c>
      <c r="B611" s="7" t="s">
        <v>8</v>
      </c>
      <c r="C611" s="5" t="str">
        <f>LEFT(Form_Responses1[[#This Row],[問１　あなたは何年生ですか。]],3)</f>
        <v>小学校</v>
      </c>
      <c r="D611" s="7" t="s">
        <v>6</v>
      </c>
      <c r="E611" s="7" t="s">
        <v>7</v>
      </c>
      <c r="F611" s="7" t="s">
        <v>578</v>
      </c>
    </row>
    <row r="612" spans="1:6" ht="12.75">
      <c r="A612" s="6">
        <v>45625.575339212963</v>
      </c>
      <c r="B612" s="7" t="s">
        <v>8</v>
      </c>
      <c r="C612" s="5" t="str">
        <f>LEFT(Form_Responses1[[#This Row],[問１　あなたは何年生ですか。]],3)</f>
        <v>小学校</v>
      </c>
      <c r="D612" s="7" t="s">
        <v>6</v>
      </c>
      <c r="E612" s="7" t="s">
        <v>10</v>
      </c>
      <c r="F612" s="7" t="s">
        <v>579</v>
      </c>
    </row>
    <row r="613" spans="1:6" ht="12.75">
      <c r="A613" s="6">
        <v>45625.575358969909</v>
      </c>
      <c r="B613" s="7" t="s">
        <v>8</v>
      </c>
      <c r="C613" s="5" t="str">
        <f>LEFT(Form_Responses1[[#This Row],[問１　あなたは何年生ですか。]],3)</f>
        <v>小学校</v>
      </c>
      <c r="D613" s="7" t="s">
        <v>12</v>
      </c>
      <c r="E613" s="7" t="s">
        <v>10</v>
      </c>
      <c r="F613" s="8"/>
    </row>
    <row r="614" spans="1:6" ht="12.75">
      <c r="A614" s="6">
        <v>45625.575563101855</v>
      </c>
      <c r="B614" s="7" t="s">
        <v>8</v>
      </c>
      <c r="C614" s="5" t="str">
        <f>LEFT(Form_Responses1[[#This Row],[問１　あなたは何年生ですか。]],3)</f>
        <v>小学校</v>
      </c>
      <c r="D614" s="7" t="s">
        <v>14</v>
      </c>
      <c r="E614" s="7" t="s">
        <v>10</v>
      </c>
      <c r="F614" s="7" t="s">
        <v>580</v>
      </c>
    </row>
    <row r="615" spans="1:6" ht="12.75">
      <c r="A615" s="6">
        <v>45625.575585405095</v>
      </c>
      <c r="B615" s="7" t="s">
        <v>8</v>
      </c>
      <c r="C615" s="5" t="str">
        <f>LEFT(Form_Responses1[[#This Row],[問１　あなたは何年生ですか。]],3)</f>
        <v>小学校</v>
      </c>
      <c r="D615" s="7" t="s">
        <v>6</v>
      </c>
      <c r="E615" s="7" t="s">
        <v>10</v>
      </c>
      <c r="F615" s="7" t="s">
        <v>581</v>
      </c>
    </row>
    <row r="616" spans="1:6" ht="12.75">
      <c r="A616" s="6">
        <v>45625.57559857639</v>
      </c>
      <c r="B616" s="7" t="s">
        <v>8</v>
      </c>
      <c r="C616" s="5" t="str">
        <f>LEFT(Form_Responses1[[#This Row],[問１　あなたは何年生ですか。]],3)</f>
        <v>小学校</v>
      </c>
      <c r="D616" s="7" t="s">
        <v>582</v>
      </c>
      <c r="E616" s="7" t="s">
        <v>10</v>
      </c>
      <c r="F616" s="8"/>
    </row>
    <row r="617" spans="1:6" ht="12.75">
      <c r="A617" s="6">
        <v>45625.575608402782</v>
      </c>
      <c r="B617" s="7" t="s">
        <v>8</v>
      </c>
      <c r="C617" s="5" t="str">
        <f>LEFT(Form_Responses1[[#This Row],[問１　あなたは何年生ですか。]],3)</f>
        <v>小学校</v>
      </c>
      <c r="D617" s="7" t="s">
        <v>24</v>
      </c>
      <c r="E617" s="7" t="s">
        <v>10</v>
      </c>
      <c r="F617" s="7" t="s">
        <v>583</v>
      </c>
    </row>
    <row r="618" spans="1:6" ht="12.75">
      <c r="A618" s="6">
        <v>45625.575618298608</v>
      </c>
      <c r="B618" s="7" t="s">
        <v>8</v>
      </c>
      <c r="C618" s="5" t="str">
        <f>LEFT(Form_Responses1[[#This Row],[問１　あなたは何年生ですか。]],3)</f>
        <v>小学校</v>
      </c>
      <c r="D618" s="7" t="s">
        <v>6</v>
      </c>
      <c r="E618" s="7" t="s">
        <v>10</v>
      </c>
      <c r="F618" s="7" t="s">
        <v>584</v>
      </c>
    </row>
    <row r="619" spans="1:6" ht="12.75">
      <c r="A619" s="6">
        <v>45625.575742569446</v>
      </c>
      <c r="B619" s="7" t="s">
        <v>8</v>
      </c>
      <c r="C619" s="5" t="str">
        <f>LEFT(Form_Responses1[[#This Row],[問１　あなたは何年生ですか。]],3)</f>
        <v>小学校</v>
      </c>
      <c r="D619" s="7" t="s">
        <v>22</v>
      </c>
      <c r="E619" s="7" t="s">
        <v>10</v>
      </c>
      <c r="F619" s="7" t="s">
        <v>585</v>
      </c>
    </row>
    <row r="620" spans="1:6" ht="12.75">
      <c r="A620" s="6">
        <v>45625.575770995369</v>
      </c>
      <c r="B620" s="7" t="s">
        <v>8</v>
      </c>
      <c r="C620" s="5" t="str">
        <f>LEFT(Form_Responses1[[#This Row],[問１　あなたは何年生ですか。]],3)</f>
        <v>小学校</v>
      </c>
      <c r="D620" s="7" t="s">
        <v>19</v>
      </c>
      <c r="E620" s="7" t="s">
        <v>7</v>
      </c>
      <c r="F620" s="7" t="s">
        <v>586</v>
      </c>
    </row>
    <row r="621" spans="1:6" ht="12.75">
      <c r="A621" s="6">
        <v>45625.576404143518</v>
      </c>
      <c r="B621" s="7" t="s">
        <v>8</v>
      </c>
      <c r="C621" s="5" t="str">
        <f>LEFT(Form_Responses1[[#This Row],[問１　あなたは何年生ですか。]],3)</f>
        <v>小学校</v>
      </c>
      <c r="D621" s="7" t="s">
        <v>587</v>
      </c>
      <c r="E621" s="7" t="s">
        <v>10</v>
      </c>
      <c r="F621" s="7" t="s">
        <v>588</v>
      </c>
    </row>
    <row r="622" spans="1:6" ht="12.75">
      <c r="A622" s="6">
        <v>45625.576420555561</v>
      </c>
      <c r="B622" s="7" t="s">
        <v>8</v>
      </c>
      <c r="C622" s="5" t="str">
        <f>LEFT(Form_Responses1[[#This Row],[問１　あなたは何年生ですか。]],3)</f>
        <v>小学校</v>
      </c>
      <c r="D622" s="7" t="s">
        <v>22</v>
      </c>
      <c r="E622" s="7" t="s">
        <v>10</v>
      </c>
      <c r="F622" s="7" t="s">
        <v>589</v>
      </c>
    </row>
    <row r="623" spans="1:6" ht="12.75">
      <c r="A623" s="6">
        <v>45625.576534849533</v>
      </c>
      <c r="B623" s="7" t="s">
        <v>8</v>
      </c>
      <c r="C623" s="5" t="str">
        <f>LEFT(Form_Responses1[[#This Row],[問１　あなたは何年生ですか。]],3)</f>
        <v>小学校</v>
      </c>
      <c r="D623" s="7" t="s">
        <v>24</v>
      </c>
      <c r="E623" s="7" t="s">
        <v>10</v>
      </c>
      <c r="F623" s="7" t="s">
        <v>590</v>
      </c>
    </row>
    <row r="624" spans="1:6" ht="12.75">
      <c r="A624" s="6">
        <v>45625.576558530098</v>
      </c>
      <c r="B624" s="7" t="s">
        <v>8</v>
      </c>
      <c r="C624" s="5" t="str">
        <f>LEFT(Form_Responses1[[#This Row],[問１　あなたは何年生ですか。]],3)</f>
        <v>小学校</v>
      </c>
      <c r="D624" s="7" t="s">
        <v>14</v>
      </c>
      <c r="E624" s="7" t="s">
        <v>10</v>
      </c>
      <c r="F624" s="7" t="s">
        <v>591</v>
      </c>
    </row>
    <row r="625" spans="1:6" ht="12.75">
      <c r="A625" s="6">
        <v>45625.576876192128</v>
      </c>
      <c r="B625" s="7" t="s">
        <v>8</v>
      </c>
      <c r="C625" s="5" t="str">
        <f>LEFT(Form_Responses1[[#This Row],[問１　あなたは何年生ですか。]],3)</f>
        <v>小学校</v>
      </c>
      <c r="D625" s="7" t="s">
        <v>24</v>
      </c>
      <c r="E625" s="7" t="s">
        <v>10</v>
      </c>
      <c r="F625" s="7" t="s">
        <v>592</v>
      </c>
    </row>
    <row r="626" spans="1:6" ht="12.75">
      <c r="A626" s="6">
        <v>45625.576879502318</v>
      </c>
      <c r="B626" s="7" t="s">
        <v>8</v>
      </c>
      <c r="C626" s="5" t="str">
        <f>LEFT(Form_Responses1[[#This Row],[問１　あなたは何年生ですか。]],3)</f>
        <v>小学校</v>
      </c>
      <c r="D626" s="7" t="s">
        <v>24</v>
      </c>
      <c r="E626" s="7" t="s">
        <v>10</v>
      </c>
      <c r="F626" s="7" t="s">
        <v>593</v>
      </c>
    </row>
    <row r="627" spans="1:6" ht="12.75">
      <c r="A627" s="6">
        <v>45625.577057685186</v>
      </c>
      <c r="B627" s="7" t="s">
        <v>8</v>
      </c>
      <c r="C627" s="5" t="str">
        <f>LEFT(Form_Responses1[[#This Row],[問１　あなたは何年生ですか。]],3)</f>
        <v>小学校</v>
      </c>
      <c r="D627" s="7" t="s">
        <v>9</v>
      </c>
      <c r="E627" s="7" t="s">
        <v>10</v>
      </c>
      <c r="F627" s="7" t="s">
        <v>594</v>
      </c>
    </row>
    <row r="628" spans="1:6" ht="12.75">
      <c r="A628" s="6">
        <v>45625.577145648145</v>
      </c>
      <c r="B628" s="7" t="s">
        <v>8</v>
      </c>
      <c r="C628" s="5" t="str">
        <f>LEFT(Form_Responses1[[#This Row],[問１　あなたは何年生ですか。]],3)</f>
        <v>小学校</v>
      </c>
      <c r="D628" s="7" t="s">
        <v>6</v>
      </c>
      <c r="E628" s="7" t="s">
        <v>15</v>
      </c>
      <c r="F628" s="8"/>
    </row>
    <row r="629" spans="1:6" ht="12.75">
      <c r="A629" s="6">
        <v>45625.577161597219</v>
      </c>
      <c r="B629" s="7" t="s">
        <v>8</v>
      </c>
      <c r="C629" s="5" t="str">
        <f>LEFT(Form_Responses1[[#This Row],[問１　あなたは何年生ですか。]],3)</f>
        <v>小学校</v>
      </c>
      <c r="D629" s="7" t="s">
        <v>22</v>
      </c>
      <c r="E629" s="7" t="s">
        <v>10</v>
      </c>
      <c r="F629" s="7" t="s">
        <v>595</v>
      </c>
    </row>
    <row r="630" spans="1:6" ht="12.75">
      <c r="A630" s="6">
        <v>45625.57735097222</v>
      </c>
      <c r="B630" s="7" t="s">
        <v>8</v>
      </c>
      <c r="C630" s="5" t="str">
        <f>LEFT(Form_Responses1[[#This Row],[問１　あなたは何年生ですか。]],3)</f>
        <v>小学校</v>
      </c>
      <c r="D630" s="7" t="s">
        <v>19</v>
      </c>
      <c r="E630" s="7" t="s">
        <v>15</v>
      </c>
      <c r="F630" s="7" t="s">
        <v>596</v>
      </c>
    </row>
    <row r="631" spans="1:6" ht="12.75">
      <c r="A631" s="6">
        <v>45625.577484490743</v>
      </c>
      <c r="B631" s="7" t="s">
        <v>8</v>
      </c>
      <c r="C631" s="5" t="str">
        <f>LEFT(Form_Responses1[[#This Row],[問１　あなたは何年生ですか。]],3)</f>
        <v>小学校</v>
      </c>
      <c r="D631" s="7" t="s">
        <v>6</v>
      </c>
      <c r="E631" s="7" t="s">
        <v>10</v>
      </c>
      <c r="F631" s="7" t="s">
        <v>597</v>
      </c>
    </row>
    <row r="632" spans="1:6" ht="12.75">
      <c r="A632" s="6">
        <v>45625.618219074073</v>
      </c>
      <c r="B632" s="7" t="s">
        <v>16</v>
      </c>
      <c r="C632" s="5" t="str">
        <f>LEFT(Form_Responses1[[#This Row],[問１　あなたは何年生ですか。]],3)</f>
        <v>中学校</v>
      </c>
      <c r="D632" s="7" t="s">
        <v>14</v>
      </c>
      <c r="E632" s="7" t="s">
        <v>10</v>
      </c>
      <c r="F632" s="7" t="s">
        <v>598</v>
      </c>
    </row>
    <row r="633" spans="1:6" ht="12.75">
      <c r="A633" s="6">
        <v>45625.618475277777</v>
      </c>
      <c r="B633" s="7" t="s">
        <v>16</v>
      </c>
      <c r="C633" s="5" t="str">
        <f>LEFT(Form_Responses1[[#This Row],[問１　あなたは何年生ですか。]],3)</f>
        <v>中学校</v>
      </c>
      <c r="D633" s="7" t="s">
        <v>6</v>
      </c>
      <c r="E633" s="7" t="s">
        <v>7</v>
      </c>
      <c r="F633" s="7" t="s">
        <v>599</v>
      </c>
    </row>
    <row r="634" spans="1:6" ht="12.75">
      <c r="A634" s="6">
        <v>45625.618501898149</v>
      </c>
      <c r="B634" s="7" t="s">
        <v>16</v>
      </c>
      <c r="C634" s="5" t="str">
        <f>LEFT(Form_Responses1[[#This Row],[問１　あなたは何年生ですか。]],3)</f>
        <v>中学校</v>
      </c>
      <c r="D634" s="7" t="s">
        <v>19</v>
      </c>
      <c r="E634" s="7" t="s">
        <v>10</v>
      </c>
      <c r="F634" s="7" t="s">
        <v>140</v>
      </c>
    </row>
    <row r="635" spans="1:6" ht="12.75">
      <c r="A635" s="6">
        <v>45625.618505011575</v>
      </c>
      <c r="B635" s="7" t="s">
        <v>16</v>
      </c>
      <c r="C635" s="5" t="str">
        <f>LEFT(Form_Responses1[[#This Row],[問１　あなたは何年生ですか。]],3)</f>
        <v>中学校</v>
      </c>
      <c r="D635" s="7" t="s">
        <v>600</v>
      </c>
      <c r="E635" s="7" t="s">
        <v>10</v>
      </c>
      <c r="F635" s="7" t="s">
        <v>601</v>
      </c>
    </row>
    <row r="636" spans="1:6" ht="12.75">
      <c r="A636" s="6">
        <v>45625.618660451393</v>
      </c>
      <c r="B636" s="7" t="s">
        <v>16</v>
      </c>
      <c r="C636" s="5" t="str">
        <f>LEFT(Form_Responses1[[#This Row],[問１　あなたは何年生ですか。]],3)</f>
        <v>中学校</v>
      </c>
      <c r="D636" s="7" t="s">
        <v>17</v>
      </c>
      <c r="E636" s="7" t="s">
        <v>10</v>
      </c>
      <c r="F636" s="7" t="s">
        <v>602</v>
      </c>
    </row>
    <row r="637" spans="1:6" ht="12.75">
      <c r="A637" s="6">
        <v>45625.618697812504</v>
      </c>
      <c r="B637" s="7" t="s">
        <v>16</v>
      </c>
      <c r="C637" s="5" t="str">
        <f>LEFT(Form_Responses1[[#This Row],[問１　あなたは何年生ですか。]],3)</f>
        <v>中学校</v>
      </c>
      <c r="D637" s="7" t="s">
        <v>17</v>
      </c>
      <c r="E637" s="7" t="s">
        <v>10</v>
      </c>
      <c r="F637" s="8"/>
    </row>
    <row r="638" spans="1:6" ht="12.75">
      <c r="A638" s="6">
        <v>45625.618706018518</v>
      </c>
      <c r="B638" s="7" t="s">
        <v>16</v>
      </c>
      <c r="C638" s="5" t="str">
        <f>LEFT(Form_Responses1[[#This Row],[問１　あなたは何年生ですか。]],3)</f>
        <v>中学校</v>
      </c>
      <c r="D638" s="7" t="s">
        <v>6</v>
      </c>
      <c r="E638" s="7" t="s">
        <v>10</v>
      </c>
      <c r="F638" s="7" t="s">
        <v>603</v>
      </c>
    </row>
    <row r="639" spans="1:6" ht="12.75">
      <c r="A639" s="6">
        <v>45625.618726250003</v>
      </c>
      <c r="B639" s="7" t="s">
        <v>16</v>
      </c>
      <c r="C639" s="5" t="str">
        <f>LEFT(Form_Responses1[[#This Row],[問１　あなたは何年生ですか。]],3)</f>
        <v>中学校</v>
      </c>
      <c r="D639" s="7" t="s">
        <v>22</v>
      </c>
      <c r="E639" s="7" t="s">
        <v>10</v>
      </c>
      <c r="F639" s="7" t="s">
        <v>604</v>
      </c>
    </row>
    <row r="640" spans="1:6" ht="12.75">
      <c r="A640" s="6">
        <v>45625.618757557866</v>
      </c>
      <c r="B640" s="7" t="s">
        <v>16</v>
      </c>
      <c r="C640" s="5" t="str">
        <f>LEFT(Form_Responses1[[#This Row],[問１　あなたは何年生ですか。]],3)</f>
        <v>中学校</v>
      </c>
      <c r="D640" s="7" t="s">
        <v>605</v>
      </c>
      <c r="E640" s="7" t="s">
        <v>10</v>
      </c>
      <c r="F640" s="7" t="s">
        <v>606</v>
      </c>
    </row>
    <row r="641" spans="1:6" ht="12.75">
      <c r="A641" s="6">
        <v>45625.618772233793</v>
      </c>
      <c r="B641" s="7" t="s">
        <v>16</v>
      </c>
      <c r="C641" s="5" t="str">
        <f>LEFT(Form_Responses1[[#This Row],[問１　あなたは何年生ですか。]],3)</f>
        <v>中学校</v>
      </c>
      <c r="D641" s="7" t="s">
        <v>6</v>
      </c>
      <c r="E641" s="7" t="s">
        <v>7</v>
      </c>
      <c r="F641" s="7" t="s">
        <v>607</v>
      </c>
    </row>
    <row r="642" spans="1:6" ht="12.75">
      <c r="A642" s="6">
        <v>45625.618783124999</v>
      </c>
      <c r="B642" s="7" t="s">
        <v>289</v>
      </c>
      <c r="C642" s="5" t="str">
        <f>LEFT(Form_Responses1[[#This Row],[問１　あなたは何年生ですか。]],3)</f>
        <v>小学校</v>
      </c>
      <c r="D642" s="7" t="s">
        <v>608</v>
      </c>
      <c r="E642" s="7" t="s">
        <v>10</v>
      </c>
      <c r="F642" s="7" t="s">
        <v>609</v>
      </c>
    </row>
    <row r="643" spans="1:6" ht="12.75">
      <c r="A643" s="6">
        <v>45625.618879756948</v>
      </c>
      <c r="B643" s="7" t="s">
        <v>16</v>
      </c>
      <c r="C643" s="5" t="str">
        <f>LEFT(Form_Responses1[[#This Row],[問１　あなたは何年生ですか。]],3)</f>
        <v>中学校</v>
      </c>
      <c r="D643" s="7" t="s">
        <v>6</v>
      </c>
      <c r="E643" s="7" t="s">
        <v>10</v>
      </c>
      <c r="F643" s="7" t="s">
        <v>610</v>
      </c>
    </row>
    <row r="644" spans="1:6" ht="12.75">
      <c r="A644" s="6">
        <v>45625.618914131948</v>
      </c>
      <c r="B644" s="7" t="s">
        <v>16</v>
      </c>
      <c r="C644" s="5" t="str">
        <f>LEFT(Form_Responses1[[#This Row],[問１　あなたは何年生ですか。]],3)</f>
        <v>中学校</v>
      </c>
      <c r="D644" s="7" t="s">
        <v>17</v>
      </c>
      <c r="E644" s="7" t="s">
        <v>10</v>
      </c>
      <c r="F644" s="7" t="s">
        <v>611</v>
      </c>
    </row>
    <row r="645" spans="1:6" ht="12.75">
      <c r="A645" s="6">
        <v>45625.618914930557</v>
      </c>
      <c r="B645" s="7" t="s">
        <v>16</v>
      </c>
      <c r="C645" s="5" t="str">
        <f>LEFT(Form_Responses1[[#This Row],[問１　あなたは何年生ですか。]],3)</f>
        <v>中学校</v>
      </c>
      <c r="D645" s="7" t="s">
        <v>6</v>
      </c>
      <c r="E645" s="7" t="s">
        <v>10</v>
      </c>
      <c r="F645" s="7" t="s">
        <v>612</v>
      </c>
    </row>
    <row r="646" spans="1:6" ht="12.75">
      <c r="A646" s="6">
        <v>45625.618936122686</v>
      </c>
      <c r="B646" s="7" t="s">
        <v>16</v>
      </c>
      <c r="C646" s="5" t="str">
        <f>LEFT(Form_Responses1[[#This Row],[問１　あなたは何年生ですか。]],3)</f>
        <v>中学校</v>
      </c>
      <c r="D646" s="7" t="s">
        <v>533</v>
      </c>
      <c r="E646" s="7" t="s">
        <v>7</v>
      </c>
      <c r="F646" s="7" t="s">
        <v>613</v>
      </c>
    </row>
    <row r="647" spans="1:6" ht="12.75">
      <c r="A647" s="6">
        <v>45625.619057430551</v>
      </c>
      <c r="B647" s="7" t="s">
        <v>5</v>
      </c>
      <c r="C647" s="5" t="str">
        <f>LEFT(Form_Responses1[[#This Row],[問１　あなたは何年生ですか。]],3)</f>
        <v>中学校</v>
      </c>
      <c r="D647" s="7" t="s">
        <v>12</v>
      </c>
      <c r="E647" s="7" t="s">
        <v>7</v>
      </c>
      <c r="F647" s="7" t="s">
        <v>614</v>
      </c>
    </row>
    <row r="648" spans="1:6" ht="12.75">
      <c r="A648" s="6">
        <v>45625.619438865746</v>
      </c>
      <c r="B648" s="7" t="s">
        <v>16</v>
      </c>
      <c r="C648" s="5" t="str">
        <f>LEFT(Form_Responses1[[#This Row],[問１　あなたは何年生ですか。]],3)</f>
        <v>中学校</v>
      </c>
      <c r="D648" s="7" t="s">
        <v>6</v>
      </c>
      <c r="E648" s="7" t="s">
        <v>10</v>
      </c>
      <c r="F648" s="7" t="s">
        <v>112</v>
      </c>
    </row>
    <row r="649" spans="1:6" ht="12.75">
      <c r="A649" s="6">
        <v>45625.619495879626</v>
      </c>
      <c r="B649" s="7" t="s">
        <v>16</v>
      </c>
      <c r="C649" s="5" t="str">
        <f>LEFT(Form_Responses1[[#This Row],[問１　あなたは何年生ですか。]],3)</f>
        <v>中学校</v>
      </c>
      <c r="D649" s="7" t="s">
        <v>6</v>
      </c>
      <c r="E649" s="7" t="s">
        <v>7</v>
      </c>
      <c r="F649" s="7" t="s">
        <v>615</v>
      </c>
    </row>
    <row r="650" spans="1:6" ht="12.75">
      <c r="A650" s="6">
        <v>45625.619615833333</v>
      </c>
      <c r="B650" s="7" t="s">
        <v>16</v>
      </c>
      <c r="C650" s="5" t="str">
        <f>LEFT(Form_Responses1[[#This Row],[問１　あなたは何年生ですか。]],3)</f>
        <v>中学校</v>
      </c>
      <c r="D650" s="7" t="s">
        <v>142</v>
      </c>
      <c r="E650" s="7" t="s">
        <v>10</v>
      </c>
      <c r="F650" s="7" t="s">
        <v>128</v>
      </c>
    </row>
    <row r="651" spans="1:6" ht="12.75">
      <c r="A651" s="6">
        <v>45625.619826932874</v>
      </c>
      <c r="B651" s="7" t="s">
        <v>16</v>
      </c>
      <c r="C651" s="5" t="str">
        <f>LEFT(Form_Responses1[[#This Row],[問１　あなたは何年生ですか。]],3)</f>
        <v>中学校</v>
      </c>
      <c r="D651" s="7" t="s">
        <v>6</v>
      </c>
      <c r="E651" s="7" t="s">
        <v>7</v>
      </c>
      <c r="F651" s="7" t="s">
        <v>616</v>
      </c>
    </row>
    <row r="652" spans="1:6" ht="12.75">
      <c r="A652" s="6">
        <v>45625.619841585649</v>
      </c>
      <c r="B652" s="7" t="s">
        <v>16</v>
      </c>
      <c r="C652" s="5" t="str">
        <f>LEFT(Form_Responses1[[#This Row],[問１　あなたは何年生ですか。]],3)</f>
        <v>中学校</v>
      </c>
      <c r="D652" s="7" t="s">
        <v>6</v>
      </c>
      <c r="E652" s="7" t="s">
        <v>7</v>
      </c>
      <c r="F652" s="7" t="s">
        <v>112</v>
      </c>
    </row>
    <row r="653" spans="1:6" ht="12.75">
      <c r="A653" s="6">
        <v>45625.619976087968</v>
      </c>
      <c r="B653" s="7" t="s">
        <v>16</v>
      </c>
      <c r="C653" s="5" t="str">
        <f>LEFT(Form_Responses1[[#This Row],[問１　あなたは何年生ですか。]],3)</f>
        <v>中学校</v>
      </c>
      <c r="D653" s="7" t="s">
        <v>19</v>
      </c>
      <c r="E653" s="7" t="s">
        <v>10</v>
      </c>
      <c r="F653" s="7" t="s">
        <v>112</v>
      </c>
    </row>
    <row r="654" spans="1:6" ht="12.75">
      <c r="A654" s="6">
        <v>45625.620040717593</v>
      </c>
      <c r="B654" s="7" t="s">
        <v>16</v>
      </c>
      <c r="C654" s="5" t="str">
        <f>LEFT(Form_Responses1[[#This Row],[問１　あなたは何年生ですか。]],3)</f>
        <v>中学校</v>
      </c>
      <c r="D654" s="7" t="s">
        <v>19</v>
      </c>
      <c r="E654" s="7" t="s">
        <v>7</v>
      </c>
      <c r="F654" s="7" t="s">
        <v>34</v>
      </c>
    </row>
    <row r="655" spans="1:6" ht="12.75">
      <c r="A655" s="6">
        <v>45625.620613090279</v>
      </c>
      <c r="B655" s="7" t="s">
        <v>16</v>
      </c>
      <c r="C655" s="5" t="str">
        <f>LEFT(Form_Responses1[[#This Row],[問１　あなたは何年生ですか。]],3)</f>
        <v>中学校</v>
      </c>
      <c r="D655" s="7" t="s">
        <v>30</v>
      </c>
      <c r="E655" s="7" t="s">
        <v>10</v>
      </c>
      <c r="F655" s="7" t="s">
        <v>617</v>
      </c>
    </row>
    <row r="656" spans="1:6" ht="12.75">
      <c r="A656" s="6">
        <v>45625.621536631945</v>
      </c>
      <c r="B656" s="7" t="s">
        <v>16</v>
      </c>
      <c r="C656" s="5" t="str">
        <f>LEFT(Form_Responses1[[#This Row],[問１　あなたは何年生ですか。]],3)</f>
        <v>中学校</v>
      </c>
      <c r="D656" s="7" t="s">
        <v>618</v>
      </c>
      <c r="E656" s="7" t="s">
        <v>10</v>
      </c>
      <c r="F656" s="7" t="s">
        <v>619</v>
      </c>
    </row>
    <row r="657" spans="1:6" ht="12.75">
      <c r="A657" s="6">
        <v>45625.622452824071</v>
      </c>
      <c r="B657" s="7" t="s">
        <v>16</v>
      </c>
      <c r="C657" s="5" t="str">
        <f>LEFT(Form_Responses1[[#This Row],[問１　あなたは何年生ですか。]],3)</f>
        <v>中学校</v>
      </c>
      <c r="D657" s="7" t="s">
        <v>6</v>
      </c>
      <c r="E657" s="7" t="s">
        <v>10</v>
      </c>
      <c r="F657" s="7" t="s">
        <v>620</v>
      </c>
    </row>
    <row r="658" spans="1:6" ht="12.75">
      <c r="A658" s="6">
        <v>45628.331976203699</v>
      </c>
      <c r="B658" s="7" t="s">
        <v>23</v>
      </c>
      <c r="C658" s="5" t="str">
        <f>LEFT(Form_Responses1[[#This Row],[問１　あなたは何年生ですか。]],3)</f>
        <v>小学校</v>
      </c>
      <c r="D658" s="7" t="s">
        <v>621</v>
      </c>
      <c r="E658" s="7" t="s">
        <v>7</v>
      </c>
      <c r="F658" s="7" t="s">
        <v>622</v>
      </c>
    </row>
    <row r="659" spans="1:6" ht="12.75">
      <c r="A659" s="6">
        <v>45628.342471064811</v>
      </c>
      <c r="B659" s="7" t="s">
        <v>21</v>
      </c>
      <c r="C659" s="5" t="str">
        <f>LEFT(Form_Responses1[[#This Row],[問１　あなたは何年生ですか。]],3)</f>
        <v>小学校</v>
      </c>
      <c r="D659" s="7" t="s">
        <v>9</v>
      </c>
      <c r="E659" s="7" t="s">
        <v>10</v>
      </c>
      <c r="F659" s="7" t="s">
        <v>623</v>
      </c>
    </row>
    <row r="660" spans="1:6" ht="12.75">
      <c r="A660" s="6">
        <v>45628.342836851851</v>
      </c>
      <c r="B660" s="7" t="s">
        <v>21</v>
      </c>
      <c r="C660" s="5" t="str">
        <f>LEFT(Form_Responses1[[#This Row],[問１　あなたは何年生ですか。]],3)</f>
        <v>小学校</v>
      </c>
      <c r="D660" s="7" t="s">
        <v>6</v>
      </c>
      <c r="E660" s="7" t="s">
        <v>7</v>
      </c>
      <c r="F660" s="7" t="s">
        <v>624</v>
      </c>
    </row>
    <row r="661" spans="1:6" ht="12.75">
      <c r="A661" s="6">
        <v>45628.343355659723</v>
      </c>
      <c r="B661" s="7" t="s">
        <v>21</v>
      </c>
      <c r="C661" s="5" t="str">
        <f>LEFT(Form_Responses1[[#This Row],[問１　あなたは何年生ですか。]],3)</f>
        <v>小学校</v>
      </c>
      <c r="D661" s="7" t="s">
        <v>24</v>
      </c>
      <c r="E661" s="7" t="s">
        <v>10</v>
      </c>
      <c r="F661" s="7" t="s">
        <v>625</v>
      </c>
    </row>
    <row r="662" spans="1:6" ht="12.75">
      <c r="A662" s="6">
        <v>45628.343432847221</v>
      </c>
      <c r="B662" s="7" t="s">
        <v>21</v>
      </c>
      <c r="C662" s="5" t="str">
        <f>LEFT(Form_Responses1[[#This Row],[問１　あなたは何年生ですか。]],3)</f>
        <v>小学校</v>
      </c>
      <c r="D662" s="7" t="s">
        <v>6</v>
      </c>
      <c r="E662" s="7" t="s">
        <v>10</v>
      </c>
      <c r="F662" s="7" t="s">
        <v>626</v>
      </c>
    </row>
    <row r="663" spans="1:6" ht="12.75">
      <c r="A663" s="6">
        <v>45628.343794050925</v>
      </c>
      <c r="B663" s="7" t="s">
        <v>21</v>
      </c>
      <c r="C663" s="5" t="str">
        <f>LEFT(Form_Responses1[[#This Row],[問１　あなたは何年生ですか。]],3)</f>
        <v>小学校</v>
      </c>
      <c r="D663" s="7" t="s">
        <v>6</v>
      </c>
      <c r="E663" s="7" t="s">
        <v>10</v>
      </c>
      <c r="F663" s="7" t="s">
        <v>627</v>
      </c>
    </row>
    <row r="664" spans="1:6" ht="12.75">
      <c r="A664" s="6">
        <v>45628.343942222222</v>
      </c>
      <c r="B664" s="7" t="s">
        <v>21</v>
      </c>
      <c r="C664" s="5" t="str">
        <f>LEFT(Form_Responses1[[#This Row],[問１　あなたは何年生ですか。]],3)</f>
        <v>小学校</v>
      </c>
      <c r="D664" s="7" t="s">
        <v>6</v>
      </c>
      <c r="E664" s="7" t="s">
        <v>10</v>
      </c>
      <c r="F664" s="7" t="s">
        <v>628</v>
      </c>
    </row>
    <row r="665" spans="1:6" ht="12.75">
      <c r="A665" s="6">
        <v>45628.344006782412</v>
      </c>
      <c r="B665" s="7" t="s">
        <v>21</v>
      </c>
      <c r="C665" s="5" t="str">
        <f>LEFT(Form_Responses1[[#This Row],[問１　あなたは何年生ですか。]],3)</f>
        <v>小学校</v>
      </c>
      <c r="D665" s="7" t="s">
        <v>12</v>
      </c>
      <c r="E665" s="7" t="s">
        <v>10</v>
      </c>
      <c r="F665" s="7" t="s">
        <v>629</v>
      </c>
    </row>
    <row r="666" spans="1:6" ht="12.75">
      <c r="A666" s="6">
        <v>45628.345052881945</v>
      </c>
      <c r="B666" s="7" t="s">
        <v>21</v>
      </c>
      <c r="C666" s="5" t="str">
        <f>LEFT(Form_Responses1[[#This Row],[問１　あなたは何年生ですか。]],3)</f>
        <v>小学校</v>
      </c>
      <c r="D666" s="7" t="s">
        <v>6</v>
      </c>
      <c r="E666" s="7" t="s">
        <v>10</v>
      </c>
      <c r="F666" s="7" t="s">
        <v>628</v>
      </c>
    </row>
    <row r="667" spans="1:6" ht="12.75">
      <c r="A667" s="6">
        <v>45628.345139907411</v>
      </c>
      <c r="B667" s="7" t="s">
        <v>21</v>
      </c>
      <c r="C667" s="5" t="str">
        <f>LEFT(Form_Responses1[[#This Row],[問１　あなたは何年生ですか。]],3)</f>
        <v>小学校</v>
      </c>
      <c r="D667" s="7" t="s">
        <v>12</v>
      </c>
      <c r="E667" s="7" t="s">
        <v>10</v>
      </c>
      <c r="F667" s="7" t="s">
        <v>630</v>
      </c>
    </row>
    <row r="668" spans="1:6" ht="12.75">
      <c r="A668" s="6">
        <v>45628.345559236113</v>
      </c>
      <c r="B668" s="7" t="s">
        <v>21</v>
      </c>
      <c r="C668" s="5" t="str">
        <f>LEFT(Form_Responses1[[#This Row],[問１　あなたは何年生ですか。]],3)</f>
        <v>小学校</v>
      </c>
      <c r="D668" s="7" t="s">
        <v>24</v>
      </c>
      <c r="E668" s="7" t="s">
        <v>10</v>
      </c>
      <c r="F668" s="7" t="s">
        <v>631</v>
      </c>
    </row>
    <row r="669" spans="1:6" ht="12.75">
      <c r="A669" s="6">
        <v>45628.34574827546</v>
      </c>
      <c r="B669" s="7" t="s">
        <v>21</v>
      </c>
      <c r="C669" s="5" t="str">
        <f>LEFT(Form_Responses1[[#This Row],[問１　あなたは何年生ですか。]],3)</f>
        <v>小学校</v>
      </c>
      <c r="D669" s="7" t="s">
        <v>632</v>
      </c>
      <c r="E669" s="7" t="s">
        <v>7</v>
      </c>
      <c r="F669" s="7" t="s">
        <v>633</v>
      </c>
    </row>
    <row r="670" spans="1:6" ht="12.75">
      <c r="A670" s="6">
        <v>45628.345893472222</v>
      </c>
      <c r="B670" s="7" t="s">
        <v>21</v>
      </c>
      <c r="C670" s="5" t="str">
        <f>LEFT(Form_Responses1[[#This Row],[問１　あなたは何年生ですか。]],3)</f>
        <v>小学校</v>
      </c>
      <c r="D670" s="7" t="s">
        <v>6</v>
      </c>
      <c r="E670" s="7" t="s">
        <v>7</v>
      </c>
      <c r="F670" s="8"/>
    </row>
    <row r="671" spans="1:6" ht="12.75">
      <c r="A671" s="6">
        <v>45628.345954583332</v>
      </c>
      <c r="B671" s="7" t="s">
        <v>21</v>
      </c>
      <c r="C671" s="5" t="str">
        <f>LEFT(Form_Responses1[[#This Row],[問１　あなたは何年生ですか。]],3)</f>
        <v>小学校</v>
      </c>
      <c r="D671" s="7" t="s">
        <v>634</v>
      </c>
      <c r="E671" s="7" t="s">
        <v>10</v>
      </c>
      <c r="F671" s="7" t="s">
        <v>635</v>
      </c>
    </row>
    <row r="672" spans="1:6" ht="12.75">
      <c r="A672" s="6">
        <v>45628.34598539352</v>
      </c>
      <c r="B672" s="7" t="s">
        <v>21</v>
      </c>
      <c r="C672" s="5" t="str">
        <f>LEFT(Form_Responses1[[#This Row],[問１　あなたは何年生ですか。]],3)</f>
        <v>小学校</v>
      </c>
      <c r="D672" s="7" t="s">
        <v>6</v>
      </c>
      <c r="E672" s="7" t="s">
        <v>10</v>
      </c>
      <c r="F672" s="7" t="s">
        <v>636</v>
      </c>
    </row>
    <row r="673" spans="1:6" ht="12.75">
      <c r="A673" s="6">
        <v>45628.346265891203</v>
      </c>
      <c r="B673" s="7" t="s">
        <v>21</v>
      </c>
      <c r="C673" s="5" t="str">
        <f>LEFT(Form_Responses1[[#This Row],[問１　あなたは何年生ですか。]],3)</f>
        <v>小学校</v>
      </c>
      <c r="D673" s="7" t="s">
        <v>6</v>
      </c>
      <c r="E673" s="7" t="s">
        <v>10</v>
      </c>
      <c r="F673" s="7" t="s">
        <v>637</v>
      </c>
    </row>
    <row r="674" spans="1:6" ht="12.75">
      <c r="A674" s="6">
        <v>45628.346454328705</v>
      </c>
      <c r="B674" s="7" t="s">
        <v>21</v>
      </c>
      <c r="C674" s="5" t="str">
        <f>LEFT(Form_Responses1[[#This Row],[問１　あなたは何年生ですか。]],3)</f>
        <v>小学校</v>
      </c>
      <c r="D674" s="7" t="s">
        <v>6</v>
      </c>
      <c r="E674" s="7" t="s">
        <v>10</v>
      </c>
      <c r="F674" s="7" t="s">
        <v>638</v>
      </c>
    </row>
    <row r="675" spans="1:6" ht="12.75">
      <c r="A675" s="6">
        <v>45628.351241180557</v>
      </c>
      <c r="B675" s="7" t="s">
        <v>21</v>
      </c>
      <c r="C675" s="5" t="str">
        <f>LEFT(Form_Responses1[[#This Row],[問１　あなたは何年生ですか。]],3)</f>
        <v>小学校</v>
      </c>
      <c r="D675" s="7" t="s">
        <v>24</v>
      </c>
      <c r="E675" s="7" t="s">
        <v>10</v>
      </c>
      <c r="F675" s="7" t="s">
        <v>639</v>
      </c>
    </row>
    <row r="676" spans="1:6" ht="12.75">
      <c r="A676" s="6">
        <v>45628.356627361107</v>
      </c>
      <c r="B676" s="7" t="s">
        <v>23</v>
      </c>
      <c r="C676" s="5" t="str">
        <f>LEFT(Form_Responses1[[#This Row],[問１　あなたは何年生ですか。]],3)</f>
        <v>小学校</v>
      </c>
      <c r="D676" s="7" t="s">
        <v>640</v>
      </c>
      <c r="E676" s="7" t="s">
        <v>15</v>
      </c>
      <c r="F676" s="7" t="s">
        <v>641</v>
      </c>
    </row>
    <row r="677" spans="1:6" ht="12.75">
      <c r="A677" s="6">
        <v>45628.356677476855</v>
      </c>
      <c r="B677" s="7" t="s">
        <v>23</v>
      </c>
      <c r="C677" s="5" t="str">
        <f>LEFT(Form_Responses1[[#This Row],[問１　あなたは何年生ですか。]],3)</f>
        <v>小学校</v>
      </c>
      <c r="D677" s="7" t="s">
        <v>14</v>
      </c>
      <c r="E677" s="7" t="s">
        <v>7</v>
      </c>
      <c r="F677" s="7" t="s">
        <v>110</v>
      </c>
    </row>
    <row r="678" spans="1:6" ht="12.75">
      <c r="A678" s="6">
        <v>45628.356993020832</v>
      </c>
      <c r="B678" s="7" t="s">
        <v>23</v>
      </c>
      <c r="C678" s="5" t="str">
        <f>LEFT(Form_Responses1[[#This Row],[問１　あなたは何年生ですか。]],3)</f>
        <v>小学校</v>
      </c>
      <c r="D678" s="7" t="s">
        <v>17</v>
      </c>
      <c r="E678" s="7" t="s">
        <v>10</v>
      </c>
      <c r="F678" s="7" t="s">
        <v>642</v>
      </c>
    </row>
    <row r="679" spans="1:6" ht="12.75">
      <c r="A679" s="6">
        <v>45628.357447268514</v>
      </c>
      <c r="B679" s="7" t="s">
        <v>23</v>
      </c>
      <c r="C679" s="5" t="str">
        <f>LEFT(Form_Responses1[[#This Row],[問１　あなたは何年生ですか。]],3)</f>
        <v>小学校</v>
      </c>
      <c r="D679" s="7" t="s">
        <v>6</v>
      </c>
      <c r="E679" s="7" t="s">
        <v>7</v>
      </c>
      <c r="F679" s="7" t="s">
        <v>157</v>
      </c>
    </row>
    <row r="680" spans="1:6" ht="12.75">
      <c r="A680" s="6">
        <v>45628.357494236116</v>
      </c>
      <c r="B680" s="7" t="s">
        <v>23</v>
      </c>
      <c r="C680" s="5" t="str">
        <f>LEFT(Form_Responses1[[#This Row],[問１　あなたは何年生ですか。]],3)</f>
        <v>小学校</v>
      </c>
      <c r="D680" s="7" t="s">
        <v>24</v>
      </c>
      <c r="E680" s="7" t="s">
        <v>10</v>
      </c>
      <c r="F680" s="7" t="s">
        <v>643</v>
      </c>
    </row>
    <row r="681" spans="1:6" ht="12.75">
      <c r="A681" s="6">
        <v>45628.357554699076</v>
      </c>
      <c r="B681" s="7" t="s">
        <v>23</v>
      </c>
      <c r="C681" s="5" t="str">
        <f>LEFT(Form_Responses1[[#This Row],[問１　あなたは何年生ですか。]],3)</f>
        <v>小学校</v>
      </c>
      <c r="D681" s="7" t="s">
        <v>19</v>
      </c>
      <c r="E681" s="7" t="s">
        <v>7</v>
      </c>
      <c r="F681" s="7" t="s">
        <v>644</v>
      </c>
    </row>
    <row r="682" spans="1:6" ht="12.75">
      <c r="A682" s="6">
        <v>45628.357595416666</v>
      </c>
      <c r="B682" s="7" t="s">
        <v>23</v>
      </c>
      <c r="C682" s="5" t="str">
        <f>LEFT(Form_Responses1[[#This Row],[問１　あなたは何年生ですか。]],3)</f>
        <v>小学校</v>
      </c>
      <c r="D682" s="7" t="s">
        <v>645</v>
      </c>
      <c r="E682" s="7" t="s">
        <v>7</v>
      </c>
      <c r="F682" s="7" t="s">
        <v>646</v>
      </c>
    </row>
    <row r="683" spans="1:6" ht="12.75">
      <c r="A683" s="6">
        <v>45628.357678865737</v>
      </c>
      <c r="B683" s="7" t="s">
        <v>23</v>
      </c>
      <c r="C683" s="5" t="str">
        <f>LEFT(Form_Responses1[[#This Row],[問１　あなたは何年生ですか。]],3)</f>
        <v>小学校</v>
      </c>
      <c r="D683" s="7" t="s">
        <v>6</v>
      </c>
      <c r="E683" s="7" t="s">
        <v>10</v>
      </c>
      <c r="F683" s="7" t="s">
        <v>647</v>
      </c>
    </row>
    <row r="684" spans="1:6" ht="12.75">
      <c r="A684" s="6">
        <v>45628.357705659721</v>
      </c>
      <c r="B684" s="7" t="s">
        <v>23</v>
      </c>
      <c r="C684" s="5" t="str">
        <f>LEFT(Form_Responses1[[#This Row],[問１　あなたは何年生ですか。]],3)</f>
        <v>小学校</v>
      </c>
      <c r="D684" s="7" t="s">
        <v>648</v>
      </c>
      <c r="E684" s="7" t="s">
        <v>7</v>
      </c>
      <c r="F684" s="7" t="s">
        <v>649</v>
      </c>
    </row>
    <row r="685" spans="1:6" ht="12.75">
      <c r="A685" s="6">
        <v>45628.35774673611</v>
      </c>
      <c r="B685" s="7" t="s">
        <v>23</v>
      </c>
      <c r="C685" s="5" t="str">
        <f>LEFT(Form_Responses1[[#This Row],[問１　あなたは何年生ですか。]],3)</f>
        <v>小学校</v>
      </c>
      <c r="D685" s="7" t="s">
        <v>121</v>
      </c>
      <c r="E685" s="7" t="s">
        <v>10</v>
      </c>
      <c r="F685" s="7" t="s">
        <v>650</v>
      </c>
    </row>
    <row r="686" spans="1:6" ht="12.75">
      <c r="A686" s="6">
        <v>45628.357996284722</v>
      </c>
      <c r="B686" s="7" t="s">
        <v>23</v>
      </c>
      <c r="C686" s="5" t="str">
        <f>LEFT(Form_Responses1[[#This Row],[問１　あなたは何年生ですか。]],3)</f>
        <v>小学校</v>
      </c>
      <c r="D686" s="7" t="s">
        <v>24</v>
      </c>
      <c r="E686" s="7" t="s">
        <v>10</v>
      </c>
      <c r="F686" s="7" t="s">
        <v>651</v>
      </c>
    </row>
    <row r="687" spans="1:6" ht="12.75">
      <c r="A687" s="6">
        <v>45628.358002777779</v>
      </c>
      <c r="B687" s="7" t="s">
        <v>23</v>
      </c>
      <c r="C687" s="5" t="str">
        <f>LEFT(Form_Responses1[[#This Row],[問１　あなたは何年生ですか。]],3)</f>
        <v>小学校</v>
      </c>
      <c r="D687" s="7" t="s">
        <v>17</v>
      </c>
      <c r="E687" s="7" t="s">
        <v>10</v>
      </c>
      <c r="F687" s="7" t="s">
        <v>652</v>
      </c>
    </row>
    <row r="688" spans="1:6" ht="12.75">
      <c r="A688" s="6">
        <v>45628.358020069441</v>
      </c>
      <c r="B688" s="7" t="s">
        <v>23</v>
      </c>
      <c r="C688" s="5" t="str">
        <f>LEFT(Form_Responses1[[#This Row],[問１　あなたは何年生ですか。]],3)</f>
        <v>小学校</v>
      </c>
      <c r="D688" s="7" t="s">
        <v>19</v>
      </c>
      <c r="E688" s="7" t="s">
        <v>10</v>
      </c>
      <c r="F688" s="7" t="s">
        <v>52</v>
      </c>
    </row>
    <row r="689" spans="1:6" ht="12.75">
      <c r="A689" s="6">
        <v>45628.358048564813</v>
      </c>
      <c r="B689" s="7" t="s">
        <v>23</v>
      </c>
      <c r="C689" s="5" t="str">
        <f>LEFT(Form_Responses1[[#This Row],[問１　あなたは何年生ですか。]],3)</f>
        <v>小学校</v>
      </c>
      <c r="D689" s="7" t="s">
        <v>19</v>
      </c>
      <c r="E689" s="7" t="s">
        <v>7</v>
      </c>
      <c r="F689" s="7" t="s">
        <v>653</v>
      </c>
    </row>
    <row r="690" spans="1:6" ht="12.75">
      <c r="A690" s="6">
        <v>45628.358359942125</v>
      </c>
      <c r="B690" s="7" t="s">
        <v>23</v>
      </c>
      <c r="C690" s="5" t="str">
        <f>LEFT(Form_Responses1[[#This Row],[問１　あなたは何年生ですか。]],3)</f>
        <v>小学校</v>
      </c>
      <c r="D690" s="7" t="s">
        <v>24</v>
      </c>
      <c r="E690" s="7" t="s">
        <v>10</v>
      </c>
      <c r="F690" s="7" t="s">
        <v>651</v>
      </c>
    </row>
    <row r="691" spans="1:6" ht="12.75">
      <c r="A691" s="6">
        <v>45628.358410868052</v>
      </c>
      <c r="B691" s="7" t="s">
        <v>23</v>
      </c>
      <c r="C691" s="5" t="str">
        <f>LEFT(Form_Responses1[[#This Row],[問１　あなたは何年生ですか。]],3)</f>
        <v>小学校</v>
      </c>
      <c r="D691" s="7" t="s">
        <v>6</v>
      </c>
      <c r="E691" s="7" t="s">
        <v>7</v>
      </c>
      <c r="F691" s="7" t="s">
        <v>654</v>
      </c>
    </row>
    <row r="692" spans="1:6" ht="12.75">
      <c r="A692" s="6">
        <v>45628.35841857639</v>
      </c>
      <c r="B692" s="7" t="s">
        <v>23</v>
      </c>
      <c r="C692" s="5" t="str">
        <f>LEFT(Form_Responses1[[#This Row],[問１　あなたは何年生ですか。]],3)</f>
        <v>小学校</v>
      </c>
      <c r="D692" s="7" t="s">
        <v>655</v>
      </c>
      <c r="E692" s="7" t="s">
        <v>10</v>
      </c>
      <c r="F692" s="7" t="s">
        <v>52</v>
      </c>
    </row>
    <row r="693" spans="1:6" ht="12.75">
      <c r="A693" s="6">
        <v>45628.35850451389</v>
      </c>
      <c r="B693" s="7" t="s">
        <v>23</v>
      </c>
      <c r="C693" s="5" t="str">
        <f>LEFT(Form_Responses1[[#This Row],[問１　あなたは何年生ですか。]],3)</f>
        <v>小学校</v>
      </c>
      <c r="D693" s="7" t="s">
        <v>19</v>
      </c>
      <c r="E693" s="7" t="s">
        <v>7</v>
      </c>
      <c r="F693" s="7" t="s">
        <v>656</v>
      </c>
    </row>
    <row r="694" spans="1:6" ht="12.75">
      <c r="A694" s="6">
        <v>45628.358618113431</v>
      </c>
      <c r="B694" s="7" t="s">
        <v>23</v>
      </c>
      <c r="C694" s="5" t="str">
        <f>LEFT(Form_Responses1[[#This Row],[問１　あなたは何年生ですか。]],3)</f>
        <v>小学校</v>
      </c>
      <c r="D694" s="7" t="s">
        <v>24</v>
      </c>
      <c r="E694" s="7" t="s">
        <v>10</v>
      </c>
      <c r="F694" s="7" t="s">
        <v>110</v>
      </c>
    </row>
    <row r="695" spans="1:6" ht="12.75">
      <c r="A695" s="6">
        <v>45628.358663900464</v>
      </c>
      <c r="B695" s="7" t="s">
        <v>23</v>
      </c>
      <c r="C695" s="5" t="str">
        <f>LEFT(Form_Responses1[[#This Row],[問１　あなたは何年生ですか。]],3)</f>
        <v>小学校</v>
      </c>
      <c r="D695" s="7" t="s">
        <v>657</v>
      </c>
      <c r="E695" s="7" t="s">
        <v>7</v>
      </c>
      <c r="F695" s="7" t="s">
        <v>658</v>
      </c>
    </row>
    <row r="696" spans="1:6" ht="12.75">
      <c r="A696" s="6">
        <v>45628.358749710649</v>
      </c>
      <c r="B696" s="7" t="s">
        <v>23</v>
      </c>
      <c r="C696" s="5" t="str">
        <f>LEFT(Form_Responses1[[#This Row],[問１　あなたは何年生ですか。]],3)</f>
        <v>小学校</v>
      </c>
      <c r="D696" s="7" t="s">
        <v>14</v>
      </c>
      <c r="E696" s="7" t="s">
        <v>7</v>
      </c>
      <c r="F696" s="7" t="s">
        <v>659</v>
      </c>
    </row>
    <row r="697" spans="1:6" ht="12.75">
      <c r="A697" s="6">
        <v>45628.358759988427</v>
      </c>
      <c r="B697" s="7" t="s">
        <v>23</v>
      </c>
      <c r="C697" s="5" t="str">
        <f>LEFT(Form_Responses1[[#This Row],[問１　あなたは何年生ですか。]],3)</f>
        <v>小学校</v>
      </c>
      <c r="D697" s="7" t="s">
        <v>19</v>
      </c>
      <c r="E697" s="7" t="s">
        <v>10</v>
      </c>
      <c r="F697" s="7" t="s">
        <v>660</v>
      </c>
    </row>
    <row r="698" spans="1:6" ht="12.75">
      <c r="A698" s="6">
        <v>45628.359615462963</v>
      </c>
      <c r="B698" s="7" t="s">
        <v>23</v>
      </c>
      <c r="C698" s="5" t="str">
        <f>LEFT(Form_Responses1[[#This Row],[問１　あなたは何年生ですか。]],3)</f>
        <v>小学校</v>
      </c>
      <c r="D698" s="7" t="s">
        <v>121</v>
      </c>
      <c r="E698" s="7" t="s">
        <v>10</v>
      </c>
      <c r="F698" s="7" t="s">
        <v>52</v>
      </c>
    </row>
    <row r="699" spans="1:6" ht="12.75">
      <c r="A699" s="6">
        <v>45628.359989965276</v>
      </c>
      <c r="B699" s="7" t="s">
        <v>23</v>
      </c>
      <c r="C699" s="5" t="str">
        <f>LEFT(Form_Responses1[[#This Row],[問１　あなたは何年生ですか。]],3)</f>
        <v>小学校</v>
      </c>
      <c r="D699" s="7" t="s">
        <v>24</v>
      </c>
      <c r="E699" s="7" t="s">
        <v>10</v>
      </c>
      <c r="F699" s="7" t="s">
        <v>661</v>
      </c>
    </row>
    <row r="700" spans="1:6" ht="12.75">
      <c r="A700" s="6">
        <v>45628.36036283565</v>
      </c>
      <c r="B700" s="7" t="s">
        <v>23</v>
      </c>
      <c r="C700" s="5" t="str">
        <f>LEFT(Form_Responses1[[#This Row],[問１　あなたは何年生ですか。]],3)</f>
        <v>小学校</v>
      </c>
      <c r="D700" s="7" t="s">
        <v>19</v>
      </c>
      <c r="E700" s="7" t="s">
        <v>10</v>
      </c>
      <c r="F700" s="7" t="s">
        <v>662</v>
      </c>
    </row>
    <row r="701" spans="1:6" ht="12.75">
      <c r="A701" s="6">
        <v>45628.360447268518</v>
      </c>
      <c r="B701" s="7" t="s">
        <v>23</v>
      </c>
      <c r="C701" s="5" t="str">
        <f>LEFT(Form_Responses1[[#This Row],[問１　あなたは何年生ですか。]],3)</f>
        <v>小学校</v>
      </c>
      <c r="D701" s="7" t="s">
        <v>24</v>
      </c>
      <c r="E701" s="7" t="s">
        <v>10</v>
      </c>
      <c r="F701" s="7" t="s">
        <v>663</v>
      </c>
    </row>
    <row r="702" spans="1:6" ht="12.75">
      <c r="A702" s="6">
        <v>45628.360606064816</v>
      </c>
      <c r="B702" s="7" t="s">
        <v>23</v>
      </c>
      <c r="C702" s="5" t="str">
        <f>LEFT(Form_Responses1[[#This Row],[問１　あなたは何年生ですか。]],3)</f>
        <v>小学校</v>
      </c>
      <c r="D702" s="7" t="s">
        <v>19</v>
      </c>
      <c r="E702" s="7" t="s">
        <v>7</v>
      </c>
      <c r="F702" s="7" t="s">
        <v>664</v>
      </c>
    </row>
    <row r="703" spans="1:6" ht="12.75">
      <c r="A703" s="6">
        <v>45628.364886481482</v>
      </c>
      <c r="B703" s="7" t="s">
        <v>23</v>
      </c>
      <c r="C703" s="5" t="str">
        <f>LEFT(Form_Responses1[[#This Row],[問１　あなたは何年生ですか。]],3)</f>
        <v>小学校</v>
      </c>
      <c r="D703" s="7" t="s">
        <v>6</v>
      </c>
      <c r="E703" s="7" t="s">
        <v>7</v>
      </c>
      <c r="F703" s="7" t="s">
        <v>665</v>
      </c>
    </row>
    <row r="704" spans="1:6" ht="12.75">
      <c r="A704" s="6">
        <v>45628.365050868058</v>
      </c>
      <c r="B704" s="7" t="s">
        <v>23</v>
      </c>
      <c r="C704" s="5" t="str">
        <f>LEFT(Form_Responses1[[#This Row],[問１　あなたは何年生ですか。]],3)</f>
        <v>小学校</v>
      </c>
      <c r="D704" s="7" t="s">
        <v>24</v>
      </c>
      <c r="E704" s="7" t="s">
        <v>10</v>
      </c>
      <c r="F704" s="7" t="s">
        <v>666</v>
      </c>
    </row>
    <row r="705" spans="1:6" ht="12.75">
      <c r="A705" s="6">
        <v>45628.365453819446</v>
      </c>
      <c r="B705" s="7" t="s">
        <v>23</v>
      </c>
      <c r="C705" s="5" t="str">
        <f>LEFT(Form_Responses1[[#This Row],[問１　あなたは何年生ですか。]],3)</f>
        <v>小学校</v>
      </c>
      <c r="D705" s="7" t="s">
        <v>9</v>
      </c>
      <c r="E705" s="7" t="s">
        <v>10</v>
      </c>
      <c r="F705" s="7" t="s">
        <v>667</v>
      </c>
    </row>
    <row r="706" spans="1:6" ht="12.75">
      <c r="A706" s="6">
        <v>45628.365521678235</v>
      </c>
      <c r="B706" s="7" t="s">
        <v>23</v>
      </c>
      <c r="C706" s="5" t="str">
        <f>LEFT(Form_Responses1[[#This Row],[問１　あなたは何年生ですか。]],3)</f>
        <v>小学校</v>
      </c>
      <c r="D706" s="7" t="s">
        <v>6</v>
      </c>
      <c r="E706" s="7" t="s">
        <v>7</v>
      </c>
      <c r="F706" s="8"/>
    </row>
    <row r="707" spans="1:6" ht="12.75">
      <c r="A707" s="6">
        <v>45628.366008495374</v>
      </c>
      <c r="B707" s="7" t="s">
        <v>23</v>
      </c>
      <c r="C707" s="5" t="str">
        <f>LEFT(Form_Responses1[[#This Row],[問１　あなたは何年生ですか。]],3)</f>
        <v>小学校</v>
      </c>
      <c r="D707" s="7" t="s">
        <v>19</v>
      </c>
      <c r="E707" s="7" t="s">
        <v>10</v>
      </c>
      <c r="F707" s="7" t="s">
        <v>668</v>
      </c>
    </row>
    <row r="708" spans="1:6" ht="12.75">
      <c r="A708" s="6">
        <v>45628.366198425923</v>
      </c>
      <c r="B708" s="7" t="s">
        <v>23</v>
      </c>
      <c r="C708" s="5" t="str">
        <f>LEFT(Form_Responses1[[#This Row],[問１　あなたは何年生ですか。]],3)</f>
        <v>小学校</v>
      </c>
      <c r="D708" s="7" t="s">
        <v>19</v>
      </c>
      <c r="E708" s="7" t="s">
        <v>7</v>
      </c>
      <c r="F708" s="7" t="s">
        <v>669</v>
      </c>
    </row>
    <row r="709" spans="1:6" ht="12.75">
      <c r="A709" s="6">
        <v>45628.366336134262</v>
      </c>
      <c r="B709" s="7" t="s">
        <v>23</v>
      </c>
      <c r="C709" s="5" t="str">
        <f>LEFT(Form_Responses1[[#This Row],[問１　あなたは何年生ですか。]],3)</f>
        <v>小学校</v>
      </c>
      <c r="D709" s="7" t="s">
        <v>24</v>
      </c>
      <c r="E709" s="7" t="s">
        <v>10</v>
      </c>
      <c r="F709" s="8"/>
    </row>
    <row r="710" spans="1:6" ht="12.75">
      <c r="A710" s="6">
        <v>45628.366581134258</v>
      </c>
      <c r="B710" s="7" t="s">
        <v>23</v>
      </c>
      <c r="C710" s="5" t="str">
        <f>LEFT(Form_Responses1[[#This Row],[問１　あなたは何年生ですか。]],3)</f>
        <v>小学校</v>
      </c>
      <c r="D710" s="7" t="s">
        <v>12</v>
      </c>
      <c r="E710" s="7" t="s">
        <v>10</v>
      </c>
      <c r="F710" s="7" t="s">
        <v>670</v>
      </c>
    </row>
    <row r="711" spans="1:6" ht="12.75">
      <c r="A711" s="6">
        <v>45628.366628784723</v>
      </c>
      <c r="B711" s="7" t="s">
        <v>23</v>
      </c>
      <c r="C711" s="5" t="str">
        <f>LEFT(Form_Responses1[[#This Row],[問１　あなたは何年生ですか。]],3)</f>
        <v>小学校</v>
      </c>
      <c r="D711" s="7" t="s">
        <v>19</v>
      </c>
      <c r="E711" s="7" t="s">
        <v>10</v>
      </c>
      <c r="F711" s="7" t="s">
        <v>671</v>
      </c>
    </row>
    <row r="712" spans="1:6" ht="12.75">
      <c r="A712" s="6">
        <v>45628.366843958334</v>
      </c>
      <c r="B712" s="7" t="s">
        <v>23</v>
      </c>
      <c r="C712" s="5" t="str">
        <f>LEFT(Form_Responses1[[#This Row],[問１　あなたは何年生ですか。]],3)</f>
        <v>小学校</v>
      </c>
      <c r="D712" s="7" t="s">
        <v>14</v>
      </c>
      <c r="E712" s="7" t="s">
        <v>7</v>
      </c>
      <c r="F712" s="7" t="s">
        <v>672</v>
      </c>
    </row>
    <row r="713" spans="1:6" ht="12.75">
      <c r="A713" s="6">
        <v>45628.367087314815</v>
      </c>
      <c r="B713" s="7" t="s">
        <v>23</v>
      </c>
      <c r="C713" s="5" t="str">
        <f>LEFT(Form_Responses1[[#This Row],[問１　あなたは何年生ですか。]],3)</f>
        <v>小学校</v>
      </c>
      <c r="D713" s="7" t="s">
        <v>19</v>
      </c>
      <c r="E713" s="7" t="s">
        <v>10</v>
      </c>
      <c r="F713" s="7" t="s">
        <v>673</v>
      </c>
    </row>
    <row r="714" spans="1:6" ht="12.75">
      <c r="A714" s="6">
        <v>45628.367142233794</v>
      </c>
      <c r="B714" s="7" t="s">
        <v>23</v>
      </c>
      <c r="C714" s="5" t="str">
        <f>LEFT(Form_Responses1[[#This Row],[問１　あなたは何年生ですか。]],3)</f>
        <v>小学校</v>
      </c>
      <c r="D714" s="7" t="s">
        <v>6</v>
      </c>
      <c r="E714" s="7" t="s">
        <v>15</v>
      </c>
      <c r="F714" s="8"/>
    </row>
    <row r="715" spans="1:6" ht="12.75">
      <c r="A715" s="6">
        <v>45628.367812500001</v>
      </c>
      <c r="B715" s="7" t="s">
        <v>23</v>
      </c>
      <c r="C715" s="5" t="str">
        <f>LEFT(Form_Responses1[[#This Row],[問１　あなたは何年生ですか。]],3)</f>
        <v>小学校</v>
      </c>
      <c r="D715" s="7" t="s">
        <v>674</v>
      </c>
      <c r="E715" s="7" t="s">
        <v>10</v>
      </c>
      <c r="F715" s="7" t="s">
        <v>675</v>
      </c>
    </row>
    <row r="716" spans="1:6" ht="12.75">
      <c r="A716" s="6">
        <v>45628.388312986106</v>
      </c>
      <c r="B716" s="7" t="s">
        <v>21</v>
      </c>
      <c r="C716" s="5" t="str">
        <f>LEFT(Form_Responses1[[#This Row],[問１　あなたは何年生ですか。]],3)</f>
        <v>小学校</v>
      </c>
      <c r="D716" s="7" t="s">
        <v>6</v>
      </c>
      <c r="E716" s="7" t="s">
        <v>7</v>
      </c>
      <c r="F716" s="8"/>
    </row>
    <row r="717" spans="1:6" ht="12.75">
      <c r="A717" s="6">
        <v>45628.450058148148</v>
      </c>
      <c r="B717" s="7" t="s">
        <v>23</v>
      </c>
      <c r="C717" s="5" t="str">
        <f>LEFT(Form_Responses1[[#This Row],[問１　あなたは何年生ですか。]],3)</f>
        <v>小学校</v>
      </c>
      <c r="D717" s="7" t="s">
        <v>6</v>
      </c>
      <c r="E717" s="7" t="s">
        <v>10</v>
      </c>
      <c r="F717" s="8"/>
    </row>
    <row r="718" spans="1:6" ht="12.75">
      <c r="A718" s="6">
        <v>45628.451935127319</v>
      </c>
      <c r="B718" s="7" t="s">
        <v>23</v>
      </c>
      <c r="C718" s="5" t="str">
        <f>LEFT(Form_Responses1[[#This Row],[問１　あなたは何年生ですか。]],3)</f>
        <v>小学校</v>
      </c>
      <c r="D718" s="7" t="s">
        <v>605</v>
      </c>
      <c r="E718" s="7" t="s">
        <v>10</v>
      </c>
      <c r="F718" s="7" t="s">
        <v>676</v>
      </c>
    </row>
    <row r="719" spans="1:6" ht="12.75">
      <c r="A719" s="6">
        <v>45628.453407083332</v>
      </c>
      <c r="B719" s="7" t="s">
        <v>23</v>
      </c>
      <c r="C719" s="5" t="str">
        <f>LEFT(Form_Responses1[[#This Row],[問１　あなたは何年生ですか。]],3)</f>
        <v>小学校</v>
      </c>
      <c r="D719" s="7" t="s">
        <v>677</v>
      </c>
      <c r="E719" s="7" t="s">
        <v>10</v>
      </c>
      <c r="F719" s="7" t="s">
        <v>678</v>
      </c>
    </row>
    <row r="720" spans="1:6" ht="12.75">
      <c r="A720" s="6">
        <v>45628.455670937503</v>
      </c>
      <c r="B720" s="7" t="s">
        <v>23</v>
      </c>
      <c r="C720" s="5" t="str">
        <f>LEFT(Form_Responses1[[#This Row],[問１　あなたは何年生ですか。]],3)</f>
        <v>小学校</v>
      </c>
      <c r="D720" s="7" t="s">
        <v>679</v>
      </c>
      <c r="E720" s="7" t="s">
        <v>10</v>
      </c>
      <c r="F720" s="7" t="s">
        <v>680</v>
      </c>
    </row>
    <row r="721" spans="1:6" ht="12.75">
      <c r="A721" s="6">
        <v>45628.456991331019</v>
      </c>
      <c r="B721" s="7" t="s">
        <v>23</v>
      </c>
      <c r="C721" s="5" t="str">
        <f>LEFT(Form_Responses1[[#This Row],[問１　あなたは何年生ですか。]],3)</f>
        <v>小学校</v>
      </c>
      <c r="D721" s="7" t="s">
        <v>6</v>
      </c>
      <c r="E721" s="7" t="s">
        <v>10</v>
      </c>
      <c r="F721" s="7" t="s">
        <v>681</v>
      </c>
    </row>
    <row r="722" spans="1:6" ht="12.75">
      <c r="A722" s="6">
        <v>45628.458402256947</v>
      </c>
      <c r="B722" s="7" t="s">
        <v>23</v>
      </c>
      <c r="C722" s="5" t="str">
        <f>LEFT(Form_Responses1[[#This Row],[問１　あなたは何年生ですか。]],3)</f>
        <v>小学校</v>
      </c>
      <c r="D722" s="7" t="s">
        <v>17</v>
      </c>
      <c r="E722" s="7" t="s">
        <v>10</v>
      </c>
      <c r="F722" s="7" t="s">
        <v>682</v>
      </c>
    </row>
    <row r="723" spans="1:6" ht="12.75">
      <c r="A723" s="6">
        <v>45628.45881935185</v>
      </c>
      <c r="B723" s="7" t="s">
        <v>23</v>
      </c>
      <c r="C723" s="5" t="str">
        <f>LEFT(Form_Responses1[[#This Row],[問１　あなたは何年生ですか。]],3)</f>
        <v>小学校</v>
      </c>
      <c r="D723" s="7" t="s">
        <v>12</v>
      </c>
      <c r="E723" s="7" t="s">
        <v>10</v>
      </c>
      <c r="F723" s="7" t="s">
        <v>683</v>
      </c>
    </row>
    <row r="724" spans="1:6" ht="12.75">
      <c r="A724" s="6">
        <v>45628.459496284719</v>
      </c>
      <c r="B724" s="7" t="s">
        <v>23</v>
      </c>
      <c r="C724" s="5" t="str">
        <f>LEFT(Form_Responses1[[#This Row],[問１　あなたは何年生ですか。]],3)</f>
        <v>小学校</v>
      </c>
      <c r="D724" s="7" t="s">
        <v>684</v>
      </c>
      <c r="E724" s="7" t="s">
        <v>7</v>
      </c>
      <c r="F724" s="7" t="s">
        <v>685</v>
      </c>
    </row>
    <row r="725" spans="1:6" ht="12.75">
      <c r="A725" s="6">
        <v>45628.461751736111</v>
      </c>
      <c r="B725" s="7" t="s">
        <v>23</v>
      </c>
      <c r="C725" s="5" t="str">
        <f>LEFT(Form_Responses1[[#This Row],[問１　あなたは何年生ですか。]],3)</f>
        <v>小学校</v>
      </c>
      <c r="D725" s="7" t="s">
        <v>6</v>
      </c>
      <c r="E725" s="7" t="s">
        <v>10</v>
      </c>
      <c r="F725" s="7" t="s">
        <v>686</v>
      </c>
    </row>
    <row r="726" spans="1:6" ht="12.75">
      <c r="A726" s="6">
        <v>45628.463580509255</v>
      </c>
      <c r="B726" s="7" t="s">
        <v>23</v>
      </c>
      <c r="C726" s="5" t="str">
        <f>LEFT(Form_Responses1[[#This Row],[問１　あなたは何年生ですか。]],3)</f>
        <v>小学校</v>
      </c>
      <c r="D726" s="7" t="s">
        <v>687</v>
      </c>
      <c r="E726" s="7" t="s">
        <v>10</v>
      </c>
      <c r="F726" s="7" t="s">
        <v>688</v>
      </c>
    </row>
    <row r="727" spans="1:6" ht="12.75">
      <c r="A727" s="6">
        <v>45628.463763900465</v>
      </c>
      <c r="B727" s="7" t="s">
        <v>23</v>
      </c>
      <c r="C727" s="5" t="str">
        <f>LEFT(Form_Responses1[[#This Row],[問１　あなたは何年生ですか。]],3)</f>
        <v>小学校</v>
      </c>
      <c r="D727" s="7" t="s">
        <v>14</v>
      </c>
      <c r="E727" s="7" t="s">
        <v>10</v>
      </c>
      <c r="F727" s="7" t="s">
        <v>689</v>
      </c>
    </row>
    <row r="728" spans="1:6" ht="12.75">
      <c r="A728" s="6">
        <v>45628.463981574074</v>
      </c>
      <c r="B728" s="7" t="s">
        <v>23</v>
      </c>
      <c r="C728" s="5" t="str">
        <f>LEFT(Form_Responses1[[#This Row],[問１　あなたは何年生ですか。]],3)</f>
        <v>小学校</v>
      </c>
      <c r="D728" s="7" t="s">
        <v>121</v>
      </c>
      <c r="E728" s="7" t="s">
        <v>10</v>
      </c>
      <c r="F728" s="7" t="s">
        <v>690</v>
      </c>
    </row>
    <row r="729" spans="1:6" ht="12.75">
      <c r="A729" s="6">
        <v>45628.464983530095</v>
      </c>
      <c r="B729" s="7" t="s">
        <v>23</v>
      </c>
      <c r="C729" s="5" t="str">
        <f>LEFT(Form_Responses1[[#This Row],[問１　あなたは何年生ですか。]],3)</f>
        <v>小学校</v>
      </c>
      <c r="D729" s="7" t="s">
        <v>9</v>
      </c>
      <c r="E729" s="7" t="s">
        <v>7</v>
      </c>
      <c r="F729" s="7" t="s">
        <v>691</v>
      </c>
    </row>
    <row r="730" spans="1:6" ht="12.75">
      <c r="A730" s="6">
        <v>45628.465277916664</v>
      </c>
      <c r="B730" s="7" t="s">
        <v>23</v>
      </c>
      <c r="C730" s="5" t="str">
        <f>LEFT(Form_Responses1[[#This Row],[問１　あなたは何年生ですか。]],3)</f>
        <v>小学校</v>
      </c>
      <c r="D730" s="7" t="s">
        <v>692</v>
      </c>
      <c r="E730" s="7" t="s">
        <v>7</v>
      </c>
      <c r="F730" s="8"/>
    </row>
    <row r="731" spans="1:6" ht="12.75">
      <c r="A731" s="6">
        <v>45628.466518761576</v>
      </c>
      <c r="B731" s="7" t="s">
        <v>23</v>
      </c>
      <c r="C731" s="5" t="str">
        <f>LEFT(Form_Responses1[[#This Row],[問１　あなたは何年生ですか。]],3)</f>
        <v>小学校</v>
      </c>
      <c r="D731" s="7" t="s">
        <v>24</v>
      </c>
      <c r="E731" s="7" t="s">
        <v>10</v>
      </c>
      <c r="F731" s="7" t="s">
        <v>693</v>
      </c>
    </row>
    <row r="732" spans="1:6" ht="12.75">
      <c r="A732" s="6">
        <v>45628.468285196759</v>
      </c>
      <c r="B732" s="7" t="s">
        <v>23</v>
      </c>
      <c r="C732" s="5" t="str">
        <f>LEFT(Form_Responses1[[#This Row],[問１　あなたは何年生ですか。]],3)</f>
        <v>小学校</v>
      </c>
      <c r="D732" s="7" t="s">
        <v>17</v>
      </c>
      <c r="E732" s="7" t="s">
        <v>10</v>
      </c>
      <c r="F732" s="7" t="s">
        <v>110</v>
      </c>
    </row>
    <row r="733" spans="1:6" ht="12.75">
      <c r="A733" s="6">
        <v>45628.468347187503</v>
      </c>
      <c r="B733" s="7" t="s">
        <v>23</v>
      </c>
      <c r="C733" s="5" t="str">
        <f>LEFT(Form_Responses1[[#This Row],[問１　あなたは何年生ですか。]],3)</f>
        <v>小学校</v>
      </c>
      <c r="D733" s="7" t="s">
        <v>14</v>
      </c>
      <c r="E733" s="7" t="s">
        <v>10</v>
      </c>
      <c r="F733" s="7" t="s">
        <v>52</v>
      </c>
    </row>
    <row r="734" spans="1:6" ht="12.75">
      <c r="A734" s="6">
        <v>45628.470591921301</v>
      </c>
      <c r="B734" s="7" t="s">
        <v>23</v>
      </c>
      <c r="C734" s="5" t="str">
        <f>LEFT(Form_Responses1[[#This Row],[問１　あなたは何年生ですか。]],3)</f>
        <v>小学校</v>
      </c>
      <c r="D734" s="7" t="s">
        <v>6</v>
      </c>
      <c r="E734" s="7" t="s">
        <v>7</v>
      </c>
      <c r="F734" s="8"/>
    </row>
    <row r="735" spans="1:6" ht="12.75">
      <c r="A735" s="6">
        <v>45628.470621608794</v>
      </c>
      <c r="B735" s="7" t="s">
        <v>23</v>
      </c>
      <c r="C735" s="5" t="str">
        <f>LEFT(Form_Responses1[[#This Row],[問１　あなたは何年生ですか。]],3)</f>
        <v>小学校</v>
      </c>
      <c r="D735" s="7" t="s">
        <v>19</v>
      </c>
      <c r="E735" s="7" t="s">
        <v>7</v>
      </c>
      <c r="F735" s="7" t="s">
        <v>694</v>
      </c>
    </row>
    <row r="736" spans="1:6" ht="12.75">
      <c r="A736" s="6">
        <v>45628.470809224542</v>
      </c>
      <c r="B736" s="7" t="s">
        <v>23</v>
      </c>
      <c r="C736" s="5" t="str">
        <f>LEFT(Form_Responses1[[#This Row],[問１　あなたは何年生ですか。]],3)</f>
        <v>小学校</v>
      </c>
      <c r="D736" s="7" t="s">
        <v>6</v>
      </c>
      <c r="E736" s="7" t="s">
        <v>7</v>
      </c>
      <c r="F736" s="7" t="s">
        <v>695</v>
      </c>
    </row>
    <row r="737" spans="1:6" ht="12.75">
      <c r="A737" s="6">
        <v>45628.471406354161</v>
      </c>
      <c r="B737" s="7" t="s">
        <v>23</v>
      </c>
      <c r="C737" s="5" t="str">
        <f>LEFT(Form_Responses1[[#This Row],[問１　あなたは何年生ですか。]],3)</f>
        <v>小学校</v>
      </c>
      <c r="D737" s="7" t="s">
        <v>6</v>
      </c>
      <c r="E737" s="7" t="s">
        <v>15</v>
      </c>
      <c r="F737" s="7" t="s">
        <v>696</v>
      </c>
    </row>
    <row r="738" spans="1:6" ht="12.75">
      <c r="A738" s="6">
        <v>45628.47158070602</v>
      </c>
      <c r="B738" s="7" t="s">
        <v>23</v>
      </c>
      <c r="C738" s="5" t="str">
        <f>LEFT(Form_Responses1[[#This Row],[問１　あなたは何年生ですか。]],3)</f>
        <v>小学校</v>
      </c>
      <c r="D738" s="7" t="s">
        <v>697</v>
      </c>
      <c r="E738" s="7" t="s">
        <v>10</v>
      </c>
      <c r="F738" s="7" t="s">
        <v>698</v>
      </c>
    </row>
    <row r="739" spans="1:6" ht="12.75">
      <c r="A739" s="6">
        <v>45628.471742685186</v>
      </c>
      <c r="B739" s="7" t="s">
        <v>23</v>
      </c>
      <c r="C739" s="5" t="str">
        <f>LEFT(Form_Responses1[[#This Row],[問１　あなたは何年生ですか。]],3)</f>
        <v>小学校</v>
      </c>
      <c r="D739" s="7" t="s">
        <v>24</v>
      </c>
      <c r="E739" s="7" t="s">
        <v>10</v>
      </c>
      <c r="F739" s="7" t="s">
        <v>699</v>
      </c>
    </row>
    <row r="740" spans="1:6" ht="12.75">
      <c r="A740" s="6">
        <v>45628.472004872689</v>
      </c>
      <c r="B740" s="7" t="s">
        <v>23</v>
      </c>
      <c r="C740" s="5" t="str">
        <f>LEFT(Form_Responses1[[#This Row],[問１　あなたは何年生ですか。]],3)</f>
        <v>小学校</v>
      </c>
      <c r="D740" s="7" t="s">
        <v>17</v>
      </c>
      <c r="E740" s="7" t="s">
        <v>7</v>
      </c>
      <c r="F740" s="7" t="s">
        <v>700</v>
      </c>
    </row>
    <row r="741" spans="1:6" ht="12.75">
      <c r="A741" s="6">
        <v>45628.472283043986</v>
      </c>
      <c r="B741" s="7" t="s">
        <v>23</v>
      </c>
      <c r="C741" s="5" t="str">
        <f>LEFT(Form_Responses1[[#This Row],[問１　あなたは何年生ですか。]],3)</f>
        <v>小学校</v>
      </c>
      <c r="D741" s="7" t="s">
        <v>202</v>
      </c>
      <c r="E741" s="7" t="s">
        <v>10</v>
      </c>
      <c r="F741" s="7" t="s">
        <v>701</v>
      </c>
    </row>
    <row r="742" spans="1:6" ht="12.75">
      <c r="A742" s="6">
        <v>45628.472359699073</v>
      </c>
      <c r="B742" s="7" t="s">
        <v>23</v>
      </c>
      <c r="C742" s="5" t="str">
        <f>LEFT(Form_Responses1[[#This Row],[問１　あなたは何年生ですか。]],3)</f>
        <v>小学校</v>
      </c>
      <c r="D742" s="7" t="s">
        <v>702</v>
      </c>
      <c r="E742" s="7" t="s">
        <v>10</v>
      </c>
      <c r="F742" s="7" t="s">
        <v>703</v>
      </c>
    </row>
    <row r="743" spans="1:6" ht="12.75">
      <c r="A743" s="6">
        <v>45628.47236482639</v>
      </c>
      <c r="B743" s="7" t="s">
        <v>23</v>
      </c>
      <c r="C743" s="5" t="str">
        <f>LEFT(Form_Responses1[[#This Row],[問１　あなたは何年生ですか。]],3)</f>
        <v>小学校</v>
      </c>
      <c r="D743" s="7" t="s">
        <v>6</v>
      </c>
      <c r="E743" s="7" t="s">
        <v>7</v>
      </c>
      <c r="F743" s="7" t="s">
        <v>704</v>
      </c>
    </row>
    <row r="744" spans="1:6" ht="12.75">
      <c r="A744" s="6">
        <v>45628.472607337964</v>
      </c>
      <c r="B744" s="7" t="s">
        <v>23</v>
      </c>
      <c r="C744" s="5" t="str">
        <f>LEFT(Form_Responses1[[#This Row],[問１　あなたは何年生ですか。]],3)</f>
        <v>小学校</v>
      </c>
      <c r="D744" s="7" t="s">
        <v>6</v>
      </c>
      <c r="E744" s="7" t="s">
        <v>10</v>
      </c>
      <c r="F744" s="7" t="s">
        <v>705</v>
      </c>
    </row>
    <row r="745" spans="1:6" ht="12.75">
      <c r="A745" s="6">
        <v>45628.472626886578</v>
      </c>
      <c r="B745" s="7" t="s">
        <v>23</v>
      </c>
      <c r="C745" s="5" t="str">
        <f>LEFT(Form_Responses1[[#This Row],[問１　あなたは何年生ですか。]],3)</f>
        <v>小学校</v>
      </c>
      <c r="D745" s="7" t="s">
        <v>9</v>
      </c>
      <c r="E745" s="7" t="s">
        <v>10</v>
      </c>
      <c r="F745" s="7" t="s">
        <v>706</v>
      </c>
    </row>
    <row r="746" spans="1:6" ht="12.75">
      <c r="A746" s="6">
        <v>45628.472826145837</v>
      </c>
      <c r="B746" s="7" t="s">
        <v>23</v>
      </c>
      <c r="C746" s="5" t="str">
        <f>LEFT(Form_Responses1[[#This Row],[問１　あなたは何年生ですか。]],3)</f>
        <v>小学校</v>
      </c>
      <c r="D746" s="7" t="s">
        <v>19</v>
      </c>
      <c r="E746" s="7" t="s">
        <v>15</v>
      </c>
      <c r="F746" s="7" t="s">
        <v>707</v>
      </c>
    </row>
    <row r="747" spans="1:6" ht="12.75">
      <c r="A747" s="6">
        <v>45628.472944837966</v>
      </c>
      <c r="B747" s="7" t="s">
        <v>23</v>
      </c>
      <c r="C747" s="5" t="str">
        <f>LEFT(Form_Responses1[[#This Row],[問１　あなたは何年生ですか。]],3)</f>
        <v>小学校</v>
      </c>
      <c r="D747" s="7" t="s">
        <v>24</v>
      </c>
      <c r="E747" s="7" t="s">
        <v>10</v>
      </c>
      <c r="F747" s="7" t="s">
        <v>708</v>
      </c>
    </row>
    <row r="748" spans="1:6" ht="12.75">
      <c r="A748" s="6">
        <v>45628.473497511572</v>
      </c>
      <c r="B748" s="7" t="s">
        <v>23</v>
      </c>
      <c r="C748" s="5" t="str">
        <f>LEFT(Form_Responses1[[#This Row],[問１　あなたは何年生ですか。]],3)</f>
        <v>小学校</v>
      </c>
      <c r="D748" s="7" t="s">
        <v>24</v>
      </c>
      <c r="E748" s="7" t="s">
        <v>10</v>
      </c>
      <c r="F748" s="7" t="s">
        <v>709</v>
      </c>
    </row>
    <row r="749" spans="1:6" ht="12.75">
      <c r="A749" s="6">
        <v>45628.473526666668</v>
      </c>
      <c r="B749" s="7" t="s">
        <v>23</v>
      </c>
      <c r="C749" s="5" t="str">
        <f>LEFT(Form_Responses1[[#This Row],[問１　あなたは何年生ですか。]],3)</f>
        <v>小学校</v>
      </c>
      <c r="D749" s="7" t="s">
        <v>6</v>
      </c>
      <c r="E749" s="7" t="s">
        <v>7</v>
      </c>
      <c r="F749" s="7" t="s">
        <v>710</v>
      </c>
    </row>
    <row r="750" spans="1:6" ht="12.75">
      <c r="A750" s="6">
        <v>45628.47505306713</v>
      </c>
      <c r="B750" s="7" t="s">
        <v>23</v>
      </c>
      <c r="C750" s="5" t="str">
        <f>LEFT(Form_Responses1[[#This Row],[問１　あなたは何年生ですか。]],3)</f>
        <v>小学校</v>
      </c>
      <c r="D750" s="7" t="s">
        <v>711</v>
      </c>
      <c r="E750" s="7" t="s">
        <v>10</v>
      </c>
      <c r="F750" s="7" t="s">
        <v>712</v>
      </c>
    </row>
    <row r="751" spans="1:6" ht="12.75">
      <c r="A751" s="6">
        <v>45628.475413425927</v>
      </c>
      <c r="B751" s="7" t="s">
        <v>23</v>
      </c>
      <c r="C751" s="5" t="str">
        <f>LEFT(Form_Responses1[[#This Row],[問１　あなたは何年生ですか。]],3)</f>
        <v>小学校</v>
      </c>
      <c r="D751" s="7" t="s">
        <v>19</v>
      </c>
      <c r="E751" s="7" t="s">
        <v>7</v>
      </c>
      <c r="F751" s="7" t="s">
        <v>713</v>
      </c>
    </row>
    <row r="752" spans="1:6" ht="12.75">
      <c r="A752" s="6">
        <v>45628.476557164351</v>
      </c>
      <c r="B752" s="7" t="s">
        <v>23</v>
      </c>
      <c r="C752" s="5" t="str">
        <f>LEFT(Form_Responses1[[#This Row],[問１　あなたは何年生ですか。]],3)</f>
        <v>小学校</v>
      </c>
      <c r="D752" s="7" t="s">
        <v>6</v>
      </c>
      <c r="E752" s="7" t="s">
        <v>10</v>
      </c>
      <c r="F752" s="7" t="s">
        <v>714</v>
      </c>
    </row>
    <row r="753" spans="1:6" ht="12.75">
      <c r="A753" s="6">
        <v>45628.476814050926</v>
      </c>
      <c r="B753" s="7" t="s">
        <v>23</v>
      </c>
      <c r="C753" s="5" t="str">
        <f>LEFT(Form_Responses1[[#This Row],[問１　あなたは何年生ですか。]],3)</f>
        <v>小学校</v>
      </c>
      <c r="D753" s="7" t="s">
        <v>19</v>
      </c>
      <c r="E753" s="7" t="s">
        <v>15</v>
      </c>
      <c r="F753" s="7" t="s">
        <v>715</v>
      </c>
    </row>
    <row r="754" spans="1:6" ht="12.75">
      <c r="A754" s="6">
        <v>45628.477665798608</v>
      </c>
      <c r="B754" s="7" t="s">
        <v>23</v>
      </c>
      <c r="C754" s="5" t="str">
        <f>LEFT(Form_Responses1[[#This Row],[問１　あなたは何年生ですか。]],3)</f>
        <v>小学校</v>
      </c>
      <c r="D754" s="7" t="s">
        <v>716</v>
      </c>
      <c r="E754" s="7" t="s">
        <v>15</v>
      </c>
      <c r="F754" s="7" t="s">
        <v>717</v>
      </c>
    </row>
    <row r="755" spans="1:6" ht="12.75">
      <c r="A755" s="6">
        <v>45628.529454537042</v>
      </c>
      <c r="B755" s="7" t="s">
        <v>23</v>
      </c>
      <c r="C755" s="5" t="str">
        <f>LEFT(Form_Responses1[[#This Row],[問１　あなたは何年生ですか。]],3)</f>
        <v>小学校</v>
      </c>
      <c r="D755" s="7" t="s">
        <v>19</v>
      </c>
      <c r="E755" s="7" t="s">
        <v>7</v>
      </c>
      <c r="F755" s="8"/>
    </row>
    <row r="756" spans="1:6" ht="12.75">
      <c r="A756" s="6">
        <v>45628.530893194446</v>
      </c>
      <c r="B756" s="7" t="s">
        <v>23</v>
      </c>
      <c r="C756" s="5" t="str">
        <f>LEFT(Form_Responses1[[#This Row],[問１　あなたは何年生ですか。]],3)</f>
        <v>小学校</v>
      </c>
      <c r="D756" s="7" t="s">
        <v>24</v>
      </c>
      <c r="E756" s="7" t="s">
        <v>7</v>
      </c>
      <c r="F756" s="8"/>
    </row>
    <row r="757" spans="1:6" ht="12.75">
      <c r="A757" s="6">
        <v>45628.531210312503</v>
      </c>
      <c r="B757" s="7" t="s">
        <v>23</v>
      </c>
      <c r="C757" s="5" t="str">
        <f>LEFT(Form_Responses1[[#This Row],[問１　あなたは何年生ですか。]],3)</f>
        <v>小学校</v>
      </c>
      <c r="D757" s="7" t="s">
        <v>30</v>
      </c>
      <c r="E757" s="7" t="s">
        <v>10</v>
      </c>
      <c r="F757" s="7" t="s">
        <v>718</v>
      </c>
    </row>
    <row r="758" spans="1:6" ht="12.75">
      <c r="A758" s="6">
        <v>45628.531250162036</v>
      </c>
      <c r="B758" s="7" t="s">
        <v>23</v>
      </c>
      <c r="C758" s="5" t="str">
        <f>LEFT(Form_Responses1[[#This Row],[問１　あなたは何年生ですか。]],3)</f>
        <v>小学校</v>
      </c>
      <c r="D758" s="7" t="s">
        <v>6</v>
      </c>
      <c r="E758" s="7" t="s">
        <v>7</v>
      </c>
      <c r="F758" s="7" t="s">
        <v>719</v>
      </c>
    </row>
    <row r="759" spans="1:6" ht="12.75">
      <c r="A759" s="6">
        <v>45628.531414548612</v>
      </c>
      <c r="B759" s="7" t="s">
        <v>23</v>
      </c>
      <c r="C759" s="5" t="str">
        <f>LEFT(Form_Responses1[[#This Row],[問１　あなたは何年生ですか。]],3)</f>
        <v>小学校</v>
      </c>
      <c r="D759" s="7" t="s">
        <v>12</v>
      </c>
      <c r="E759" s="7" t="s">
        <v>10</v>
      </c>
      <c r="F759" s="7" t="s">
        <v>720</v>
      </c>
    </row>
    <row r="760" spans="1:6" ht="12.75">
      <c r="A760" s="6">
        <v>45628.531815162038</v>
      </c>
      <c r="B760" s="7" t="s">
        <v>23</v>
      </c>
      <c r="C760" s="5" t="str">
        <f>LEFT(Form_Responses1[[#This Row],[問１　あなたは何年生ですか。]],3)</f>
        <v>小学校</v>
      </c>
      <c r="D760" s="7" t="s">
        <v>24</v>
      </c>
      <c r="E760" s="7" t="s">
        <v>10</v>
      </c>
      <c r="F760" s="7" t="s">
        <v>721</v>
      </c>
    </row>
    <row r="761" spans="1:6" ht="12.75">
      <c r="A761" s="6">
        <v>45628.532008182869</v>
      </c>
      <c r="B761" s="7" t="s">
        <v>23</v>
      </c>
      <c r="C761" s="5" t="str">
        <f>LEFT(Form_Responses1[[#This Row],[問１　あなたは何年生ですか。]],3)</f>
        <v>小学校</v>
      </c>
      <c r="D761" s="7" t="s">
        <v>6</v>
      </c>
      <c r="E761" s="7" t="s">
        <v>10</v>
      </c>
      <c r="F761" s="7" t="s">
        <v>722</v>
      </c>
    </row>
    <row r="762" spans="1:6" ht="12.75">
      <c r="A762" s="6">
        <v>45628.536034571764</v>
      </c>
      <c r="B762" s="7" t="s">
        <v>23</v>
      </c>
      <c r="C762" s="5" t="str">
        <f>LEFT(Form_Responses1[[#This Row],[問１　あなたは何年生ですか。]],3)</f>
        <v>小学校</v>
      </c>
      <c r="D762" s="7" t="s">
        <v>24</v>
      </c>
      <c r="E762" s="7" t="s">
        <v>10</v>
      </c>
      <c r="F762" s="7" t="s">
        <v>723</v>
      </c>
    </row>
    <row r="763" spans="1:6" ht="12.75">
      <c r="A763" s="6">
        <v>45628.549224317132</v>
      </c>
      <c r="B763" s="7" t="s">
        <v>23</v>
      </c>
      <c r="C763" s="5" t="str">
        <f>LEFT(Form_Responses1[[#This Row],[問１　あなたは何年生ですか。]],3)</f>
        <v>小学校</v>
      </c>
      <c r="D763" s="7" t="s">
        <v>6</v>
      </c>
      <c r="E763" s="7" t="s">
        <v>10</v>
      </c>
      <c r="F763" s="7" t="s">
        <v>724</v>
      </c>
    </row>
    <row r="764" spans="1:6" ht="12.75">
      <c r="A764" s="6">
        <v>45628.550811747686</v>
      </c>
      <c r="B764" s="7" t="s">
        <v>23</v>
      </c>
      <c r="C764" s="5" t="str">
        <f>LEFT(Form_Responses1[[#This Row],[問１　あなたは何年生ですか。]],3)</f>
        <v>小学校</v>
      </c>
      <c r="D764" s="7" t="s">
        <v>17</v>
      </c>
      <c r="E764" s="7" t="s">
        <v>7</v>
      </c>
      <c r="F764" s="8"/>
    </row>
    <row r="765" spans="1:6" ht="12.75">
      <c r="A765" s="6">
        <v>45628.552203807871</v>
      </c>
      <c r="B765" s="7" t="s">
        <v>23</v>
      </c>
      <c r="C765" s="5" t="str">
        <f>LEFT(Form_Responses1[[#This Row],[問１　あなたは何年生ですか。]],3)</f>
        <v>小学校</v>
      </c>
      <c r="D765" s="7" t="s">
        <v>19</v>
      </c>
      <c r="E765" s="7" t="s">
        <v>7</v>
      </c>
      <c r="F765" s="7" t="s">
        <v>725</v>
      </c>
    </row>
    <row r="766" spans="1:6" ht="12.75">
      <c r="A766" s="6">
        <v>45628.553348148147</v>
      </c>
      <c r="B766" s="7" t="s">
        <v>23</v>
      </c>
      <c r="C766" s="5" t="str">
        <f>LEFT(Form_Responses1[[#This Row],[問１　あなたは何年生ですか。]],3)</f>
        <v>小学校</v>
      </c>
      <c r="D766" s="7" t="s">
        <v>24</v>
      </c>
      <c r="E766" s="7" t="s">
        <v>10</v>
      </c>
      <c r="F766" s="7" t="s">
        <v>726</v>
      </c>
    </row>
    <row r="767" spans="1:6" ht="12.75">
      <c r="A767" s="6">
        <v>45628.556125914351</v>
      </c>
      <c r="B767" s="7" t="s">
        <v>23</v>
      </c>
      <c r="C767" s="5" t="str">
        <f>LEFT(Form_Responses1[[#This Row],[問１　あなたは何年生ですか。]],3)</f>
        <v>小学校</v>
      </c>
      <c r="D767" s="7" t="s">
        <v>24</v>
      </c>
      <c r="E767" s="7" t="s">
        <v>10</v>
      </c>
      <c r="F767" s="7" t="s">
        <v>727</v>
      </c>
    </row>
    <row r="768" spans="1:6" ht="12.75">
      <c r="A768" s="6">
        <v>45628.557371932868</v>
      </c>
      <c r="B768" s="7" t="s">
        <v>23</v>
      </c>
      <c r="C768" s="5" t="str">
        <f>LEFT(Form_Responses1[[#This Row],[問１　あなたは何年生ですか。]],3)</f>
        <v>小学校</v>
      </c>
      <c r="D768" s="7" t="s">
        <v>6</v>
      </c>
      <c r="E768" s="7" t="s">
        <v>10</v>
      </c>
      <c r="F768" s="7" t="s">
        <v>728</v>
      </c>
    </row>
    <row r="769" spans="1:6" ht="12.75">
      <c r="A769" s="6">
        <v>45628.563774363429</v>
      </c>
      <c r="B769" s="7" t="s">
        <v>13</v>
      </c>
      <c r="C769" s="5" t="str">
        <f>LEFT(Form_Responses1[[#This Row],[問１　あなたは何年生ですか。]],3)</f>
        <v>小学校</v>
      </c>
      <c r="D769" s="7" t="s">
        <v>22</v>
      </c>
      <c r="E769" s="7" t="s">
        <v>10</v>
      </c>
      <c r="F769" s="8"/>
    </row>
    <row r="770" spans="1:6" ht="12.75">
      <c r="A770" s="6">
        <v>45628.563774965281</v>
      </c>
      <c r="B770" s="7" t="s">
        <v>13</v>
      </c>
      <c r="C770" s="5" t="str">
        <f>LEFT(Form_Responses1[[#This Row],[問１　あなたは何年生ですか。]],3)</f>
        <v>小学校</v>
      </c>
      <c r="D770" s="7" t="s">
        <v>6</v>
      </c>
      <c r="E770" s="7" t="s">
        <v>7</v>
      </c>
      <c r="F770" s="8"/>
    </row>
    <row r="771" spans="1:6" ht="12.75">
      <c r="A771" s="6">
        <v>45628.563778819444</v>
      </c>
      <c r="B771" s="7" t="s">
        <v>13</v>
      </c>
      <c r="C771" s="5" t="str">
        <f>LEFT(Form_Responses1[[#This Row],[問１　あなたは何年生ですか。]],3)</f>
        <v>小学校</v>
      </c>
      <c r="D771" s="7" t="s">
        <v>9</v>
      </c>
      <c r="E771" s="7" t="s">
        <v>10</v>
      </c>
      <c r="F771" s="8"/>
    </row>
    <row r="772" spans="1:6" ht="12.75">
      <c r="A772" s="6">
        <v>45628.563778807875</v>
      </c>
      <c r="B772" s="7" t="s">
        <v>13</v>
      </c>
      <c r="C772" s="5" t="str">
        <f>LEFT(Form_Responses1[[#This Row],[問１　あなたは何年生ですか。]],3)</f>
        <v>小学校</v>
      </c>
      <c r="D772" s="7" t="s">
        <v>22</v>
      </c>
      <c r="E772" s="7" t="s">
        <v>7</v>
      </c>
      <c r="F772" s="8"/>
    </row>
    <row r="773" spans="1:6" ht="12.75">
      <c r="A773" s="6">
        <v>45628.563780856479</v>
      </c>
      <c r="B773" s="7" t="s">
        <v>13</v>
      </c>
      <c r="C773" s="5" t="str">
        <f>LEFT(Form_Responses1[[#This Row],[問１　あなたは何年生ですか。]],3)</f>
        <v>小学校</v>
      </c>
      <c r="D773" s="7" t="s">
        <v>12</v>
      </c>
      <c r="E773" s="7" t="s">
        <v>10</v>
      </c>
      <c r="F773" s="8"/>
    </row>
    <row r="774" spans="1:6" ht="12.75">
      <c r="A774" s="6">
        <v>45628.563783622682</v>
      </c>
      <c r="B774" s="7" t="s">
        <v>13</v>
      </c>
      <c r="C774" s="5" t="str">
        <f>LEFT(Form_Responses1[[#This Row],[問１　あなたは何年生ですか。]],3)</f>
        <v>小学校</v>
      </c>
      <c r="D774" s="7" t="s">
        <v>22</v>
      </c>
      <c r="E774" s="7" t="s">
        <v>10</v>
      </c>
      <c r="F774" s="8"/>
    </row>
    <row r="775" spans="1:6" ht="12.75">
      <c r="A775" s="6">
        <v>45628.563784143524</v>
      </c>
      <c r="B775" s="7" t="s">
        <v>13</v>
      </c>
      <c r="C775" s="5" t="str">
        <f>LEFT(Form_Responses1[[#This Row],[問１　あなたは何年生ですか。]],3)</f>
        <v>小学校</v>
      </c>
      <c r="D775" s="7" t="s">
        <v>19</v>
      </c>
      <c r="E775" s="7" t="s">
        <v>7</v>
      </c>
      <c r="F775" s="8"/>
    </row>
    <row r="776" spans="1:6" ht="12.75">
      <c r="A776" s="6">
        <v>45628.563786516199</v>
      </c>
      <c r="B776" s="7" t="s">
        <v>13</v>
      </c>
      <c r="C776" s="5" t="str">
        <f>LEFT(Form_Responses1[[#This Row],[問１　あなたは何年生ですか。]],3)</f>
        <v>小学校</v>
      </c>
      <c r="D776" s="7" t="s">
        <v>24</v>
      </c>
      <c r="E776" s="7" t="s">
        <v>10</v>
      </c>
      <c r="F776" s="8"/>
    </row>
    <row r="777" spans="1:6" ht="12.75">
      <c r="A777" s="6">
        <v>45628.563787557869</v>
      </c>
      <c r="B777" s="7" t="s">
        <v>13</v>
      </c>
      <c r="C777" s="5" t="str">
        <f>LEFT(Form_Responses1[[#This Row],[問１　あなたは何年生ですか。]],3)</f>
        <v>小学校</v>
      </c>
      <c r="D777" s="7" t="s">
        <v>6</v>
      </c>
      <c r="E777" s="7" t="s">
        <v>10</v>
      </c>
      <c r="F777" s="8"/>
    </row>
    <row r="778" spans="1:6" ht="12.75">
      <c r="A778" s="6">
        <v>45628.563790868051</v>
      </c>
      <c r="B778" s="7" t="s">
        <v>13</v>
      </c>
      <c r="C778" s="5" t="str">
        <f>LEFT(Form_Responses1[[#This Row],[問１　あなたは何年生ですか。]],3)</f>
        <v>小学校</v>
      </c>
      <c r="D778" s="7" t="s">
        <v>22</v>
      </c>
      <c r="E778" s="7" t="s">
        <v>7</v>
      </c>
      <c r="F778" s="8"/>
    </row>
    <row r="779" spans="1:6" ht="12.75">
      <c r="A779" s="6">
        <v>45628.563795509261</v>
      </c>
      <c r="B779" s="7" t="s">
        <v>13</v>
      </c>
      <c r="C779" s="5" t="str">
        <f>LEFT(Form_Responses1[[#This Row],[問１　あなたは何年生ですか。]],3)</f>
        <v>小学校</v>
      </c>
      <c r="D779" s="7" t="s">
        <v>6</v>
      </c>
      <c r="E779" s="7" t="s">
        <v>10</v>
      </c>
      <c r="F779" s="8"/>
    </row>
    <row r="780" spans="1:6" ht="12.75">
      <c r="A780" s="6">
        <v>45628.56380181713</v>
      </c>
      <c r="B780" s="7" t="s">
        <v>13</v>
      </c>
      <c r="C780" s="5" t="str">
        <f>LEFT(Form_Responses1[[#This Row],[問１　あなたは何年生ですか。]],3)</f>
        <v>小学校</v>
      </c>
      <c r="D780" s="7" t="s">
        <v>9</v>
      </c>
      <c r="E780" s="7" t="s">
        <v>10</v>
      </c>
      <c r="F780" s="8"/>
    </row>
    <row r="781" spans="1:6" ht="12.75">
      <c r="A781" s="6">
        <v>45628.56380581019</v>
      </c>
      <c r="B781" s="7" t="s">
        <v>13</v>
      </c>
      <c r="C781" s="5" t="str">
        <f>LEFT(Form_Responses1[[#This Row],[問１　あなたは何年生ですか。]],3)</f>
        <v>小学校</v>
      </c>
      <c r="D781" s="7" t="s">
        <v>12</v>
      </c>
      <c r="E781" s="7" t="s">
        <v>10</v>
      </c>
      <c r="F781" s="8"/>
    </row>
    <row r="782" spans="1:6" ht="12.75">
      <c r="A782" s="6">
        <v>45628.563807673607</v>
      </c>
      <c r="B782" s="7" t="s">
        <v>13</v>
      </c>
      <c r="C782" s="5" t="str">
        <f>LEFT(Form_Responses1[[#This Row],[問１　あなたは何年生ですか。]],3)</f>
        <v>小学校</v>
      </c>
      <c r="D782" s="7" t="s">
        <v>22</v>
      </c>
      <c r="E782" s="7" t="s">
        <v>7</v>
      </c>
      <c r="F782" s="8"/>
    </row>
    <row r="783" spans="1:6" ht="12.75">
      <c r="A783" s="6">
        <v>45628.563808645835</v>
      </c>
      <c r="B783" s="7" t="s">
        <v>13</v>
      </c>
      <c r="C783" s="5" t="str">
        <f>LEFT(Form_Responses1[[#This Row],[問１　あなたは何年生ですか。]],3)</f>
        <v>小学校</v>
      </c>
      <c r="D783" s="7" t="s">
        <v>6</v>
      </c>
      <c r="E783" s="7" t="s">
        <v>10</v>
      </c>
      <c r="F783" s="8"/>
    </row>
    <row r="784" spans="1:6" ht="12.75">
      <c r="A784" s="6">
        <v>45628.563817175927</v>
      </c>
      <c r="B784" s="7" t="s">
        <v>13</v>
      </c>
      <c r="C784" s="5" t="str">
        <f>LEFT(Form_Responses1[[#This Row],[問１　あなたは何年生ですか。]],3)</f>
        <v>小学校</v>
      </c>
      <c r="D784" s="7" t="s">
        <v>12</v>
      </c>
      <c r="E784" s="7" t="s">
        <v>10</v>
      </c>
      <c r="F784" s="8"/>
    </row>
    <row r="785" spans="1:6" ht="12.75">
      <c r="A785" s="6">
        <v>45628.563817141199</v>
      </c>
      <c r="B785" s="7" t="s">
        <v>13</v>
      </c>
      <c r="C785" s="5" t="str">
        <f>LEFT(Form_Responses1[[#This Row],[問１　あなたは何年生ですか。]],3)</f>
        <v>小学校</v>
      </c>
      <c r="D785" s="7" t="s">
        <v>6</v>
      </c>
      <c r="E785" s="7" t="s">
        <v>10</v>
      </c>
      <c r="F785" s="8"/>
    </row>
    <row r="786" spans="1:6" ht="12.75">
      <c r="A786" s="6">
        <v>45628.563818912036</v>
      </c>
      <c r="B786" s="7" t="s">
        <v>13</v>
      </c>
      <c r="C786" s="5" t="str">
        <f>LEFT(Form_Responses1[[#This Row],[問１　あなたは何年生ですか。]],3)</f>
        <v>小学校</v>
      </c>
      <c r="D786" s="7" t="s">
        <v>6</v>
      </c>
      <c r="E786" s="7" t="s">
        <v>10</v>
      </c>
      <c r="F786" s="8"/>
    </row>
    <row r="787" spans="1:6" ht="12.75">
      <c r="A787" s="6">
        <v>45628.563828356477</v>
      </c>
      <c r="B787" s="7" t="s">
        <v>13</v>
      </c>
      <c r="C787" s="5" t="str">
        <f>LEFT(Form_Responses1[[#This Row],[問１　あなたは何年生ですか。]],3)</f>
        <v>小学校</v>
      </c>
      <c r="D787" s="7" t="s">
        <v>12</v>
      </c>
      <c r="E787" s="7" t="s">
        <v>15</v>
      </c>
      <c r="F787" s="8"/>
    </row>
    <row r="788" spans="1:6" ht="12.75">
      <c r="A788" s="6">
        <v>45628.56383515046</v>
      </c>
      <c r="B788" s="7" t="s">
        <v>13</v>
      </c>
      <c r="C788" s="5" t="str">
        <f>LEFT(Form_Responses1[[#This Row],[問１　あなたは何年生ですか。]],3)</f>
        <v>小学校</v>
      </c>
      <c r="D788" s="7" t="s">
        <v>12</v>
      </c>
      <c r="E788" s="7" t="s">
        <v>10</v>
      </c>
      <c r="F788" s="8"/>
    </row>
    <row r="789" spans="1:6" ht="12.75">
      <c r="A789" s="6">
        <v>45628.564096759263</v>
      </c>
      <c r="B789" s="7" t="s">
        <v>13</v>
      </c>
      <c r="C789" s="5" t="str">
        <f>LEFT(Form_Responses1[[#This Row],[問１　あなたは何年生ですか。]],3)</f>
        <v>小学校</v>
      </c>
      <c r="D789" s="7" t="s">
        <v>22</v>
      </c>
      <c r="E789" s="7" t="s">
        <v>10</v>
      </c>
      <c r="F789" s="8"/>
    </row>
    <row r="790" spans="1:6" ht="12.75">
      <c r="A790" s="6">
        <v>45628.564165358795</v>
      </c>
      <c r="B790" s="7" t="s">
        <v>289</v>
      </c>
      <c r="C790" s="5" t="str">
        <f>LEFT(Form_Responses1[[#This Row],[問１　あなたは何年生ですか。]],3)</f>
        <v>小学校</v>
      </c>
      <c r="D790" s="7" t="s">
        <v>24</v>
      </c>
      <c r="E790" s="7" t="s">
        <v>10</v>
      </c>
      <c r="F790" s="8"/>
    </row>
    <row r="791" spans="1:6" ht="12.75">
      <c r="A791" s="6">
        <v>45628.564340150464</v>
      </c>
      <c r="B791" s="7" t="s">
        <v>13</v>
      </c>
      <c r="C791" s="5" t="str">
        <f>LEFT(Form_Responses1[[#This Row],[問１　あなたは何年生ですか。]],3)</f>
        <v>小学校</v>
      </c>
      <c r="D791" s="7" t="s">
        <v>24</v>
      </c>
      <c r="E791" s="7" t="s">
        <v>7</v>
      </c>
      <c r="F791" s="8"/>
    </row>
    <row r="792" spans="1:6" ht="12.75">
      <c r="A792" s="6">
        <v>45628.568494861116</v>
      </c>
      <c r="B792" s="7" t="s">
        <v>13</v>
      </c>
      <c r="C792" s="5" t="str">
        <f>LEFT(Form_Responses1[[#This Row],[問１　あなたは何年生ですか。]],3)</f>
        <v>小学校</v>
      </c>
      <c r="D792" s="7" t="s">
        <v>12</v>
      </c>
      <c r="E792" s="7" t="s">
        <v>10</v>
      </c>
      <c r="F792" s="7" t="s">
        <v>729</v>
      </c>
    </row>
    <row r="793" spans="1:6" ht="12.75">
      <c r="A793" s="6">
        <v>45628.568615787037</v>
      </c>
      <c r="B793" s="7" t="s">
        <v>13</v>
      </c>
      <c r="C793" s="5" t="str">
        <f>LEFT(Form_Responses1[[#This Row],[問１　あなたは何年生ですか。]],3)</f>
        <v>小学校</v>
      </c>
      <c r="D793" s="7" t="s">
        <v>22</v>
      </c>
      <c r="E793" s="7" t="s">
        <v>7</v>
      </c>
      <c r="F793" s="8"/>
    </row>
    <row r="794" spans="1:6" ht="12.75">
      <c r="A794" s="6">
        <v>45628.568872696764</v>
      </c>
      <c r="B794" s="7" t="s">
        <v>13</v>
      </c>
      <c r="C794" s="5" t="str">
        <f>LEFT(Form_Responses1[[#This Row],[問１　あなたは何年生ですか。]],3)</f>
        <v>小学校</v>
      </c>
      <c r="D794" s="7" t="s">
        <v>9</v>
      </c>
      <c r="E794" s="7" t="s">
        <v>10</v>
      </c>
      <c r="F794" s="8"/>
    </row>
    <row r="795" spans="1:6" ht="12.75">
      <c r="A795" s="6">
        <v>45628.569059236106</v>
      </c>
      <c r="B795" s="7" t="s">
        <v>13</v>
      </c>
      <c r="C795" s="5" t="str">
        <f>LEFT(Form_Responses1[[#This Row],[問１　あなたは何年生ですか。]],3)</f>
        <v>小学校</v>
      </c>
      <c r="D795" s="7" t="s">
        <v>19</v>
      </c>
      <c r="E795" s="7" t="s">
        <v>10</v>
      </c>
      <c r="F795" s="8"/>
    </row>
    <row r="796" spans="1:6" ht="12.75">
      <c r="A796" s="6">
        <v>45628.56938335648</v>
      </c>
      <c r="B796" s="7" t="s">
        <v>13</v>
      </c>
      <c r="C796" s="5" t="str">
        <f>LEFT(Form_Responses1[[#This Row],[問１　あなたは何年生ですか。]],3)</f>
        <v>小学校</v>
      </c>
      <c r="D796" s="7" t="s">
        <v>24</v>
      </c>
      <c r="E796" s="7" t="s">
        <v>10</v>
      </c>
      <c r="F796" s="8"/>
    </row>
    <row r="797" spans="1:6" ht="12.75">
      <c r="A797" s="6">
        <v>45628.56955137731</v>
      </c>
      <c r="B797" s="7" t="s">
        <v>13</v>
      </c>
      <c r="C797" s="5" t="str">
        <f>LEFT(Form_Responses1[[#This Row],[問１　あなたは何年生ですか。]],3)</f>
        <v>小学校</v>
      </c>
      <c r="D797" s="7" t="s">
        <v>22</v>
      </c>
      <c r="E797" s="7" t="s">
        <v>10</v>
      </c>
      <c r="F797" s="7" t="s">
        <v>730</v>
      </c>
    </row>
    <row r="798" spans="1:6" ht="12.75">
      <c r="A798" s="6">
        <v>45628.569607696758</v>
      </c>
      <c r="B798" s="7" t="s">
        <v>13</v>
      </c>
      <c r="C798" s="5" t="str">
        <f>LEFT(Form_Responses1[[#This Row],[問１　あなたは何年生ですか。]],3)</f>
        <v>小学校</v>
      </c>
      <c r="D798" s="7" t="s">
        <v>9</v>
      </c>
      <c r="E798" s="7" t="s">
        <v>10</v>
      </c>
      <c r="F798" s="8"/>
    </row>
    <row r="799" spans="1:6" ht="12.75">
      <c r="A799" s="6">
        <v>45628.569689432872</v>
      </c>
      <c r="B799" s="7" t="s">
        <v>13</v>
      </c>
      <c r="C799" s="5" t="str">
        <f>LEFT(Form_Responses1[[#This Row],[問１　あなたは何年生ですか。]],3)</f>
        <v>小学校</v>
      </c>
      <c r="D799" s="7" t="s">
        <v>22</v>
      </c>
      <c r="E799" s="7" t="s">
        <v>10</v>
      </c>
      <c r="F799" s="8"/>
    </row>
    <row r="800" spans="1:6" ht="12.75">
      <c r="A800" s="6">
        <v>45628.56984679398</v>
      </c>
      <c r="B800" s="7" t="s">
        <v>13</v>
      </c>
      <c r="C800" s="5" t="str">
        <f>LEFT(Form_Responses1[[#This Row],[問１　あなたは何年生ですか。]],3)</f>
        <v>小学校</v>
      </c>
      <c r="D800" s="7" t="s">
        <v>6</v>
      </c>
      <c r="E800" s="7" t="s">
        <v>7</v>
      </c>
      <c r="F800" s="8"/>
    </row>
    <row r="801" spans="1:6" ht="12.75">
      <c r="A801" s="6">
        <v>45628.569908506943</v>
      </c>
      <c r="B801" s="7" t="s">
        <v>13</v>
      </c>
      <c r="C801" s="5" t="str">
        <f>LEFT(Form_Responses1[[#This Row],[問１　あなたは何年生ですか。]],3)</f>
        <v>小学校</v>
      </c>
      <c r="D801" s="7" t="s">
        <v>6</v>
      </c>
      <c r="E801" s="7" t="s">
        <v>7</v>
      </c>
      <c r="F801" s="8"/>
    </row>
    <row r="802" spans="1:6" ht="12.75">
      <c r="A802" s="6">
        <v>45628.570025706023</v>
      </c>
      <c r="B802" s="7" t="s">
        <v>13</v>
      </c>
      <c r="C802" s="5" t="str">
        <f>LEFT(Form_Responses1[[#This Row],[問１　あなたは何年生ですか。]],3)</f>
        <v>小学校</v>
      </c>
      <c r="D802" s="7" t="s">
        <v>6</v>
      </c>
      <c r="E802" s="7" t="s">
        <v>10</v>
      </c>
      <c r="F802" s="8"/>
    </row>
    <row r="803" spans="1:6" ht="12.75">
      <c r="A803" s="6">
        <v>45628.570039259255</v>
      </c>
      <c r="B803" s="7" t="s">
        <v>13</v>
      </c>
      <c r="C803" s="5" t="str">
        <f>LEFT(Form_Responses1[[#This Row],[問１　あなたは何年生ですか。]],3)</f>
        <v>小学校</v>
      </c>
      <c r="D803" s="7" t="s">
        <v>12</v>
      </c>
      <c r="E803" s="7" t="s">
        <v>10</v>
      </c>
      <c r="F803" s="7" t="s">
        <v>731</v>
      </c>
    </row>
    <row r="804" spans="1:6" ht="12.75">
      <c r="A804" s="6">
        <v>45628.570073900468</v>
      </c>
      <c r="B804" s="7" t="s">
        <v>13</v>
      </c>
      <c r="C804" s="5" t="str">
        <f>LEFT(Form_Responses1[[#This Row],[問１　あなたは何年生ですか。]],3)</f>
        <v>小学校</v>
      </c>
      <c r="D804" s="7" t="s">
        <v>24</v>
      </c>
      <c r="E804" s="7" t="s">
        <v>10</v>
      </c>
      <c r="F804" s="7" t="s">
        <v>732</v>
      </c>
    </row>
    <row r="805" spans="1:6" ht="12.75">
      <c r="A805" s="6">
        <v>45628.570131180561</v>
      </c>
      <c r="B805" s="7" t="s">
        <v>13</v>
      </c>
      <c r="C805" s="5" t="str">
        <f>LEFT(Form_Responses1[[#This Row],[問１　あなたは何年生ですか。]],3)</f>
        <v>小学校</v>
      </c>
      <c r="D805" s="7" t="s">
        <v>9</v>
      </c>
      <c r="E805" s="7" t="s">
        <v>10</v>
      </c>
      <c r="F805" s="7" t="s">
        <v>733</v>
      </c>
    </row>
    <row r="806" spans="1:6" ht="12.75">
      <c r="A806" s="6">
        <v>45628.570858252315</v>
      </c>
      <c r="B806" s="7" t="s">
        <v>13</v>
      </c>
      <c r="C806" s="5" t="str">
        <f>LEFT(Form_Responses1[[#This Row],[問１　あなたは何年生ですか。]],3)</f>
        <v>小学校</v>
      </c>
      <c r="D806" s="7" t="s">
        <v>6</v>
      </c>
      <c r="E806" s="7" t="s">
        <v>10</v>
      </c>
      <c r="F806" s="8"/>
    </row>
    <row r="807" spans="1:6" ht="12.75">
      <c r="A807" s="6">
        <v>45628.570859618056</v>
      </c>
      <c r="B807" s="7" t="s">
        <v>13</v>
      </c>
      <c r="C807" s="5" t="str">
        <f>LEFT(Form_Responses1[[#This Row],[問１　あなたは何年生ですか。]],3)</f>
        <v>小学校</v>
      </c>
      <c r="D807" s="7" t="s">
        <v>6</v>
      </c>
      <c r="E807" s="7" t="s">
        <v>10</v>
      </c>
      <c r="F807" s="8"/>
    </row>
    <row r="808" spans="1:6" ht="12.75">
      <c r="A808" s="6">
        <v>45628.570859930551</v>
      </c>
      <c r="B808" s="7" t="s">
        <v>13</v>
      </c>
      <c r="C808" s="5" t="str">
        <f>LEFT(Form_Responses1[[#This Row],[問１　あなたは何年生ですか。]],3)</f>
        <v>小学校</v>
      </c>
      <c r="D808" s="7" t="s">
        <v>24</v>
      </c>
      <c r="E808" s="7" t="s">
        <v>10</v>
      </c>
      <c r="F808" s="8"/>
    </row>
    <row r="809" spans="1:6" ht="12.75">
      <c r="A809" s="6">
        <v>45628.57086028935</v>
      </c>
      <c r="B809" s="7" t="s">
        <v>13</v>
      </c>
      <c r="C809" s="5" t="str">
        <f>LEFT(Form_Responses1[[#This Row],[問１　あなたは何年生ですか。]],3)</f>
        <v>小学校</v>
      </c>
      <c r="D809" s="7" t="s">
        <v>24</v>
      </c>
      <c r="E809" s="7" t="s">
        <v>10</v>
      </c>
      <c r="F809" s="8"/>
    </row>
    <row r="810" spans="1:6" ht="12.75">
      <c r="A810" s="6">
        <v>45628.570862280088</v>
      </c>
      <c r="B810" s="7" t="s">
        <v>13</v>
      </c>
      <c r="C810" s="5" t="str">
        <f>LEFT(Form_Responses1[[#This Row],[問１　あなたは何年生ですか。]],3)</f>
        <v>小学校</v>
      </c>
      <c r="D810" s="7" t="s">
        <v>12</v>
      </c>
      <c r="E810" s="7" t="s">
        <v>10</v>
      </c>
      <c r="F810" s="8"/>
    </row>
    <row r="811" spans="1:6" ht="12.75">
      <c r="A811" s="6">
        <v>45628.570867013885</v>
      </c>
      <c r="B811" s="7" t="s">
        <v>13</v>
      </c>
      <c r="C811" s="5" t="str">
        <f>LEFT(Form_Responses1[[#This Row],[問１　あなたは何年生ですか。]],3)</f>
        <v>小学校</v>
      </c>
      <c r="D811" s="7" t="s">
        <v>6</v>
      </c>
      <c r="E811" s="7" t="s">
        <v>7</v>
      </c>
      <c r="F811" s="8"/>
    </row>
    <row r="812" spans="1:6" ht="12.75">
      <c r="A812" s="6">
        <v>45628.570868773153</v>
      </c>
      <c r="B812" s="7" t="s">
        <v>13</v>
      </c>
      <c r="C812" s="5" t="str">
        <f>LEFT(Form_Responses1[[#This Row],[問１　あなたは何年生ですか。]],3)</f>
        <v>小学校</v>
      </c>
      <c r="D812" s="7" t="s">
        <v>6</v>
      </c>
      <c r="E812" s="7" t="s">
        <v>10</v>
      </c>
      <c r="F812" s="8"/>
    </row>
    <row r="813" spans="1:6" ht="12.75">
      <c r="A813" s="6">
        <v>45628.570869270829</v>
      </c>
      <c r="B813" s="7" t="s">
        <v>13</v>
      </c>
      <c r="C813" s="5" t="str">
        <f>LEFT(Form_Responses1[[#This Row],[問１　あなたは何年生ですか。]],3)</f>
        <v>小学校</v>
      </c>
      <c r="D813" s="7" t="s">
        <v>14</v>
      </c>
      <c r="E813" s="7" t="s">
        <v>10</v>
      </c>
      <c r="F813" s="8"/>
    </row>
    <row r="814" spans="1:6" ht="12.75">
      <c r="A814" s="6">
        <v>45628.570872592594</v>
      </c>
      <c r="B814" s="7" t="s">
        <v>13</v>
      </c>
      <c r="C814" s="5" t="str">
        <f>LEFT(Form_Responses1[[#This Row],[問１　あなたは何年生ですか。]],3)</f>
        <v>小学校</v>
      </c>
      <c r="D814" s="7" t="s">
        <v>6</v>
      </c>
      <c r="E814" s="7" t="s">
        <v>10</v>
      </c>
      <c r="F814" s="8"/>
    </row>
    <row r="815" spans="1:6" ht="12.75">
      <c r="A815" s="6">
        <v>45628.570872951386</v>
      </c>
      <c r="B815" s="7" t="s">
        <v>13</v>
      </c>
      <c r="C815" s="5" t="str">
        <f>LEFT(Form_Responses1[[#This Row],[問１　あなたは何年生ですか。]],3)</f>
        <v>小学校</v>
      </c>
      <c r="D815" s="7" t="s">
        <v>12</v>
      </c>
      <c r="E815" s="7" t="s">
        <v>10</v>
      </c>
      <c r="F815" s="8"/>
    </row>
    <row r="816" spans="1:6" ht="12.75">
      <c r="A816" s="6">
        <v>45628.570873113422</v>
      </c>
      <c r="B816" s="7" t="s">
        <v>13</v>
      </c>
      <c r="C816" s="5" t="str">
        <f>LEFT(Form_Responses1[[#This Row],[問１　あなたは何年生ですか。]],3)</f>
        <v>小学校</v>
      </c>
      <c r="D816" s="7" t="s">
        <v>24</v>
      </c>
      <c r="E816" s="7" t="s">
        <v>10</v>
      </c>
      <c r="F816" s="8"/>
    </row>
    <row r="817" spans="1:6" ht="12.75">
      <c r="A817" s="6">
        <v>45628.570873402779</v>
      </c>
      <c r="B817" s="7" t="s">
        <v>13</v>
      </c>
      <c r="C817" s="5" t="str">
        <f>LEFT(Form_Responses1[[#This Row],[問１　あなたは何年生ですか。]],3)</f>
        <v>小学校</v>
      </c>
      <c r="D817" s="7" t="s">
        <v>6</v>
      </c>
      <c r="E817" s="7" t="s">
        <v>10</v>
      </c>
      <c r="F817" s="8"/>
    </row>
    <row r="818" spans="1:6" ht="12.75">
      <c r="A818" s="6">
        <v>45628.570869270829</v>
      </c>
      <c r="B818" s="7" t="s">
        <v>13</v>
      </c>
      <c r="C818" s="5" t="str">
        <f>LEFT(Form_Responses1[[#This Row],[問１　あなたは何年生ですか。]],3)</f>
        <v>小学校</v>
      </c>
      <c r="D818" s="7" t="s">
        <v>6</v>
      </c>
      <c r="E818" s="7" t="s">
        <v>10</v>
      </c>
      <c r="F818" s="8"/>
    </row>
    <row r="819" spans="1:6" ht="12.75">
      <c r="A819" s="6">
        <v>45628.570873703706</v>
      </c>
      <c r="B819" s="7" t="s">
        <v>13</v>
      </c>
      <c r="C819" s="5" t="str">
        <f>LEFT(Form_Responses1[[#This Row],[問１　あなたは何年生ですか。]],3)</f>
        <v>小学校</v>
      </c>
      <c r="D819" s="7" t="s">
        <v>6</v>
      </c>
      <c r="E819" s="7" t="s">
        <v>10</v>
      </c>
      <c r="F819" s="8"/>
    </row>
    <row r="820" spans="1:6" ht="12.75">
      <c r="A820" s="6">
        <v>45628.570874039353</v>
      </c>
      <c r="B820" s="7" t="s">
        <v>13</v>
      </c>
      <c r="C820" s="5" t="str">
        <f>LEFT(Form_Responses1[[#This Row],[問１　あなたは何年生ですか。]],3)</f>
        <v>小学校</v>
      </c>
      <c r="D820" s="7" t="s">
        <v>6</v>
      </c>
      <c r="E820" s="7" t="s">
        <v>10</v>
      </c>
      <c r="F820" s="8"/>
    </row>
    <row r="821" spans="1:6" ht="12.75">
      <c r="A821" s="6">
        <v>45628.570876631944</v>
      </c>
      <c r="B821" s="7" t="s">
        <v>13</v>
      </c>
      <c r="C821" s="5" t="str">
        <f>LEFT(Form_Responses1[[#This Row],[問１　あなたは何年生ですか。]],3)</f>
        <v>小学校</v>
      </c>
      <c r="D821" s="7" t="s">
        <v>6</v>
      </c>
      <c r="E821" s="7" t="s">
        <v>10</v>
      </c>
      <c r="F821" s="8"/>
    </row>
    <row r="822" spans="1:6" ht="12.75">
      <c r="A822" s="6">
        <v>45628.570876562502</v>
      </c>
      <c r="B822" s="7" t="s">
        <v>13</v>
      </c>
      <c r="C822" s="5" t="str">
        <f>LEFT(Form_Responses1[[#This Row],[問１　あなたは何年生ですか。]],3)</f>
        <v>小学校</v>
      </c>
      <c r="D822" s="7" t="s">
        <v>6</v>
      </c>
      <c r="E822" s="7" t="s">
        <v>10</v>
      </c>
      <c r="F822" s="8"/>
    </row>
    <row r="823" spans="1:6" ht="12.75">
      <c r="A823" s="6">
        <v>45628.570882511573</v>
      </c>
      <c r="B823" s="7" t="s">
        <v>13</v>
      </c>
      <c r="C823" s="5" t="str">
        <f>LEFT(Form_Responses1[[#This Row],[問１　あなたは何年生ですか。]],3)</f>
        <v>小学校</v>
      </c>
      <c r="D823" s="7" t="s">
        <v>30</v>
      </c>
      <c r="E823" s="7" t="s">
        <v>10</v>
      </c>
      <c r="F823" s="8"/>
    </row>
    <row r="824" spans="1:6" ht="12.75">
      <c r="A824" s="6">
        <v>45628.570892164353</v>
      </c>
      <c r="B824" s="7" t="s">
        <v>13</v>
      </c>
      <c r="C824" s="5" t="str">
        <f>LEFT(Form_Responses1[[#This Row],[問１　あなたは何年生ですか。]],3)</f>
        <v>小学校</v>
      </c>
      <c r="D824" s="7" t="s">
        <v>6</v>
      </c>
      <c r="E824" s="7" t="s">
        <v>7</v>
      </c>
      <c r="F824" s="8"/>
    </row>
    <row r="825" spans="1:6" ht="12.75">
      <c r="A825" s="6">
        <v>45628.570984351856</v>
      </c>
      <c r="B825" s="7" t="s">
        <v>13</v>
      </c>
      <c r="C825" s="5" t="str">
        <f>LEFT(Form_Responses1[[#This Row],[問１　あなたは何年生ですか。]],3)</f>
        <v>小学校</v>
      </c>
      <c r="D825" s="7" t="s">
        <v>6</v>
      </c>
      <c r="E825" s="7" t="s">
        <v>10</v>
      </c>
      <c r="F825" s="8"/>
    </row>
    <row r="826" spans="1:6" ht="12.75">
      <c r="A826" s="6">
        <v>45628.571017731483</v>
      </c>
      <c r="B826" s="7" t="s">
        <v>13</v>
      </c>
      <c r="C826" s="5" t="str">
        <f>LEFT(Form_Responses1[[#This Row],[問１　あなたは何年生ですか。]],3)</f>
        <v>小学校</v>
      </c>
      <c r="D826" s="7" t="s">
        <v>9</v>
      </c>
      <c r="E826" s="7" t="s">
        <v>10</v>
      </c>
      <c r="F826" s="8"/>
    </row>
    <row r="827" spans="1:6" ht="12.75">
      <c r="A827" s="6">
        <v>45628.571169872681</v>
      </c>
      <c r="B827" s="7" t="s">
        <v>13</v>
      </c>
      <c r="C827" s="5" t="str">
        <f>LEFT(Form_Responses1[[#This Row],[問１　あなたは何年生ですか。]],3)</f>
        <v>小学校</v>
      </c>
      <c r="D827" s="7" t="s">
        <v>6</v>
      </c>
      <c r="E827" s="7" t="s">
        <v>10</v>
      </c>
      <c r="F827" s="8"/>
    </row>
    <row r="828" spans="1:6" ht="12.75">
      <c r="A828" s="6">
        <v>45628.573279386575</v>
      </c>
      <c r="B828" s="7" t="s">
        <v>23</v>
      </c>
      <c r="C828" s="5" t="str">
        <f>LEFT(Form_Responses1[[#This Row],[問１　あなたは何年生ですか。]],3)</f>
        <v>小学校</v>
      </c>
      <c r="D828" s="7" t="s">
        <v>19</v>
      </c>
      <c r="E828" s="7" t="s">
        <v>15</v>
      </c>
      <c r="F828" s="7" t="s">
        <v>734</v>
      </c>
    </row>
    <row r="829" spans="1:6" ht="12.75">
      <c r="A829" s="6">
        <v>45628.57988203704</v>
      </c>
      <c r="B829" s="7" t="s">
        <v>13</v>
      </c>
      <c r="C829" s="5" t="str">
        <f>LEFT(Form_Responses1[[#This Row],[問１　あなたは何年生ですか。]],3)</f>
        <v>小学校</v>
      </c>
      <c r="D829" s="7" t="s">
        <v>6</v>
      </c>
      <c r="E829" s="7" t="s">
        <v>10</v>
      </c>
      <c r="F829" s="8"/>
    </row>
    <row r="830" spans="1:6" ht="12.75">
      <c r="A830" s="6">
        <v>45628.580492743058</v>
      </c>
      <c r="B830" s="7" t="s">
        <v>13</v>
      </c>
      <c r="C830" s="5" t="str">
        <f>LEFT(Form_Responses1[[#This Row],[問１　あなたは何年生ですか。]],3)</f>
        <v>小学校</v>
      </c>
      <c r="D830" s="7" t="s">
        <v>6</v>
      </c>
      <c r="E830" s="7" t="s">
        <v>7</v>
      </c>
      <c r="F830" s="8"/>
    </row>
    <row r="831" spans="1:6" ht="12.75">
      <c r="A831" s="6">
        <v>45628.610385347223</v>
      </c>
      <c r="B831" s="7" t="s">
        <v>18</v>
      </c>
      <c r="C831" s="5" t="str">
        <f>LEFT(Form_Responses1[[#This Row],[問１　あなたは何年生ですか。]],3)</f>
        <v>中学校</v>
      </c>
      <c r="D831" s="7" t="s">
        <v>19</v>
      </c>
      <c r="E831" s="7" t="s">
        <v>7</v>
      </c>
      <c r="F831" s="7" t="s">
        <v>20</v>
      </c>
    </row>
    <row r="832" spans="1:6" ht="12.75">
      <c r="A832" s="6">
        <v>45628.610654386575</v>
      </c>
      <c r="B832" s="7" t="s">
        <v>18</v>
      </c>
      <c r="C832" s="5" t="str">
        <f>LEFT(Form_Responses1[[#This Row],[問１　あなたは何年生ですか。]],3)</f>
        <v>中学校</v>
      </c>
      <c r="D832" s="7" t="s">
        <v>12</v>
      </c>
      <c r="E832" s="7" t="s">
        <v>7</v>
      </c>
      <c r="F832" s="7" t="s">
        <v>735</v>
      </c>
    </row>
    <row r="833" spans="1:6" ht="12.75">
      <c r="A833" s="6">
        <v>45628.611076053239</v>
      </c>
      <c r="B833" s="7" t="s">
        <v>18</v>
      </c>
      <c r="C833" s="5" t="str">
        <f>LEFT(Form_Responses1[[#This Row],[問１　あなたは何年生ですか。]],3)</f>
        <v>中学校</v>
      </c>
      <c r="D833" s="7" t="s">
        <v>12</v>
      </c>
      <c r="E833" s="7" t="s">
        <v>10</v>
      </c>
      <c r="F833" s="7" t="s">
        <v>52</v>
      </c>
    </row>
    <row r="834" spans="1:6" ht="12.75">
      <c r="A834" s="6">
        <v>45628.61114552083</v>
      </c>
      <c r="B834" s="7" t="s">
        <v>18</v>
      </c>
      <c r="C834" s="5" t="str">
        <f>LEFT(Form_Responses1[[#This Row],[問１　あなたは何年生ですか。]],3)</f>
        <v>中学校</v>
      </c>
      <c r="D834" s="7" t="s">
        <v>121</v>
      </c>
      <c r="E834" s="7" t="s">
        <v>10</v>
      </c>
      <c r="F834" s="7" t="s">
        <v>239</v>
      </c>
    </row>
    <row r="835" spans="1:6" ht="12.75">
      <c r="A835" s="6">
        <v>45628.611358738424</v>
      </c>
      <c r="B835" s="7" t="s">
        <v>18</v>
      </c>
      <c r="C835" s="5" t="str">
        <f>LEFT(Form_Responses1[[#This Row],[問１　あなたは何年生ですか。]],3)</f>
        <v>中学校</v>
      </c>
      <c r="D835" s="7" t="s">
        <v>19</v>
      </c>
      <c r="E835" s="7" t="s">
        <v>10</v>
      </c>
      <c r="F835" s="7" t="s">
        <v>72</v>
      </c>
    </row>
    <row r="836" spans="1:6" ht="12.75">
      <c r="A836" s="6">
        <v>45628.611466608796</v>
      </c>
      <c r="B836" s="7" t="s">
        <v>18</v>
      </c>
      <c r="C836" s="5" t="str">
        <f>LEFT(Form_Responses1[[#This Row],[問１　あなたは何年生ですか。]],3)</f>
        <v>中学校</v>
      </c>
      <c r="D836" s="7" t="s">
        <v>19</v>
      </c>
      <c r="E836" s="7" t="s">
        <v>10</v>
      </c>
      <c r="F836" s="7" t="s">
        <v>736</v>
      </c>
    </row>
    <row r="837" spans="1:6" ht="12.75">
      <c r="A837" s="6">
        <v>45628.611539293983</v>
      </c>
      <c r="B837" s="7" t="s">
        <v>18</v>
      </c>
      <c r="C837" s="5" t="str">
        <f>LEFT(Form_Responses1[[#This Row],[問１　あなたは何年生ですか。]],3)</f>
        <v>中学校</v>
      </c>
      <c r="D837" s="7" t="s">
        <v>19</v>
      </c>
      <c r="E837" s="7" t="s">
        <v>15</v>
      </c>
      <c r="F837" s="7" t="s">
        <v>737</v>
      </c>
    </row>
    <row r="838" spans="1:6" ht="12.75">
      <c r="A838" s="6">
        <v>45628.611687824072</v>
      </c>
      <c r="B838" s="7" t="s">
        <v>18</v>
      </c>
      <c r="C838" s="5" t="str">
        <f>LEFT(Form_Responses1[[#This Row],[問１　あなたは何年生ですか。]],3)</f>
        <v>中学校</v>
      </c>
      <c r="D838" s="7" t="s">
        <v>17</v>
      </c>
      <c r="E838" s="7" t="s">
        <v>10</v>
      </c>
      <c r="F838" s="7" t="s">
        <v>738</v>
      </c>
    </row>
    <row r="839" spans="1:6" ht="12.75">
      <c r="A839" s="6">
        <v>45628.611824270833</v>
      </c>
      <c r="B839" s="7" t="s">
        <v>18</v>
      </c>
      <c r="C839" s="5" t="str">
        <f>LEFT(Form_Responses1[[#This Row],[問１　あなたは何年生ですか。]],3)</f>
        <v>中学校</v>
      </c>
      <c r="D839" s="7" t="s">
        <v>19</v>
      </c>
      <c r="E839" s="7" t="s">
        <v>10</v>
      </c>
      <c r="F839" s="7" t="s">
        <v>739</v>
      </c>
    </row>
    <row r="840" spans="1:6" ht="12.75">
      <c r="A840" s="6">
        <v>45628.611904537036</v>
      </c>
      <c r="B840" s="7" t="s">
        <v>18</v>
      </c>
      <c r="C840" s="5" t="str">
        <f>LEFT(Form_Responses1[[#This Row],[問１　あなたは何年生ですか。]],3)</f>
        <v>中学校</v>
      </c>
      <c r="D840" s="7" t="s">
        <v>6</v>
      </c>
      <c r="E840" s="7" t="s">
        <v>10</v>
      </c>
      <c r="F840" s="7" t="s">
        <v>740</v>
      </c>
    </row>
    <row r="841" spans="1:6" ht="12.75">
      <c r="A841" s="6">
        <v>45628.611918969909</v>
      </c>
      <c r="B841" s="7" t="s">
        <v>18</v>
      </c>
      <c r="C841" s="5" t="str">
        <f>LEFT(Form_Responses1[[#This Row],[問１　あなたは何年生ですか。]],3)</f>
        <v>中学校</v>
      </c>
      <c r="D841" s="7" t="s">
        <v>6</v>
      </c>
      <c r="E841" s="7" t="s">
        <v>7</v>
      </c>
      <c r="F841" s="7" t="s">
        <v>741</v>
      </c>
    </row>
    <row r="842" spans="1:6" ht="12.75">
      <c r="A842" s="6">
        <v>45628.611924976853</v>
      </c>
      <c r="B842" s="7" t="s">
        <v>18</v>
      </c>
      <c r="C842" s="5" t="str">
        <f>LEFT(Form_Responses1[[#This Row],[問１　あなたは何年生ですか。]],3)</f>
        <v>中学校</v>
      </c>
      <c r="D842" s="7" t="s">
        <v>24</v>
      </c>
      <c r="E842" s="7" t="s">
        <v>7</v>
      </c>
      <c r="F842" s="7" t="s">
        <v>742</v>
      </c>
    </row>
    <row r="843" spans="1:6" ht="12.75">
      <c r="A843" s="6">
        <v>45628.611934062501</v>
      </c>
      <c r="B843" s="7" t="s">
        <v>18</v>
      </c>
      <c r="C843" s="5" t="str">
        <f>LEFT(Form_Responses1[[#This Row],[問１　あなたは何年生ですか。]],3)</f>
        <v>中学校</v>
      </c>
      <c r="D843" s="7" t="s">
        <v>19</v>
      </c>
      <c r="E843" s="7" t="s">
        <v>7</v>
      </c>
      <c r="F843" s="7" t="s">
        <v>541</v>
      </c>
    </row>
    <row r="844" spans="1:6" ht="12.75">
      <c r="A844" s="6">
        <v>45628.611933159722</v>
      </c>
      <c r="B844" s="7" t="s">
        <v>18</v>
      </c>
      <c r="C844" s="5" t="str">
        <f>LEFT(Form_Responses1[[#This Row],[問１　あなたは何年生ですか。]],3)</f>
        <v>中学校</v>
      </c>
      <c r="D844" s="7" t="s">
        <v>19</v>
      </c>
      <c r="E844" s="7" t="s">
        <v>7</v>
      </c>
      <c r="F844" s="7" t="s">
        <v>743</v>
      </c>
    </row>
    <row r="845" spans="1:6" ht="12.75">
      <c r="A845" s="6">
        <v>45628.612060185187</v>
      </c>
      <c r="B845" s="7" t="s">
        <v>18</v>
      </c>
      <c r="C845" s="5" t="str">
        <f>LEFT(Form_Responses1[[#This Row],[問１　あなたは何年生ですか。]],3)</f>
        <v>中学校</v>
      </c>
      <c r="D845" s="7" t="s">
        <v>121</v>
      </c>
      <c r="E845" s="7" t="s">
        <v>7</v>
      </c>
      <c r="F845" s="7" t="s">
        <v>744</v>
      </c>
    </row>
    <row r="846" spans="1:6" ht="12.75">
      <c r="A846" s="6">
        <v>45628.612067604168</v>
      </c>
      <c r="B846" s="7" t="s">
        <v>18</v>
      </c>
      <c r="C846" s="5" t="str">
        <f>LEFT(Form_Responses1[[#This Row],[問１　あなたは何年生ですか。]],3)</f>
        <v>中学校</v>
      </c>
      <c r="D846" s="7" t="s">
        <v>745</v>
      </c>
      <c r="E846" s="7" t="s">
        <v>10</v>
      </c>
      <c r="F846" s="7" t="s">
        <v>746</v>
      </c>
    </row>
    <row r="847" spans="1:6" ht="12.75">
      <c r="A847" s="6">
        <v>45628.612083425927</v>
      </c>
      <c r="B847" s="7" t="s">
        <v>18</v>
      </c>
      <c r="C847" s="5" t="str">
        <f>LEFT(Form_Responses1[[#This Row],[問１　あなたは何年生ですか。]],3)</f>
        <v>中学校</v>
      </c>
      <c r="D847" s="7" t="s">
        <v>19</v>
      </c>
      <c r="E847" s="7" t="s">
        <v>10</v>
      </c>
      <c r="F847" s="7" t="s">
        <v>747</v>
      </c>
    </row>
    <row r="848" spans="1:6" ht="12.75">
      <c r="A848" s="6">
        <v>45628.612200023148</v>
      </c>
      <c r="B848" s="7" t="s">
        <v>18</v>
      </c>
      <c r="C848" s="5" t="str">
        <f>LEFT(Form_Responses1[[#This Row],[問１　あなたは何年生ですか。]],3)</f>
        <v>中学校</v>
      </c>
      <c r="D848" s="7" t="s">
        <v>6</v>
      </c>
      <c r="E848" s="7" t="s">
        <v>7</v>
      </c>
      <c r="F848" s="7" t="s">
        <v>748</v>
      </c>
    </row>
    <row r="849" spans="1:6" ht="12.75">
      <c r="A849" s="6">
        <v>45628.612227812497</v>
      </c>
      <c r="B849" s="7" t="s">
        <v>18</v>
      </c>
      <c r="C849" s="5" t="str">
        <f>LEFT(Form_Responses1[[#This Row],[問１　あなたは何年生ですか。]],3)</f>
        <v>中学校</v>
      </c>
      <c r="D849" s="7" t="s">
        <v>19</v>
      </c>
      <c r="E849" s="7" t="s">
        <v>7</v>
      </c>
      <c r="F849" s="7" t="s">
        <v>749</v>
      </c>
    </row>
    <row r="850" spans="1:6" ht="12.75">
      <c r="A850" s="6">
        <v>45628.612399594909</v>
      </c>
      <c r="B850" s="7" t="s">
        <v>18</v>
      </c>
      <c r="C850" s="5" t="str">
        <f>LEFT(Form_Responses1[[#This Row],[問１　あなたは何年生ですか。]],3)</f>
        <v>中学校</v>
      </c>
      <c r="D850" s="7" t="s">
        <v>6</v>
      </c>
      <c r="E850" s="7" t="s">
        <v>7</v>
      </c>
      <c r="F850" s="7" t="s">
        <v>750</v>
      </c>
    </row>
    <row r="851" spans="1:6" ht="12.75">
      <c r="A851" s="6">
        <v>45628.612551956016</v>
      </c>
      <c r="B851" s="7" t="s">
        <v>18</v>
      </c>
      <c r="C851" s="5" t="str">
        <f>LEFT(Form_Responses1[[#This Row],[問１　あなたは何年生ですか。]],3)</f>
        <v>中学校</v>
      </c>
      <c r="D851" s="7" t="s">
        <v>6</v>
      </c>
      <c r="E851" s="7" t="s">
        <v>7</v>
      </c>
      <c r="F851" s="7" t="s">
        <v>751</v>
      </c>
    </row>
    <row r="852" spans="1:6" ht="12.75">
      <c r="A852" s="6">
        <v>45628.612611493052</v>
      </c>
      <c r="B852" s="7" t="s">
        <v>16</v>
      </c>
      <c r="C852" s="5" t="str">
        <f>LEFT(Form_Responses1[[#This Row],[問１　あなたは何年生ですか。]],3)</f>
        <v>中学校</v>
      </c>
      <c r="D852" s="7" t="s">
        <v>6</v>
      </c>
      <c r="E852" s="7" t="s">
        <v>7</v>
      </c>
      <c r="F852" s="8"/>
    </row>
    <row r="853" spans="1:6" ht="12.75">
      <c r="A853" s="6">
        <v>45628.612767395833</v>
      </c>
      <c r="B853" s="7" t="s">
        <v>18</v>
      </c>
      <c r="C853" s="5" t="str">
        <f>LEFT(Form_Responses1[[#This Row],[問１　あなたは何年生ですか。]],3)</f>
        <v>中学校</v>
      </c>
      <c r="D853" s="7" t="s">
        <v>24</v>
      </c>
      <c r="E853" s="7" t="s">
        <v>10</v>
      </c>
      <c r="F853" s="7" t="s">
        <v>752</v>
      </c>
    </row>
    <row r="854" spans="1:6" ht="12.75">
      <c r="A854" s="6">
        <v>45628.61284144676</v>
      </c>
      <c r="B854" s="7" t="s">
        <v>18</v>
      </c>
      <c r="C854" s="5" t="str">
        <f>LEFT(Form_Responses1[[#This Row],[問１　あなたは何年生ですか。]],3)</f>
        <v>中学校</v>
      </c>
      <c r="D854" s="7" t="s">
        <v>6</v>
      </c>
      <c r="E854" s="7" t="s">
        <v>7</v>
      </c>
      <c r="F854" s="7" t="s">
        <v>753</v>
      </c>
    </row>
    <row r="855" spans="1:6" ht="12.75">
      <c r="A855" s="6">
        <v>45628.613082939817</v>
      </c>
      <c r="B855" s="7" t="s">
        <v>18</v>
      </c>
      <c r="C855" s="5" t="str">
        <f>LEFT(Form_Responses1[[#This Row],[問１　あなたは何年生ですか。]],3)</f>
        <v>中学校</v>
      </c>
      <c r="D855" s="7" t="s">
        <v>19</v>
      </c>
      <c r="E855" s="7" t="s">
        <v>10</v>
      </c>
      <c r="F855" s="7" t="s">
        <v>754</v>
      </c>
    </row>
    <row r="856" spans="1:6" ht="12.75">
      <c r="A856" s="6">
        <v>45628.613490706019</v>
      </c>
      <c r="B856" s="7" t="s">
        <v>18</v>
      </c>
      <c r="C856" s="5" t="str">
        <f>LEFT(Form_Responses1[[#This Row],[問１　あなたは何年生ですか。]],3)</f>
        <v>中学校</v>
      </c>
      <c r="D856" s="7" t="s">
        <v>9</v>
      </c>
      <c r="E856" s="7" t="s">
        <v>10</v>
      </c>
      <c r="F856" s="7" t="s">
        <v>755</v>
      </c>
    </row>
    <row r="857" spans="1:6" ht="12.75">
      <c r="A857" s="6">
        <v>45628.613741817127</v>
      </c>
      <c r="B857" s="7" t="s">
        <v>18</v>
      </c>
      <c r="C857" s="5" t="str">
        <f>LEFT(Form_Responses1[[#This Row],[問１　あなたは何年生ですか。]],3)</f>
        <v>中学校</v>
      </c>
      <c r="D857" s="7" t="s">
        <v>6</v>
      </c>
      <c r="E857" s="7" t="s">
        <v>7</v>
      </c>
      <c r="F857" s="7" t="s">
        <v>756</v>
      </c>
    </row>
    <row r="858" spans="1:6" ht="12.75">
      <c r="A858" s="6">
        <v>45628.613762326393</v>
      </c>
      <c r="B858" s="7" t="s">
        <v>18</v>
      </c>
      <c r="C858" s="5" t="str">
        <f>LEFT(Form_Responses1[[#This Row],[問１　あなたは何年生ですか。]],3)</f>
        <v>中学校</v>
      </c>
      <c r="D858" s="7" t="s">
        <v>121</v>
      </c>
      <c r="E858" s="7" t="s">
        <v>10</v>
      </c>
      <c r="F858" s="7" t="s">
        <v>757</v>
      </c>
    </row>
    <row r="859" spans="1:6" ht="12.75">
      <c r="A859" s="6">
        <v>45628.613824236112</v>
      </c>
      <c r="B859" s="7" t="s">
        <v>18</v>
      </c>
      <c r="C859" s="5" t="str">
        <f>LEFT(Form_Responses1[[#This Row],[問１　あなたは何年生ですか。]],3)</f>
        <v>中学校</v>
      </c>
      <c r="D859" s="7" t="s">
        <v>758</v>
      </c>
      <c r="E859" s="7" t="s">
        <v>10</v>
      </c>
      <c r="F859" s="7" t="s">
        <v>759</v>
      </c>
    </row>
    <row r="860" spans="1:6" ht="12.75">
      <c r="A860" s="6">
        <v>45628.613878842589</v>
      </c>
      <c r="B860" s="7" t="s">
        <v>18</v>
      </c>
      <c r="C860" s="5" t="str">
        <f>LEFT(Form_Responses1[[#This Row],[問１　あなたは何年生ですか。]],3)</f>
        <v>中学校</v>
      </c>
      <c r="D860" s="7" t="s">
        <v>19</v>
      </c>
      <c r="E860" s="7" t="s">
        <v>67</v>
      </c>
      <c r="F860" s="7" t="s">
        <v>760</v>
      </c>
    </row>
    <row r="861" spans="1:6" ht="12.75">
      <c r="A861" s="6">
        <v>45628.613893576388</v>
      </c>
      <c r="B861" s="7" t="s">
        <v>18</v>
      </c>
      <c r="C861" s="5" t="str">
        <f>LEFT(Form_Responses1[[#This Row],[問１　あなたは何年生ですか。]],3)</f>
        <v>中学校</v>
      </c>
      <c r="D861" s="7" t="s">
        <v>91</v>
      </c>
      <c r="E861" s="7" t="s">
        <v>10</v>
      </c>
      <c r="F861" s="7" t="s">
        <v>761</v>
      </c>
    </row>
    <row r="862" spans="1:6" ht="12.75">
      <c r="A862" s="6">
        <v>45628.614104016204</v>
      </c>
      <c r="B862" s="7" t="s">
        <v>18</v>
      </c>
      <c r="C862" s="5" t="str">
        <f>LEFT(Form_Responses1[[#This Row],[問１　あなたは何年生ですか。]],3)</f>
        <v>中学校</v>
      </c>
      <c r="D862" s="7" t="s">
        <v>762</v>
      </c>
      <c r="E862" s="7" t="s">
        <v>10</v>
      </c>
      <c r="F862" s="7" t="s">
        <v>763</v>
      </c>
    </row>
    <row r="863" spans="1:6" ht="12.75">
      <c r="A863" s="6">
        <v>45628.614135821757</v>
      </c>
      <c r="B863" s="7" t="s">
        <v>18</v>
      </c>
      <c r="C863" s="5" t="str">
        <f>LEFT(Form_Responses1[[#This Row],[問１　あなたは何年生ですか。]],3)</f>
        <v>中学校</v>
      </c>
      <c r="D863" s="7" t="s">
        <v>121</v>
      </c>
      <c r="E863" s="7" t="s">
        <v>10</v>
      </c>
      <c r="F863" s="7" t="s">
        <v>764</v>
      </c>
    </row>
    <row r="864" spans="1:6" ht="12.75">
      <c r="A864" s="6">
        <v>45628.6141694213</v>
      </c>
      <c r="B864" s="7" t="s">
        <v>18</v>
      </c>
      <c r="C864" s="5" t="str">
        <f>LEFT(Form_Responses1[[#This Row],[問１　あなたは何年生ですか。]],3)</f>
        <v>中学校</v>
      </c>
      <c r="D864" s="7" t="s">
        <v>765</v>
      </c>
      <c r="E864" s="7" t="s">
        <v>10</v>
      </c>
      <c r="F864" s="7" t="s">
        <v>766</v>
      </c>
    </row>
    <row r="865" spans="1:6" ht="12.75">
      <c r="A865" s="6">
        <v>45628.614191168977</v>
      </c>
      <c r="B865" s="7" t="s">
        <v>18</v>
      </c>
      <c r="C865" s="5" t="str">
        <f>LEFT(Form_Responses1[[#This Row],[問１　あなたは何年生ですか。]],3)</f>
        <v>中学校</v>
      </c>
      <c r="D865" s="7" t="s">
        <v>6</v>
      </c>
      <c r="E865" s="7" t="s">
        <v>10</v>
      </c>
      <c r="F865" s="7" t="s">
        <v>767</v>
      </c>
    </row>
    <row r="866" spans="1:6" ht="12.75">
      <c r="A866" s="6">
        <v>45628.614333449077</v>
      </c>
      <c r="B866" s="7" t="s">
        <v>18</v>
      </c>
      <c r="C866" s="5" t="str">
        <f>LEFT(Form_Responses1[[#This Row],[問１　あなたは何年生ですか。]],3)</f>
        <v>中学校</v>
      </c>
      <c r="D866" s="7" t="s">
        <v>768</v>
      </c>
      <c r="E866" s="7" t="s">
        <v>10</v>
      </c>
      <c r="F866" s="7" t="s">
        <v>134</v>
      </c>
    </row>
    <row r="867" spans="1:6" ht="12.75">
      <c r="A867" s="6">
        <v>45628.614571944447</v>
      </c>
      <c r="B867" s="7" t="s">
        <v>18</v>
      </c>
      <c r="C867" s="5" t="str">
        <f>LEFT(Form_Responses1[[#This Row],[問１　あなたは何年生ですか。]],3)</f>
        <v>中学校</v>
      </c>
      <c r="D867" s="7" t="s">
        <v>6</v>
      </c>
      <c r="E867" s="7" t="s">
        <v>7</v>
      </c>
      <c r="F867" s="7" t="s">
        <v>769</v>
      </c>
    </row>
    <row r="868" spans="1:6" ht="12.75">
      <c r="A868" s="6">
        <v>45628.614641388893</v>
      </c>
      <c r="B868" s="7" t="s">
        <v>18</v>
      </c>
      <c r="C868" s="5" t="str">
        <f>LEFT(Form_Responses1[[#This Row],[問１　あなたは何年生ですか。]],3)</f>
        <v>中学校</v>
      </c>
      <c r="D868" s="7" t="s">
        <v>12</v>
      </c>
      <c r="E868" s="7" t="s">
        <v>10</v>
      </c>
      <c r="F868" s="7" t="s">
        <v>770</v>
      </c>
    </row>
    <row r="869" spans="1:6" ht="12.75">
      <c r="A869" s="6">
        <v>45628.614649212963</v>
      </c>
      <c r="B869" s="7" t="s">
        <v>18</v>
      </c>
      <c r="C869" s="5" t="str">
        <f>LEFT(Form_Responses1[[#This Row],[問１　あなたは何年生ですか。]],3)</f>
        <v>中学校</v>
      </c>
      <c r="D869" s="7" t="s">
        <v>6</v>
      </c>
      <c r="E869" s="7" t="s">
        <v>10</v>
      </c>
      <c r="F869" s="7" t="s">
        <v>771</v>
      </c>
    </row>
    <row r="870" spans="1:6" ht="12.75">
      <c r="A870" s="6">
        <v>45628.61477699074</v>
      </c>
      <c r="B870" s="7" t="s">
        <v>18</v>
      </c>
      <c r="C870" s="5" t="str">
        <f>LEFT(Form_Responses1[[#This Row],[問１　あなたは何年生ですか。]],3)</f>
        <v>中学校</v>
      </c>
      <c r="D870" s="7" t="s">
        <v>19</v>
      </c>
      <c r="E870" s="7" t="s">
        <v>7</v>
      </c>
      <c r="F870" s="7" t="s">
        <v>128</v>
      </c>
    </row>
    <row r="871" spans="1:6" ht="12.75">
      <c r="A871" s="6">
        <v>45628.614982118059</v>
      </c>
      <c r="B871" s="7" t="s">
        <v>18</v>
      </c>
      <c r="C871" s="5" t="str">
        <f>LEFT(Form_Responses1[[#This Row],[問１　あなたは何年生ですか。]],3)</f>
        <v>中学校</v>
      </c>
      <c r="D871" s="7" t="s">
        <v>24</v>
      </c>
      <c r="E871" s="7" t="s">
        <v>7</v>
      </c>
      <c r="F871" s="7" t="s">
        <v>52</v>
      </c>
    </row>
    <row r="872" spans="1:6" ht="12.75">
      <c r="A872" s="6">
        <v>45628.615297453704</v>
      </c>
      <c r="B872" s="7" t="s">
        <v>16</v>
      </c>
      <c r="C872" s="5" t="str">
        <f>LEFT(Form_Responses1[[#This Row],[問１　あなたは何年生ですか。]],3)</f>
        <v>中学校</v>
      </c>
      <c r="D872" s="7" t="s">
        <v>24</v>
      </c>
      <c r="E872" s="7" t="s">
        <v>10</v>
      </c>
      <c r="F872" s="7" t="s">
        <v>772</v>
      </c>
    </row>
    <row r="873" spans="1:6" ht="12.75">
      <c r="A873" s="6">
        <v>45628.615874606483</v>
      </c>
      <c r="B873" s="7" t="s">
        <v>18</v>
      </c>
      <c r="C873" s="5" t="str">
        <f>LEFT(Form_Responses1[[#This Row],[問１　あなたは何年生ですか。]],3)</f>
        <v>中学校</v>
      </c>
      <c r="D873" s="7" t="s">
        <v>24</v>
      </c>
      <c r="E873" s="7" t="s">
        <v>10</v>
      </c>
      <c r="F873" s="8"/>
    </row>
    <row r="874" spans="1:6" ht="12.75">
      <c r="A874" s="6">
        <v>45628.615883993058</v>
      </c>
      <c r="B874" s="7" t="s">
        <v>18</v>
      </c>
      <c r="C874" s="5" t="str">
        <f>LEFT(Form_Responses1[[#This Row],[問１　あなたは何年生ですか。]],3)</f>
        <v>中学校</v>
      </c>
      <c r="D874" s="7" t="s">
        <v>19</v>
      </c>
      <c r="E874" s="7" t="s">
        <v>10</v>
      </c>
      <c r="F874" s="7" t="s">
        <v>773</v>
      </c>
    </row>
    <row r="875" spans="1:6" ht="12.75">
      <c r="A875" s="6">
        <v>45628.616412372685</v>
      </c>
      <c r="B875" s="7" t="s">
        <v>18</v>
      </c>
      <c r="C875" s="5" t="str">
        <f>LEFT(Form_Responses1[[#This Row],[問１　あなたは何年生ですか。]],3)</f>
        <v>中学校</v>
      </c>
      <c r="D875" s="7" t="s">
        <v>12</v>
      </c>
      <c r="E875" s="7" t="s">
        <v>10</v>
      </c>
      <c r="F875" s="7" t="s">
        <v>774</v>
      </c>
    </row>
    <row r="876" spans="1:6" ht="12.75">
      <c r="A876" s="6">
        <v>45628.616420115737</v>
      </c>
      <c r="B876" s="7" t="s">
        <v>18</v>
      </c>
      <c r="C876" s="5" t="str">
        <f>LEFT(Form_Responses1[[#This Row],[問１　あなたは何年生ですか。]],3)</f>
        <v>中学校</v>
      </c>
      <c r="D876" s="7" t="s">
        <v>91</v>
      </c>
      <c r="E876" s="7" t="s">
        <v>10</v>
      </c>
      <c r="F876" s="7" t="s">
        <v>775</v>
      </c>
    </row>
    <row r="877" spans="1:6" ht="12.75">
      <c r="A877" s="6">
        <v>45628.616441956023</v>
      </c>
      <c r="B877" s="7" t="s">
        <v>18</v>
      </c>
      <c r="C877" s="5" t="str">
        <f>LEFT(Form_Responses1[[#This Row],[問１　あなたは何年生ですか。]],3)</f>
        <v>中学校</v>
      </c>
      <c r="D877" s="7" t="s">
        <v>19</v>
      </c>
      <c r="E877" s="7" t="s">
        <v>10</v>
      </c>
      <c r="F877" s="7" t="s">
        <v>776</v>
      </c>
    </row>
    <row r="878" spans="1:6" ht="12.75">
      <c r="A878" s="6">
        <v>45628.616800717587</v>
      </c>
      <c r="B878" s="7" t="s">
        <v>18</v>
      </c>
      <c r="C878" s="5" t="str">
        <f>LEFT(Form_Responses1[[#This Row],[問１　あなたは何年生ですか。]],3)</f>
        <v>中学校</v>
      </c>
      <c r="D878" s="7" t="s">
        <v>6</v>
      </c>
      <c r="E878" s="7" t="s">
        <v>7</v>
      </c>
      <c r="F878" s="7" t="s">
        <v>777</v>
      </c>
    </row>
    <row r="879" spans="1:6" ht="12.75">
      <c r="A879" s="6">
        <v>45628.616887604163</v>
      </c>
      <c r="B879" s="7" t="s">
        <v>18</v>
      </c>
      <c r="C879" s="5" t="str">
        <f>LEFT(Form_Responses1[[#This Row],[問１　あなたは何年生ですか。]],3)</f>
        <v>中学校</v>
      </c>
      <c r="D879" s="7" t="s">
        <v>24</v>
      </c>
      <c r="E879" s="7" t="s">
        <v>10</v>
      </c>
      <c r="F879" s="7" t="s">
        <v>778</v>
      </c>
    </row>
    <row r="880" spans="1:6" ht="12.75">
      <c r="A880" s="6">
        <v>45628.617074988426</v>
      </c>
      <c r="B880" s="7" t="s">
        <v>18</v>
      </c>
      <c r="C880" s="5" t="str">
        <f>LEFT(Form_Responses1[[#This Row],[問１　あなたは何年生ですか。]],3)</f>
        <v>中学校</v>
      </c>
      <c r="D880" s="7" t="s">
        <v>24</v>
      </c>
      <c r="E880" s="7" t="s">
        <v>10</v>
      </c>
      <c r="F880" s="7" t="s">
        <v>779</v>
      </c>
    </row>
    <row r="881" spans="1:6" ht="12.75">
      <c r="A881" s="6">
        <v>45628.617099513889</v>
      </c>
      <c r="B881" s="7" t="s">
        <v>18</v>
      </c>
      <c r="C881" s="5" t="str">
        <f>LEFT(Form_Responses1[[#This Row],[問１　あなたは何年生ですか。]],3)</f>
        <v>中学校</v>
      </c>
      <c r="D881" s="7" t="s">
        <v>6</v>
      </c>
      <c r="E881" s="7" t="s">
        <v>10</v>
      </c>
      <c r="F881" s="7" t="s">
        <v>780</v>
      </c>
    </row>
    <row r="882" spans="1:6" ht="12.75">
      <c r="A882" s="6">
        <v>45628.617596608798</v>
      </c>
      <c r="B882" s="7" t="s">
        <v>18</v>
      </c>
      <c r="C882" s="5" t="str">
        <f>LEFT(Form_Responses1[[#This Row],[問１　あなたは何年生ですか。]],3)</f>
        <v>中学校</v>
      </c>
      <c r="D882" s="7" t="s">
        <v>24</v>
      </c>
      <c r="E882" s="7" t="s">
        <v>10</v>
      </c>
      <c r="F882" s="7" t="s">
        <v>781</v>
      </c>
    </row>
    <row r="883" spans="1:6" ht="12.75">
      <c r="A883" s="6">
        <v>45628.61766074074</v>
      </c>
      <c r="B883" s="7" t="s">
        <v>18</v>
      </c>
      <c r="C883" s="5" t="str">
        <f>LEFT(Form_Responses1[[#This Row],[問１　あなたは何年生ですか。]],3)</f>
        <v>中学校</v>
      </c>
      <c r="D883" s="7" t="s">
        <v>19</v>
      </c>
      <c r="E883" s="7" t="s">
        <v>7</v>
      </c>
      <c r="F883" s="8"/>
    </row>
    <row r="884" spans="1:6" ht="12.75">
      <c r="A884" s="6">
        <v>45628.617706168981</v>
      </c>
      <c r="B884" s="7" t="s">
        <v>18</v>
      </c>
      <c r="C884" s="5" t="str">
        <f>LEFT(Form_Responses1[[#This Row],[問１　あなたは何年生ですか。]],3)</f>
        <v>中学校</v>
      </c>
      <c r="D884" s="7" t="s">
        <v>782</v>
      </c>
      <c r="E884" s="7" t="s">
        <v>10</v>
      </c>
      <c r="F884" s="7" t="s">
        <v>783</v>
      </c>
    </row>
    <row r="885" spans="1:6" ht="12.75">
      <c r="A885" s="6">
        <v>45628.617902048616</v>
      </c>
      <c r="B885" s="7" t="s">
        <v>18</v>
      </c>
      <c r="C885" s="5" t="str">
        <f>LEFT(Form_Responses1[[#This Row],[問１　あなたは何年生ですか。]],3)</f>
        <v>中学校</v>
      </c>
      <c r="D885" s="7" t="s">
        <v>19</v>
      </c>
      <c r="E885" s="7" t="s">
        <v>7</v>
      </c>
      <c r="F885" s="7" t="s">
        <v>784</v>
      </c>
    </row>
    <row r="886" spans="1:6" ht="12.75">
      <c r="A886" s="6">
        <v>45628.618034259256</v>
      </c>
      <c r="B886" s="7" t="s">
        <v>18</v>
      </c>
      <c r="C886" s="5" t="str">
        <f>LEFT(Form_Responses1[[#This Row],[問１　あなたは何年生ですか。]],3)</f>
        <v>中学校</v>
      </c>
      <c r="D886" s="7" t="s">
        <v>6</v>
      </c>
      <c r="E886" s="7" t="s">
        <v>10</v>
      </c>
      <c r="F886" s="7" t="s">
        <v>785</v>
      </c>
    </row>
    <row r="887" spans="1:6" ht="12.75">
      <c r="A887" s="6">
        <v>45628.618280092589</v>
      </c>
      <c r="B887" s="7" t="s">
        <v>18</v>
      </c>
      <c r="C887" s="5" t="str">
        <f>LEFT(Form_Responses1[[#This Row],[問１　あなたは何年生ですか。]],3)</f>
        <v>中学校</v>
      </c>
      <c r="D887" s="7" t="s">
        <v>6</v>
      </c>
      <c r="E887" s="7" t="s">
        <v>7</v>
      </c>
      <c r="F887" s="7" t="s">
        <v>235</v>
      </c>
    </row>
    <row r="888" spans="1:6" ht="12.75">
      <c r="A888" s="6">
        <v>45628.618382858796</v>
      </c>
      <c r="B888" s="7" t="s">
        <v>18</v>
      </c>
      <c r="C888" s="5" t="str">
        <f>LEFT(Form_Responses1[[#This Row],[問１　あなたは何年生ですか。]],3)</f>
        <v>中学校</v>
      </c>
      <c r="D888" s="7" t="s">
        <v>6</v>
      </c>
      <c r="E888" s="7" t="s">
        <v>10</v>
      </c>
      <c r="F888" s="7" t="s">
        <v>786</v>
      </c>
    </row>
    <row r="889" spans="1:6" ht="12.75">
      <c r="A889" s="6">
        <v>45628.618385740745</v>
      </c>
      <c r="B889" s="7" t="s">
        <v>18</v>
      </c>
      <c r="C889" s="5" t="str">
        <f>LEFT(Form_Responses1[[#This Row],[問１　あなたは何年生ですか。]],3)</f>
        <v>中学校</v>
      </c>
      <c r="D889" s="7" t="s">
        <v>19</v>
      </c>
      <c r="E889" s="7" t="s">
        <v>7</v>
      </c>
      <c r="F889" s="7" t="s">
        <v>110</v>
      </c>
    </row>
    <row r="890" spans="1:6" ht="12.75">
      <c r="A890" s="6">
        <v>45628.618443703701</v>
      </c>
      <c r="B890" s="7" t="s">
        <v>18</v>
      </c>
      <c r="C890" s="5" t="str">
        <f>LEFT(Form_Responses1[[#This Row],[問１　あなたは何年生ですか。]],3)</f>
        <v>中学校</v>
      </c>
      <c r="D890" s="7" t="s">
        <v>19</v>
      </c>
      <c r="E890" s="7" t="s">
        <v>15</v>
      </c>
      <c r="F890" s="7" t="s">
        <v>787</v>
      </c>
    </row>
    <row r="891" spans="1:6" ht="12.75">
      <c r="A891" s="6">
        <v>45628.618839895833</v>
      </c>
      <c r="B891" s="7" t="s">
        <v>18</v>
      </c>
      <c r="C891" s="5" t="str">
        <f>LEFT(Form_Responses1[[#This Row],[問１　あなたは何年生ですか。]],3)</f>
        <v>中学校</v>
      </c>
      <c r="D891" s="7" t="s">
        <v>6</v>
      </c>
      <c r="E891" s="7" t="s">
        <v>7</v>
      </c>
      <c r="F891" s="7" t="s">
        <v>788</v>
      </c>
    </row>
    <row r="892" spans="1:6" ht="12.75">
      <c r="A892" s="6">
        <v>45628.618955266204</v>
      </c>
      <c r="B892" s="7" t="s">
        <v>18</v>
      </c>
      <c r="C892" s="5" t="str">
        <f>LEFT(Form_Responses1[[#This Row],[問１　あなたは何年生ですか。]],3)</f>
        <v>中学校</v>
      </c>
      <c r="D892" s="7" t="s">
        <v>6</v>
      </c>
      <c r="E892" s="7" t="s">
        <v>10</v>
      </c>
      <c r="F892" s="7" t="s">
        <v>789</v>
      </c>
    </row>
    <row r="893" spans="1:6" ht="12.75">
      <c r="A893" s="6">
        <v>45628.619003101849</v>
      </c>
      <c r="B893" s="7" t="s">
        <v>18</v>
      </c>
      <c r="C893" s="5" t="str">
        <f>LEFT(Form_Responses1[[#This Row],[問１　あなたは何年生ですか。]],3)</f>
        <v>中学校</v>
      </c>
      <c r="D893" s="7" t="s">
        <v>24</v>
      </c>
      <c r="E893" s="7" t="s">
        <v>10</v>
      </c>
      <c r="F893" s="7" t="s">
        <v>790</v>
      </c>
    </row>
    <row r="894" spans="1:6" ht="12.75">
      <c r="A894" s="6">
        <v>45628.619184490744</v>
      </c>
      <c r="B894" s="7" t="s">
        <v>18</v>
      </c>
      <c r="C894" s="5" t="str">
        <f>LEFT(Form_Responses1[[#This Row],[問１　あなたは何年生ですか。]],3)</f>
        <v>中学校</v>
      </c>
      <c r="D894" s="7" t="s">
        <v>6</v>
      </c>
      <c r="E894" s="7" t="s">
        <v>10</v>
      </c>
      <c r="F894" s="8"/>
    </row>
    <row r="895" spans="1:6" ht="12.75">
      <c r="A895" s="6">
        <v>45628.619472546299</v>
      </c>
      <c r="B895" s="7" t="s">
        <v>18</v>
      </c>
      <c r="C895" s="5" t="str">
        <f>LEFT(Form_Responses1[[#This Row],[問１　あなたは何年生ですか。]],3)</f>
        <v>中学校</v>
      </c>
      <c r="D895" s="7" t="s">
        <v>30</v>
      </c>
      <c r="E895" s="7" t="s">
        <v>7</v>
      </c>
      <c r="F895" s="7" t="s">
        <v>791</v>
      </c>
    </row>
    <row r="896" spans="1:6" ht="12.75">
      <c r="A896" s="6">
        <v>45628.619480138892</v>
      </c>
      <c r="B896" s="7" t="s">
        <v>18</v>
      </c>
      <c r="C896" s="5" t="str">
        <f>LEFT(Form_Responses1[[#This Row],[問１　あなたは何年生ですか。]],3)</f>
        <v>中学校</v>
      </c>
      <c r="D896" s="7" t="s">
        <v>6</v>
      </c>
      <c r="E896" s="7" t="s">
        <v>10</v>
      </c>
      <c r="F896" s="7" t="s">
        <v>792</v>
      </c>
    </row>
    <row r="897" spans="1:6" ht="12.75">
      <c r="A897" s="6">
        <v>45628.619962719909</v>
      </c>
      <c r="B897" s="7" t="s">
        <v>18</v>
      </c>
      <c r="C897" s="5" t="str">
        <f>LEFT(Form_Responses1[[#This Row],[問１　あなたは何年生ですか。]],3)</f>
        <v>中学校</v>
      </c>
      <c r="D897" s="7" t="s">
        <v>19</v>
      </c>
      <c r="E897" s="7" t="s">
        <v>10</v>
      </c>
      <c r="F897" s="7" t="s">
        <v>793</v>
      </c>
    </row>
    <row r="898" spans="1:6" ht="12.75">
      <c r="A898" s="6">
        <v>45628.620526365739</v>
      </c>
      <c r="B898" s="7" t="s">
        <v>18</v>
      </c>
      <c r="C898" s="5" t="str">
        <f>LEFT(Form_Responses1[[#This Row],[問１　あなたは何年生ですか。]],3)</f>
        <v>中学校</v>
      </c>
      <c r="D898" s="7" t="s">
        <v>6</v>
      </c>
      <c r="E898" s="7" t="s">
        <v>10</v>
      </c>
      <c r="F898" s="7" t="s">
        <v>794</v>
      </c>
    </row>
    <row r="899" spans="1:6" ht="12.75">
      <c r="A899" s="6">
        <v>45628.620576585643</v>
      </c>
      <c r="B899" s="7" t="s">
        <v>18</v>
      </c>
      <c r="C899" s="5" t="str">
        <f>LEFT(Form_Responses1[[#This Row],[問１　あなたは何年生ですか。]],3)</f>
        <v>中学校</v>
      </c>
      <c r="D899" s="7" t="s">
        <v>30</v>
      </c>
      <c r="E899" s="7" t="s">
        <v>7</v>
      </c>
      <c r="F899" s="7" t="s">
        <v>795</v>
      </c>
    </row>
    <row r="900" spans="1:6" ht="12.75">
      <c r="A900" s="6">
        <v>45628.620827094906</v>
      </c>
      <c r="B900" s="7" t="s">
        <v>18</v>
      </c>
      <c r="C900" s="5" t="str">
        <f>LEFT(Form_Responses1[[#This Row],[問１　あなたは何年生ですか。]],3)</f>
        <v>中学校</v>
      </c>
      <c r="D900" s="7" t="s">
        <v>796</v>
      </c>
      <c r="E900" s="7" t="s">
        <v>10</v>
      </c>
      <c r="F900" s="7" t="s">
        <v>52</v>
      </c>
    </row>
    <row r="901" spans="1:6" ht="12.75">
      <c r="A901" s="6">
        <v>45628.622187627319</v>
      </c>
      <c r="B901" s="7" t="s">
        <v>18</v>
      </c>
      <c r="C901" s="5" t="str">
        <f>LEFT(Form_Responses1[[#This Row],[問１　あなたは何年生ですか。]],3)</f>
        <v>中学校</v>
      </c>
      <c r="D901" s="7" t="s">
        <v>12</v>
      </c>
      <c r="E901" s="7" t="s">
        <v>10</v>
      </c>
      <c r="F901" s="7" t="s">
        <v>797</v>
      </c>
    </row>
    <row r="902" spans="1:6" ht="12.75">
      <c r="A902" s="6">
        <v>45628.622851817127</v>
      </c>
      <c r="B902" s="7" t="s">
        <v>18</v>
      </c>
      <c r="C902" s="5" t="str">
        <f>LEFT(Form_Responses1[[#This Row],[問１　あなたは何年生ですか。]],3)</f>
        <v>中学校</v>
      </c>
      <c r="D902" s="7" t="s">
        <v>6</v>
      </c>
      <c r="E902" s="7" t="s">
        <v>10</v>
      </c>
      <c r="F902" s="7" t="s">
        <v>798</v>
      </c>
    </row>
    <row r="903" spans="1:6" ht="12.75">
      <c r="A903" s="6">
        <v>45628.62385290509</v>
      </c>
      <c r="B903" s="7" t="s">
        <v>18</v>
      </c>
      <c r="C903" s="5" t="str">
        <f>LEFT(Form_Responses1[[#This Row],[問１　あなたは何年生ですか。]],3)</f>
        <v>中学校</v>
      </c>
      <c r="D903" s="7" t="s">
        <v>6</v>
      </c>
      <c r="E903" s="7" t="s">
        <v>7</v>
      </c>
      <c r="F903" s="7" t="s">
        <v>799</v>
      </c>
    </row>
    <row r="904" spans="1:6" ht="12.75">
      <c r="A904" s="6">
        <v>45628.626824756946</v>
      </c>
      <c r="B904" s="7" t="s">
        <v>18</v>
      </c>
      <c r="C904" s="5" t="str">
        <f>LEFT(Form_Responses1[[#This Row],[問１　あなたは何年生ですか。]],3)</f>
        <v>中学校</v>
      </c>
      <c r="D904" s="7" t="s">
        <v>6</v>
      </c>
      <c r="E904" s="7" t="s">
        <v>7</v>
      </c>
      <c r="F904" s="7" t="s">
        <v>800</v>
      </c>
    </row>
    <row r="905" spans="1:6" ht="12.75">
      <c r="A905" s="6">
        <v>45628.635316747685</v>
      </c>
      <c r="B905" s="7" t="s">
        <v>5</v>
      </c>
      <c r="C905" s="5" t="str">
        <f>LEFT(Form_Responses1[[#This Row],[問１　あなたは何年生ですか。]],3)</f>
        <v>中学校</v>
      </c>
      <c r="D905" s="7" t="s">
        <v>24</v>
      </c>
      <c r="E905" s="7" t="s">
        <v>7</v>
      </c>
      <c r="F905" s="7" t="s">
        <v>801</v>
      </c>
    </row>
    <row r="906" spans="1:6" ht="12.75">
      <c r="A906" s="6">
        <v>45628.636184861112</v>
      </c>
      <c r="B906" s="7" t="s">
        <v>5</v>
      </c>
      <c r="C906" s="5" t="str">
        <f>LEFT(Form_Responses1[[#This Row],[問１　あなたは何年生ですか。]],3)</f>
        <v>中学校</v>
      </c>
      <c r="D906" s="7" t="s">
        <v>802</v>
      </c>
      <c r="E906" s="7" t="s">
        <v>15</v>
      </c>
      <c r="F906" s="7" t="s">
        <v>803</v>
      </c>
    </row>
    <row r="907" spans="1:6" ht="12.75">
      <c r="A907" s="6">
        <v>45628.636386909726</v>
      </c>
      <c r="B907" s="7" t="s">
        <v>5</v>
      </c>
      <c r="C907" s="5" t="str">
        <f>LEFT(Form_Responses1[[#This Row],[問１　あなたは何年生ですか。]],3)</f>
        <v>中学校</v>
      </c>
      <c r="D907" s="7" t="s">
        <v>17</v>
      </c>
      <c r="E907" s="7" t="s">
        <v>10</v>
      </c>
      <c r="F907" s="8"/>
    </row>
    <row r="908" spans="1:6" ht="12.75">
      <c r="A908" s="6">
        <v>45628.637166851855</v>
      </c>
      <c r="B908" s="7" t="s">
        <v>5</v>
      </c>
      <c r="C908" s="5" t="str">
        <f>LEFT(Form_Responses1[[#This Row],[問１　あなたは何年生ですか。]],3)</f>
        <v>中学校</v>
      </c>
      <c r="D908" s="7" t="s">
        <v>6</v>
      </c>
      <c r="E908" s="7" t="s">
        <v>10</v>
      </c>
      <c r="F908" s="7" t="s">
        <v>804</v>
      </c>
    </row>
    <row r="909" spans="1:6" ht="12.75">
      <c r="A909" s="6">
        <v>45628.637686597227</v>
      </c>
      <c r="B909" s="7" t="s">
        <v>5</v>
      </c>
      <c r="C909" s="5" t="str">
        <f>LEFT(Form_Responses1[[#This Row],[問１　あなたは何年生ですか。]],3)</f>
        <v>中学校</v>
      </c>
      <c r="D909" s="7" t="s">
        <v>19</v>
      </c>
      <c r="E909" s="7" t="s">
        <v>10</v>
      </c>
      <c r="F909" s="8"/>
    </row>
    <row r="910" spans="1:6" ht="12.75">
      <c r="A910" s="6">
        <v>45628.637865983794</v>
      </c>
      <c r="B910" s="7" t="s">
        <v>5</v>
      </c>
      <c r="C910" s="5" t="str">
        <f>LEFT(Form_Responses1[[#This Row],[問１　あなたは何年生ですか。]],3)</f>
        <v>中学校</v>
      </c>
      <c r="D910" s="7" t="s">
        <v>6</v>
      </c>
      <c r="E910" s="7" t="s">
        <v>7</v>
      </c>
      <c r="F910" s="7" t="s">
        <v>805</v>
      </c>
    </row>
    <row r="911" spans="1:6" ht="12.75">
      <c r="A911" s="6">
        <v>45628.638178946756</v>
      </c>
      <c r="B911" s="7" t="s">
        <v>5</v>
      </c>
      <c r="C911" s="5" t="str">
        <f>LEFT(Form_Responses1[[#This Row],[問１　あなたは何年生ですか。]],3)</f>
        <v>中学校</v>
      </c>
      <c r="D911" s="7" t="s">
        <v>19</v>
      </c>
      <c r="E911" s="7" t="s">
        <v>10</v>
      </c>
      <c r="F911" s="7" t="s">
        <v>235</v>
      </c>
    </row>
    <row r="912" spans="1:6" ht="12.75">
      <c r="A912" s="6">
        <v>45628.638193379629</v>
      </c>
      <c r="B912" s="7" t="s">
        <v>5</v>
      </c>
      <c r="C912" s="5" t="str">
        <f>LEFT(Form_Responses1[[#This Row],[問１　あなたは何年生ですか。]],3)</f>
        <v>中学校</v>
      </c>
      <c r="D912" s="7" t="s">
        <v>6</v>
      </c>
      <c r="E912" s="7" t="s">
        <v>10</v>
      </c>
      <c r="F912" s="8"/>
    </row>
    <row r="913" spans="1:6" ht="12.75">
      <c r="A913" s="6">
        <v>45628.638344537037</v>
      </c>
      <c r="B913" s="7" t="s">
        <v>5</v>
      </c>
      <c r="C913" s="5" t="str">
        <f>LEFT(Form_Responses1[[#This Row],[問１　あなたは何年生ですか。]],3)</f>
        <v>中学校</v>
      </c>
      <c r="D913" s="7" t="s">
        <v>6</v>
      </c>
      <c r="E913" s="7" t="s">
        <v>10</v>
      </c>
      <c r="F913" s="7" t="s">
        <v>806</v>
      </c>
    </row>
    <row r="914" spans="1:6" ht="12.75">
      <c r="A914" s="6">
        <v>45628.638445497687</v>
      </c>
      <c r="B914" s="7" t="s">
        <v>5</v>
      </c>
      <c r="C914" s="5" t="str">
        <f>LEFT(Form_Responses1[[#This Row],[問１　あなたは何年生ですか。]],3)</f>
        <v>中学校</v>
      </c>
      <c r="D914" s="7" t="s">
        <v>6</v>
      </c>
      <c r="E914" s="7" t="s">
        <v>10</v>
      </c>
      <c r="F914" s="7" t="s">
        <v>345</v>
      </c>
    </row>
    <row r="915" spans="1:6" ht="12.75">
      <c r="A915" s="6">
        <v>45628.638745266202</v>
      </c>
      <c r="B915" s="7" t="s">
        <v>5</v>
      </c>
      <c r="C915" s="5" t="str">
        <f>LEFT(Form_Responses1[[#This Row],[問１　あなたは何年生ですか。]],3)</f>
        <v>中学校</v>
      </c>
      <c r="D915" s="7" t="s">
        <v>17</v>
      </c>
      <c r="E915" s="7" t="s">
        <v>10</v>
      </c>
      <c r="F915" s="7" t="s">
        <v>807</v>
      </c>
    </row>
    <row r="916" spans="1:6" ht="12.75">
      <c r="A916" s="6">
        <v>45628.639035011569</v>
      </c>
      <c r="B916" s="7" t="s">
        <v>5</v>
      </c>
      <c r="C916" s="5" t="str">
        <f>LEFT(Form_Responses1[[#This Row],[問１　あなたは何年生ですか。]],3)</f>
        <v>中学校</v>
      </c>
      <c r="D916" s="7" t="s">
        <v>19</v>
      </c>
      <c r="E916" s="7" t="s">
        <v>10</v>
      </c>
      <c r="F916" s="7" t="s">
        <v>808</v>
      </c>
    </row>
    <row r="917" spans="1:6" ht="12.75">
      <c r="A917" s="6">
        <v>45628.639159918981</v>
      </c>
      <c r="B917" s="7" t="s">
        <v>5</v>
      </c>
      <c r="C917" s="5" t="str">
        <f>LEFT(Form_Responses1[[#This Row],[問１　あなたは何年生ですか。]],3)</f>
        <v>中学校</v>
      </c>
      <c r="D917" s="7" t="s">
        <v>24</v>
      </c>
      <c r="E917" s="7" t="s">
        <v>10</v>
      </c>
      <c r="F917" s="7" t="s">
        <v>809</v>
      </c>
    </row>
    <row r="918" spans="1:6" ht="12.75">
      <c r="A918" s="6">
        <v>45628.639178576384</v>
      </c>
      <c r="B918" s="7" t="s">
        <v>5</v>
      </c>
      <c r="C918" s="5" t="str">
        <f>LEFT(Form_Responses1[[#This Row],[問１　あなたは何年生ですか。]],3)</f>
        <v>中学校</v>
      </c>
      <c r="D918" s="7" t="s">
        <v>17</v>
      </c>
      <c r="E918" s="7" t="s">
        <v>10</v>
      </c>
      <c r="F918" s="7" t="s">
        <v>72</v>
      </c>
    </row>
    <row r="919" spans="1:6" ht="12.75">
      <c r="A919" s="6">
        <v>45628.639185694439</v>
      </c>
      <c r="B919" s="7" t="s">
        <v>5</v>
      </c>
      <c r="C919" s="5" t="str">
        <f>LEFT(Form_Responses1[[#This Row],[問１　あなたは何年生ですか。]],3)</f>
        <v>中学校</v>
      </c>
      <c r="D919" s="7" t="s">
        <v>6</v>
      </c>
      <c r="E919" s="7" t="s">
        <v>10</v>
      </c>
      <c r="F919" s="8"/>
    </row>
    <row r="920" spans="1:6" ht="12.75">
      <c r="A920" s="6">
        <v>45628.639353414357</v>
      </c>
      <c r="B920" s="7" t="s">
        <v>5</v>
      </c>
      <c r="C920" s="5" t="str">
        <f>LEFT(Form_Responses1[[#This Row],[問１　あなたは何年生ですか。]],3)</f>
        <v>中学校</v>
      </c>
      <c r="D920" s="7" t="s">
        <v>9</v>
      </c>
      <c r="E920" s="7" t="s">
        <v>7</v>
      </c>
      <c r="F920" s="7" t="s">
        <v>810</v>
      </c>
    </row>
    <row r="921" spans="1:6" ht="12.75">
      <c r="A921" s="6">
        <v>45628.639625231481</v>
      </c>
      <c r="B921" s="7" t="s">
        <v>5</v>
      </c>
      <c r="C921" s="5" t="str">
        <f>LEFT(Form_Responses1[[#This Row],[問１　あなたは何年生ですか。]],3)</f>
        <v>中学校</v>
      </c>
      <c r="D921" s="7" t="s">
        <v>24</v>
      </c>
      <c r="E921" s="7" t="s">
        <v>10</v>
      </c>
      <c r="F921" s="7" t="s">
        <v>811</v>
      </c>
    </row>
    <row r="922" spans="1:6" ht="12.75">
      <c r="A922" s="6">
        <v>45628.639639386573</v>
      </c>
      <c r="B922" s="7" t="s">
        <v>5</v>
      </c>
      <c r="C922" s="5" t="str">
        <f>LEFT(Form_Responses1[[#This Row],[問１　あなたは何年生ですか。]],3)</f>
        <v>中学校</v>
      </c>
      <c r="D922" s="7" t="s">
        <v>6</v>
      </c>
      <c r="E922" s="7" t="s">
        <v>10</v>
      </c>
      <c r="F922" s="8"/>
    </row>
    <row r="923" spans="1:6" ht="12.75">
      <c r="A923" s="6">
        <v>45628.639689756943</v>
      </c>
      <c r="B923" s="7" t="s">
        <v>5</v>
      </c>
      <c r="C923" s="5" t="str">
        <f>LEFT(Form_Responses1[[#This Row],[問１　あなたは何年生ですか。]],3)</f>
        <v>中学校</v>
      </c>
      <c r="D923" s="7" t="s">
        <v>19</v>
      </c>
      <c r="E923" s="7" t="s">
        <v>10</v>
      </c>
      <c r="F923" s="7" t="s">
        <v>812</v>
      </c>
    </row>
    <row r="924" spans="1:6" ht="12.75">
      <c r="A924" s="6">
        <v>45628.63981868056</v>
      </c>
      <c r="B924" s="7" t="s">
        <v>5</v>
      </c>
      <c r="C924" s="5" t="str">
        <f>LEFT(Form_Responses1[[#This Row],[問１　あなたは何年生ですか。]],3)</f>
        <v>中学校</v>
      </c>
      <c r="D924" s="7" t="s">
        <v>6</v>
      </c>
      <c r="E924" s="7" t="s">
        <v>10</v>
      </c>
      <c r="F924" s="7" t="s">
        <v>813</v>
      </c>
    </row>
    <row r="925" spans="1:6" ht="12.75">
      <c r="A925" s="6">
        <v>45628.640172361112</v>
      </c>
      <c r="B925" s="7" t="s">
        <v>5</v>
      </c>
      <c r="C925" s="5" t="str">
        <f>LEFT(Form_Responses1[[#This Row],[問１　あなたは何年生ですか。]],3)</f>
        <v>中学校</v>
      </c>
      <c r="D925" s="7" t="s">
        <v>6</v>
      </c>
      <c r="E925" s="7" t="s">
        <v>10</v>
      </c>
      <c r="F925" s="7" t="s">
        <v>814</v>
      </c>
    </row>
    <row r="926" spans="1:6" ht="12.75">
      <c r="A926" s="6">
        <v>45628.640343831023</v>
      </c>
      <c r="B926" s="7" t="s">
        <v>5</v>
      </c>
      <c r="C926" s="5" t="str">
        <f>LEFT(Form_Responses1[[#This Row],[問１　あなたは何年生ですか。]],3)</f>
        <v>中学校</v>
      </c>
      <c r="D926" s="7" t="s">
        <v>17</v>
      </c>
      <c r="E926" s="7" t="s">
        <v>10</v>
      </c>
      <c r="F926" s="7" t="s">
        <v>815</v>
      </c>
    </row>
    <row r="927" spans="1:6" ht="12.75">
      <c r="A927" s="6">
        <v>45628.640626921297</v>
      </c>
      <c r="B927" s="7" t="s">
        <v>5</v>
      </c>
      <c r="C927" s="5" t="str">
        <f>LEFT(Form_Responses1[[#This Row],[問１　あなたは何年生ですか。]],3)</f>
        <v>中学校</v>
      </c>
      <c r="D927" s="7" t="s">
        <v>6</v>
      </c>
      <c r="E927" s="7" t="s">
        <v>10</v>
      </c>
      <c r="F927" s="7" t="s">
        <v>816</v>
      </c>
    </row>
    <row r="928" spans="1:6" ht="12.75">
      <c r="A928" s="6">
        <v>45628.640706307866</v>
      </c>
      <c r="B928" s="7" t="s">
        <v>5</v>
      </c>
      <c r="C928" s="5" t="str">
        <f>LEFT(Form_Responses1[[#This Row],[問１　あなたは何年生ですか。]],3)</f>
        <v>中学校</v>
      </c>
      <c r="D928" s="7" t="s">
        <v>6</v>
      </c>
      <c r="E928" s="7" t="s">
        <v>7</v>
      </c>
      <c r="F928" s="7" t="s">
        <v>817</v>
      </c>
    </row>
    <row r="929" spans="1:6" ht="12.75">
      <c r="A929" s="6">
        <v>45628.641067581018</v>
      </c>
      <c r="B929" s="7" t="s">
        <v>5</v>
      </c>
      <c r="C929" s="5" t="str">
        <f>LEFT(Form_Responses1[[#This Row],[問１　あなたは何年生ですか。]],3)</f>
        <v>中学校</v>
      </c>
      <c r="D929" s="7" t="s">
        <v>9</v>
      </c>
      <c r="E929" s="7" t="s">
        <v>10</v>
      </c>
      <c r="F929" s="7" t="s">
        <v>818</v>
      </c>
    </row>
    <row r="930" spans="1:6" ht="12.75">
      <c r="A930" s="6">
        <v>45628.642093101851</v>
      </c>
      <c r="B930" s="7" t="s">
        <v>5</v>
      </c>
      <c r="C930" s="5" t="str">
        <f>LEFT(Form_Responses1[[#This Row],[問１　あなたは何年生ですか。]],3)</f>
        <v>中学校</v>
      </c>
      <c r="D930" s="7" t="s">
        <v>19</v>
      </c>
      <c r="E930" s="7" t="s">
        <v>7</v>
      </c>
      <c r="F930" s="7" t="s">
        <v>156</v>
      </c>
    </row>
    <row r="931" spans="1:6" ht="12.75">
      <c r="A931" s="6">
        <v>45628.644830787038</v>
      </c>
      <c r="B931" s="7" t="s">
        <v>5</v>
      </c>
      <c r="C931" s="5" t="str">
        <f>LEFT(Form_Responses1[[#This Row],[問１　あなたは何年生ですか。]],3)</f>
        <v>中学校</v>
      </c>
      <c r="D931" s="7" t="s">
        <v>19</v>
      </c>
      <c r="E931" s="7" t="s">
        <v>10</v>
      </c>
      <c r="F931" s="7" t="s">
        <v>819</v>
      </c>
    </row>
    <row r="932" spans="1:6" ht="12.75">
      <c r="A932" s="6">
        <v>45628.647866145839</v>
      </c>
      <c r="B932" s="7" t="s">
        <v>18</v>
      </c>
      <c r="C932" s="5" t="str">
        <f>LEFT(Form_Responses1[[#This Row],[問１　あなたは何年生ですか。]],3)</f>
        <v>中学校</v>
      </c>
      <c r="D932" s="7" t="s">
        <v>6</v>
      </c>
      <c r="E932" s="7" t="s">
        <v>7</v>
      </c>
      <c r="F932" s="7" t="s">
        <v>820</v>
      </c>
    </row>
    <row r="933" spans="1:6" ht="12.75">
      <c r="A933" s="6">
        <v>45629.332967662034</v>
      </c>
      <c r="B933" s="7" t="s">
        <v>16</v>
      </c>
      <c r="C933" s="5" t="str">
        <f>LEFT(Form_Responses1[[#This Row],[問１　あなたは何年生ですか。]],3)</f>
        <v>中学校</v>
      </c>
      <c r="D933" s="7" t="s">
        <v>19</v>
      </c>
      <c r="E933" s="7" t="s">
        <v>7</v>
      </c>
      <c r="F933" s="7" t="s">
        <v>821</v>
      </c>
    </row>
    <row r="934" spans="1:6" ht="12.75">
      <c r="A934" s="6">
        <v>45629.333347291671</v>
      </c>
      <c r="B934" s="7" t="s">
        <v>16</v>
      </c>
      <c r="C934" s="5" t="str">
        <f>LEFT(Form_Responses1[[#This Row],[問１　あなたは何年生ですか。]],3)</f>
        <v>中学校</v>
      </c>
      <c r="D934" s="7" t="s">
        <v>24</v>
      </c>
      <c r="E934" s="7" t="s">
        <v>7</v>
      </c>
      <c r="F934" s="7" t="s">
        <v>822</v>
      </c>
    </row>
    <row r="935" spans="1:6" ht="12.75">
      <c r="A935" s="6">
        <v>45629.334001655094</v>
      </c>
      <c r="B935" s="7" t="s">
        <v>16</v>
      </c>
      <c r="C935" s="5" t="str">
        <f>LEFT(Form_Responses1[[#This Row],[問１　あなたは何年生ですか。]],3)</f>
        <v>中学校</v>
      </c>
      <c r="D935" s="7" t="s">
        <v>6</v>
      </c>
      <c r="E935" s="7" t="s">
        <v>10</v>
      </c>
      <c r="F935" s="7" t="s">
        <v>823</v>
      </c>
    </row>
    <row r="936" spans="1:6" ht="12.75">
      <c r="A936" s="6">
        <v>45629.334142905092</v>
      </c>
      <c r="B936" s="7" t="s">
        <v>16</v>
      </c>
      <c r="C936" s="5" t="str">
        <f>LEFT(Form_Responses1[[#This Row],[問１　あなたは何年生ですか。]],3)</f>
        <v>中学校</v>
      </c>
      <c r="D936" s="7" t="s">
        <v>19</v>
      </c>
      <c r="E936" s="7" t="s">
        <v>10</v>
      </c>
      <c r="F936" s="7" t="s">
        <v>824</v>
      </c>
    </row>
    <row r="937" spans="1:6" ht="12.75">
      <c r="A937" s="6">
        <v>45629.33525329861</v>
      </c>
      <c r="B937" s="7" t="s">
        <v>16</v>
      </c>
      <c r="C937" s="5" t="str">
        <f>LEFT(Form_Responses1[[#This Row],[問１　あなたは何年生ですか。]],3)</f>
        <v>中学校</v>
      </c>
      <c r="D937" s="7" t="s">
        <v>12</v>
      </c>
      <c r="E937" s="7" t="s">
        <v>7</v>
      </c>
      <c r="F937" s="7" t="s">
        <v>825</v>
      </c>
    </row>
    <row r="938" spans="1:6" ht="12.75">
      <c r="A938" s="6">
        <v>45629.336029953702</v>
      </c>
      <c r="B938" s="7" t="s">
        <v>16</v>
      </c>
      <c r="C938" s="5" t="str">
        <f>LEFT(Form_Responses1[[#This Row],[問１　あなたは何年生ですか。]],3)</f>
        <v>中学校</v>
      </c>
      <c r="D938" s="7" t="s">
        <v>19</v>
      </c>
      <c r="E938" s="7" t="s">
        <v>67</v>
      </c>
      <c r="F938" s="7" t="s">
        <v>826</v>
      </c>
    </row>
    <row r="939" spans="1:6" ht="12.75">
      <c r="A939" s="6">
        <v>45629.341178587958</v>
      </c>
      <c r="B939" s="7" t="s">
        <v>16</v>
      </c>
      <c r="C939" s="5" t="str">
        <f>LEFT(Form_Responses1[[#This Row],[問１　あなたは何年生ですか。]],3)</f>
        <v>中学校</v>
      </c>
      <c r="D939" s="7" t="s">
        <v>6</v>
      </c>
      <c r="E939" s="7" t="s">
        <v>10</v>
      </c>
      <c r="F939" s="7" t="s">
        <v>827</v>
      </c>
    </row>
    <row r="940" spans="1:6" ht="12.75">
      <c r="A940" s="6">
        <v>45629.342215381941</v>
      </c>
      <c r="B940" s="7" t="s">
        <v>16</v>
      </c>
      <c r="C940" s="5" t="str">
        <f>LEFT(Form_Responses1[[#This Row],[問１　あなたは何年生ですか。]],3)</f>
        <v>中学校</v>
      </c>
      <c r="D940" s="7" t="s">
        <v>12</v>
      </c>
      <c r="E940" s="7" t="s">
        <v>10</v>
      </c>
      <c r="F940" s="7" t="s">
        <v>828</v>
      </c>
    </row>
    <row r="941" spans="1:6" ht="12.75">
      <c r="A941" s="6">
        <v>45629.342243483799</v>
      </c>
      <c r="B941" s="7" t="s">
        <v>16</v>
      </c>
      <c r="C941" s="5" t="str">
        <f>LEFT(Form_Responses1[[#This Row],[問１　あなたは何年生ですか。]],3)</f>
        <v>中学校</v>
      </c>
      <c r="D941" s="7" t="s">
        <v>24</v>
      </c>
      <c r="E941" s="7" t="s">
        <v>7</v>
      </c>
      <c r="F941" s="7" t="s">
        <v>829</v>
      </c>
    </row>
    <row r="942" spans="1:6" ht="12.75">
      <c r="A942" s="6">
        <v>45629.342583576392</v>
      </c>
      <c r="B942" s="7" t="s">
        <v>16</v>
      </c>
      <c r="C942" s="5" t="str">
        <f>LEFT(Form_Responses1[[#This Row],[問１　あなたは何年生ですか。]],3)</f>
        <v>中学校</v>
      </c>
      <c r="D942" s="7" t="s">
        <v>6</v>
      </c>
      <c r="E942" s="7" t="s">
        <v>10</v>
      </c>
      <c r="F942" s="8"/>
    </row>
    <row r="943" spans="1:6" ht="12.75">
      <c r="A943" s="6">
        <v>45629.34334496528</v>
      </c>
      <c r="B943" s="7" t="s">
        <v>16</v>
      </c>
      <c r="C943" s="5" t="str">
        <f>LEFT(Form_Responses1[[#This Row],[問１　あなたは何年生ですか。]],3)</f>
        <v>中学校</v>
      </c>
      <c r="D943" s="7" t="s">
        <v>19</v>
      </c>
      <c r="E943" s="7" t="s">
        <v>10</v>
      </c>
      <c r="F943" s="7" t="s">
        <v>271</v>
      </c>
    </row>
    <row r="944" spans="1:6" ht="12.75">
      <c r="A944" s="6">
        <v>45629.343836944448</v>
      </c>
      <c r="B944" s="7" t="s">
        <v>16</v>
      </c>
      <c r="C944" s="5" t="str">
        <f>LEFT(Form_Responses1[[#This Row],[問１　あなたは何年生ですか。]],3)</f>
        <v>中学校</v>
      </c>
      <c r="D944" s="7" t="s">
        <v>19</v>
      </c>
      <c r="E944" s="7" t="s">
        <v>15</v>
      </c>
      <c r="F944" s="7" t="s">
        <v>830</v>
      </c>
    </row>
    <row r="945" spans="1:6" ht="12.75">
      <c r="A945" s="6">
        <v>45629.344589421293</v>
      </c>
      <c r="B945" s="7" t="s">
        <v>16</v>
      </c>
      <c r="C945" s="5" t="str">
        <f>LEFT(Form_Responses1[[#This Row],[問１　あなたは何年生ですか。]],3)</f>
        <v>中学校</v>
      </c>
      <c r="D945" s="7" t="s">
        <v>19</v>
      </c>
      <c r="E945" s="7" t="s">
        <v>10</v>
      </c>
      <c r="F945" s="7" t="s">
        <v>831</v>
      </c>
    </row>
    <row r="946" spans="1:6" ht="12.75">
      <c r="A946" s="6">
        <v>45629.345343958332</v>
      </c>
      <c r="B946" s="7" t="s">
        <v>16</v>
      </c>
      <c r="C946" s="5" t="str">
        <f>LEFT(Form_Responses1[[#This Row],[問１　あなたは何年生ですか。]],3)</f>
        <v>中学校</v>
      </c>
      <c r="D946" s="7" t="s">
        <v>19</v>
      </c>
      <c r="E946" s="7" t="s">
        <v>15</v>
      </c>
      <c r="F946" s="7" t="s">
        <v>832</v>
      </c>
    </row>
    <row r="947" spans="1:6" ht="12.75">
      <c r="A947" s="6">
        <v>45629.346716400461</v>
      </c>
      <c r="B947" s="7" t="s">
        <v>16</v>
      </c>
      <c r="C947" s="5" t="str">
        <f>LEFT(Form_Responses1[[#This Row],[問１　あなたは何年生ですか。]],3)</f>
        <v>中学校</v>
      </c>
      <c r="D947" s="7" t="s">
        <v>6</v>
      </c>
      <c r="E947" s="7" t="s">
        <v>7</v>
      </c>
      <c r="F947" s="7" t="s">
        <v>833</v>
      </c>
    </row>
    <row r="948" spans="1:6" ht="12.75">
      <c r="A948" s="6">
        <v>45629.347141296297</v>
      </c>
      <c r="B948" s="7" t="s">
        <v>16</v>
      </c>
      <c r="C948" s="5" t="str">
        <f>LEFT(Form_Responses1[[#This Row],[問１　あなたは何年生ですか。]],3)</f>
        <v>中学校</v>
      </c>
      <c r="D948" s="7" t="s">
        <v>19</v>
      </c>
      <c r="E948" s="7" t="s">
        <v>10</v>
      </c>
      <c r="F948" s="7" t="s">
        <v>834</v>
      </c>
    </row>
    <row r="949" spans="1:6" ht="12.75">
      <c r="A949" s="6">
        <v>45629.347379467596</v>
      </c>
      <c r="B949" s="7" t="s">
        <v>13</v>
      </c>
      <c r="C949" s="5" t="str">
        <f>LEFT(Form_Responses1[[#This Row],[問１　あなたは何年生ですか。]],3)</f>
        <v>小学校</v>
      </c>
      <c r="D949" s="7" t="s">
        <v>24</v>
      </c>
      <c r="E949" s="7" t="s">
        <v>10</v>
      </c>
      <c r="F949" s="7" t="s">
        <v>835</v>
      </c>
    </row>
    <row r="950" spans="1:6" ht="12.75">
      <c r="A950" s="6">
        <v>45629.347597939814</v>
      </c>
      <c r="B950" s="7" t="s">
        <v>16</v>
      </c>
      <c r="C950" s="5" t="str">
        <f>LEFT(Form_Responses1[[#This Row],[問１　あなたは何年生ですか。]],3)</f>
        <v>中学校</v>
      </c>
      <c r="D950" s="7" t="s">
        <v>6</v>
      </c>
      <c r="E950" s="7" t="s">
        <v>7</v>
      </c>
      <c r="F950" s="7" t="s">
        <v>836</v>
      </c>
    </row>
    <row r="951" spans="1:6" ht="12.75">
      <c r="A951" s="6">
        <v>45629.350181319445</v>
      </c>
      <c r="B951" s="7" t="s">
        <v>16</v>
      </c>
      <c r="C951" s="5" t="str">
        <f>LEFT(Form_Responses1[[#This Row],[問１　あなたは何年生ですか。]],3)</f>
        <v>中学校</v>
      </c>
      <c r="D951" s="7" t="s">
        <v>19</v>
      </c>
      <c r="E951" s="7" t="s">
        <v>10</v>
      </c>
      <c r="F951" s="7" t="s">
        <v>837</v>
      </c>
    </row>
    <row r="952" spans="1:6" ht="12.75">
      <c r="A952" s="6">
        <v>45629.350944710648</v>
      </c>
      <c r="B952" s="7" t="s">
        <v>5</v>
      </c>
      <c r="C952" s="5" t="str">
        <f>LEFT(Form_Responses1[[#This Row],[問１　あなたは何年生ですか。]],3)</f>
        <v>中学校</v>
      </c>
      <c r="D952" s="7" t="s">
        <v>6</v>
      </c>
      <c r="E952" s="7" t="s">
        <v>10</v>
      </c>
      <c r="F952" s="7" t="s">
        <v>838</v>
      </c>
    </row>
    <row r="953" spans="1:6" ht="12.75">
      <c r="A953" s="6">
        <v>45629.351132314812</v>
      </c>
      <c r="B953" s="7" t="s">
        <v>5</v>
      </c>
      <c r="C953" s="5" t="str">
        <f>LEFT(Form_Responses1[[#This Row],[問１　あなたは何年生ですか。]],3)</f>
        <v>中学校</v>
      </c>
      <c r="D953" s="7" t="s">
        <v>6</v>
      </c>
      <c r="E953" s="7" t="s">
        <v>10</v>
      </c>
      <c r="F953" s="7" t="s">
        <v>839</v>
      </c>
    </row>
    <row r="954" spans="1:6" ht="12.75">
      <c r="A954" s="6">
        <v>45629.351138680555</v>
      </c>
      <c r="B954" s="7" t="s">
        <v>5</v>
      </c>
      <c r="C954" s="5" t="str">
        <f>LEFT(Form_Responses1[[#This Row],[問１　あなたは何年生ですか。]],3)</f>
        <v>中学校</v>
      </c>
      <c r="D954" s="7" t="s">
        <v>19</v>
      </c>
      <c r="E954" s="7" t="s">
        <v>10</v>
      </c>
      <c r="F954" s="7" t="s">
        <v>840</v>
      </c>
    </row>
    <row r="955" spans="1:6" ht="12.75">
      <c r="A955" s="6">
        <v>45629.351225937498</v>
      </c>
      <c r="B955" s="7" t="s">
        <v>5</v>
      </c>
      <c r="C955" s="5" t="str">
        <f>LEFT(Form_Responses1[[#This Row],[問１　あなたは何年生ですか。]],3)</f>
        <v>中学校</v>
      </c>
      <c r="D955" s="7" t="s">
        <v>19</v>
      </c>
      <c r="E955" s="7" t="s">
        <v>10</v>
      </c>
      <c r="F955" s="7" t="s">
        <v>841</v>
      </c>
    </row>
    <row r="956" spans="1:6" ht="12.75">
      <c r="A956" s="6">
        <v>45629.35124581019</v>
      </c>
      <c r="B956" s="7" t="s">
        <v>16</v>
      </c>
      <c r="C956" s="5" t="str">
        <f>LEFT(Form_Responses1[[#This Row],[問１　あなたは何年生ですか。]],3)</f>
        <v>中学校</v>
      </c>
      <c r="D956" s="7" t="s">
        <v>6</v>
      </c>
      <c r="E956" s="7" t="s">
        <v>15</v>
      </c>
      <c r="F956" s="7" t="s">
        <v>842</v>
      </c>
    </row>
    <row r="957" spans="1:6" ht="12.75">
      <c r="A957" s="6">
        <v>45629.351304340278</v>
      </c>
      <c r="B957" s="7" t="s">
        <v>5</v>
      </c>
      <c r="C957" s="5" t="str">
        <f>LEFT(Form_Responses1[[#This Row],[問１　あなたは何年生ですか。]],3)</f>
        <v>中学校</v>
      </c>
      <c r="D957" s="7" t="s">
        <v>14</v>
      </c>
      <c r="E957" s="7" t="s">
        <v>7</v>
      </c>
      <c r="F957" s="7" t="s">
        <v>843</v>
      </c>
    </row>
    <row r="958" spans="1:6" ht="12.75">
      <c r="A958" s="6">
        <v>45629.351332719903</v>
      </c>
      <c r="B958" s="7" t="s">
        <v>5</v>
      </c>
      <c r="C958" s="5" t="str">
        <f>LEFT(Form_Responses1[[#This Row],[問１　あなたは何年生ですか。]],3)</f>
        <v>中学校</v>
      </c>
      <c r="D958" s="7" t="s">
        <v>19</v>
      </c>
      <c r="E958" s="7" t="s">
        <v>7</v>
      </c>
      <c r="F958" s="8"/>
    </row>
    <row r="959" spans="1:6" ht="12.75">
      <c r="A959" s="6">
        <v>45629.351402766202</v>
      </c>
      <c r="B959" s="7" t="s">
        <v>5</v>
      </c>
      <c r="C959" s="5" t="str">
        <f>LEFT(Form_Responses1[[#This Row],[問１　あなたは何年生ですか。]],3)</f>
        <v>中学校</v>
      </c>
      <c r="D959" s="7" t="s">
        <v>6</v>
      </c>
      <c r="E959" s="7" t="s">
        <v>10</v>
      </c>
      <c r="F959" s="7" t="s">
        <v>844</v>
      </c>
    </row>
    <row r="960" spans="1:6" ht="12.75">
      <c r="A960" s="6">
        <v>45629.351457881945</v>
      </c>
      <c r="B960" s="7" t="s">
        <v>5</v>
      </c>
      <c r="C960" s="5" t="str">
        <f>LEFT(Form_Responses1[[#This Row],[問１　あなたは何年生ですか。]],3)</f>
        <v>中学校</v>
      </c>
      <c r="D960" s="7" t="s">
        <v>6</v>
      </c>
      <c r="E960" s="7" t="s">
        <v>7</v>
      </c>
      <c r="F960" s="7" t="s">
        <v>845</v>
      </c>
    </row>
    <row r="961" spans="1:6" ht="12.75">
      <c r="A961" s="6">
        <v>45629.35164241898</v>
      </c>
      <c r="B961" s="7" t="s">
        <v>5</v>
      </c>
      <c r="C961" s="5" t="str">
        <f>LEFT(Form_Responses1[[#This Row],[問１　あなたは何年生ですか。]],3)</f>
        <v>中学校</v>
      </c>
      <c r="D961" s="7" t="s">
        <v>24</v>
      </c>
      <c r="E961" s="7" t="s">
        <v>10</v>
      </c>
      <c r="F961" s="7" t="s">
        <v>846</v>
      </c>
    </row>
    <row r="962" spans="1:6" ht="12.75">
      <c r="A962" s="6">
        <v>45629.351662905094</v>
      </c>
      <c r="B962" s="7" t="s">
        <v>5</v>
      </c>
      <c r="C962" s="5" t="str">
        <f>LEFT(Form_Responses1[[#This Row],[問１　あなたは何年生ですか。]],3)</f>
        <v>中学校</v>
      </c>
      <c r="D962" s="7" t="s">
        <v>19</v>
      </c>
      <c r="E962" s="7" t="s">
        <v>10</v>
      </c>
      <c r="F962" s="7" t="s">
        <v>847</v>
      </c>
    </row>
    <row r="963" spans="1:6" ht="12.75">
      <c r="A963" s="6">
        <v>45629.351685324073</v>
      </c>
      <c r="B963" s="7" t="s">
        <v>5</v>
      </c>
      <c r="C963" s="5" t="str">
        <f>LEFT(Form_Responses1[[#This Row],[問１　あなたは何年生ですか。]],3)</f>
        <v>中学校</v>
      </c>
      <c r="D963" s="7" t="s">
        <v>19</v>
      </c>
      <c r="E963" s="7" t="s">
        <v>7</v>
      </c>
      <c r="F963" s="7" t="s">
        <v>848</v>
      </c>
    </row>
    <row r="964" spans="1:6" ht="12.75">
      <c r="A964" s="6">
        <v>45629.351685578702</v>
      </c>
      <c r="B964" s="7" t="s">
        <v>5</v>
      </c>
      <c r="C964" s="5" t="str">
        <f>LEFT(Form_Responses1[[#This Row],[問１　あなたは何年生ですか。]],3)</f>
        <v>中学校</v>
      </c>
      <c r="D964" s="7" t="s">
        <v>14</v>
      </c>
      <c r="E964" s="7" t="s">
        <v>7</v>
      </c>
      <c r="F964" s="7" t="s">
        <v>849</v>
      </c>
    </row>
    <row r="965" spans="1:6" ht="12.75">
      <c r="A965" s="6">
        <v>45629.351692418983</v>
      </c>
      <c r="B965" s="7" t="s">
        <v>5</v>
      </c>
      <c r="C965" s="5" t="str">
        <f>LEFT(Form_Responses1[[#This Row],[問１　あなたは何年生ですか。]],3)</f>
        <v>中学校</v>
      </c>
      <c r="D965" s="7" t="s">
        <v>6</v>
      </c>
      <c r="E965" s="7" t="s">
        <v>7</v>
      </c>
      <c r="F965" s="7" t="s">
        <v>850</v>
      </c>
    </row>
    <row r="966" spans="1:6" ht="12.75">
      <c r="A966" s="6">
        <v>45629.351698773149</v>
      </c>
      <c r="B966" s="7" t="s">
        <v>5</v>
      </c>
      <c r="C966" s="5" t="str">
        <f>LEFT(Form_Responses1[[#This Row],[問１　あなたは何年生ですか。]],3)</f>
        <v>中学校</v>
      </c>
      <c r="D966" s="7" t="s">
        <v>6</v>
      </c>
      <c r="E966" s="7" t="s">
        <v>10</v>
      </c>
      <c r="F966" s="7" t="s">
        <v>851</v>
      </c>
    </row>
    <row r="967" spans="1:6" ht="12.75">
      <c r="A967" s="6">
        <v>45629.351864675926</v>
      </c>
      <c r="B967" s="7" t="s">
        <v>5</v>
      </c>
      <c r="C967" s="5" t="str">
        <f>LEFT(Form_Responses1[[#This Row],[問１　あなたは何年生ですか。]],3)</f>
        <v>中学校</v>
      </c>
      <c r="D967" s="7" t="s">
        <v>12</v>
      </c>
      <c r="E967" s="7" t="s">
        <v>7</v>
      </c>
      <c r="F967" s="7" t="s">
        <v>852</v>
      </c>
    </row>
    <row r="968" spans="1:6" ht="12.75">
      <c r="A968" s="6">
        <v>45629.351977696759</v>
      </c>
      <c r="B968" s="7" t="s">
        <v>5</v>
      </c>
      <c r="C968" s="5" t="str">
        <f>LEFT(Form_Responses1[[#This Row],[問１　あなたは何年生ですか。]],3)</f>
        <v>中学校</v>
      </c>
      <c r="D968" s="7" t="s">
        <v>12</v>
      </c>
      <c r="E968" s="7" t="s">
        <v>7</v>
      </c>
      <c r="F968" s="7" t="s">
        <v>853</v>
      </c>
    </row>
    <row r="969" spans="1:6" ht="12.75">
      <c r="A969" s="6">
        <v>45629.352029305555</v>
      </c>
      <c r="B969" s="7" t="s">
        <v>5</v>
      </c>
      <c r="C969" s="5" t="str">
        <f>LEFT(Form_Responses1[[#This Row],[問１　あなたは何年生ですか。]],3)</f>
        <v>中学校</v>
      </c>
      <c r="D969" s="7" t="s">
        <v>19</v>
      </c>
      <c r="E969" s="7" t="s">
        <v>10</v>
      </c>
      <c r="F969" s="7" t="s">
        <v>854</v>
      </c>
    </row>
    <row r="970" spans="1:6" ht="12.75">
      <c r="A970" s="6">
        <v>45629.352070219902</v>
      </c>
      <c r="B970" s="7" t="s">
        <v>5</v>
      </c>
      <c r="C970" s="5" t="str">
        <f>LEFT(Form_Responses1[[#This Row],[問１　あなたは何年生ですか。]],3)</f>
        <v>中学校</v>
      </c>
      <c r="D970" s="7" t="s">
        <v>6</v>
      </c>
      <c r="E970" s="7" t="s">
        <v>7</v>
      </c>
      <c r="F970" s="7" t="s">
        <v>855</v>
      </c>
    </row>
    <row r="971" spans="1:6" ht="12.75">
      <c r="A971" s="6">
        <v>45629.352203437498</v>
      </c>
      <c r="B971" s="7" t="s">
        <v>5</v>
      </c>
      <c r="C971" s="5" t="str">
        <f>LEFT(Form_Responses1[[#This Row],[問１　あなたは何年生ですか。]],3)</f>
        <v>中学校</v>
      </c>
      <c r="D971" s="7" t="s">
        <v>19</v>
      </c>
      <c r="E971" s="7" t="s">
        <v>15</v>
      </c>
      <c r="F971" s="7" t="s">
        <v>856</v>
      </c>
    </row>
    <row r="972" spans="1:6" ht="12.75">
      <c r="A972" s="6">
        <v>45629.352222152782</v>
      </c>
      <c r="B972" s="7" t="s">
        <v>5</v>
      </c>
      <c r="C972" s="5" t="str">
        <f>LEFT(Form_Responses1[[#This Row],[問１　あなたは何年生ですか。]],3)</f>
        <v>中学校</v>
      </c>
      <c r="D972" s="7" t="s">
        <v>12</v>
      </c>
      <c r="E972" s="7" t="s">
        <v>10</v>
      </c>
      <c r="F972" s="7" t="s">
        <v>857</v>
      </c>
    </row>
    <row r="973" spans="1:6" ht="12.75">
      <c r="A973" s="6">
        <v>45629.35307138889</v>
      </c>
      <c r="B973" s="7" t="s">
        <v>5</v>
      </c>
      <c r="C973" s="5" t="str">
        <f>LEFT(Form_Responses1[[#This Row],[問１　あなたは何年生ですか。]],3)</f>
        <v>中学校</v>
      </c>
      <c r="D973" s="7" t="s">
        <v>17</v>
      </c>
      <c r="E973" s="7" t="s">
        <v>7</v>
      </c>
      <c r="F973" s="7" t="s">
        <v>858</v>
      </c>
    </row>
    <row r="974" spans="1:6" ht="12.75">
      <c r="A974" s="6">
        <v>45629.359609780091</v>
      </c>
      <c r="B974" s="7" t="s">
        <v>16</v>
      </c>
      <c r="C974" s="5" t="str">
        <f>LEFT(Form_Responses1[[#This Row],[問１　あなたは何年生ですか。]],3)</f>
        <v>中学校</v>
      </c>
      <c r="D974" s="7" t="s">
        <v>6</v>
      </c>
      <c r="E974" s="7" t="s">
        <v>10</v>
      </c>
      <c r="F974" s="7" t="s">
        <v>859</v>
      </c>
    </row>
    <row r="975" spans="1:6" ht="12.75">
      <c r="A975" s="6">
        <v>45629.36440903935</v>
      </c>
      <c r="B975" s="7" t="s">
        <v>16</v>
      </c>
      <c r="C975" s="5" t="str">
        <f>LEFT(Form_Responses1[[#This Row],[問１　あなたは何年生ですか。]],3)</f>
        <v>中学校</v>
      </c>
      <c r="D975" s="7" t="s">
        <v>19</v>
      </c>
      <c r="E975" s="7" t="s">
        <v>10</v>
      </c>
      <c r="F975" s="7" t="s">
        <v>860</v>
      </c>
    </row>
    <row r="976" spans="1:6" ht="12.75">
      <c r="A976" s="6">
        <v>45629.364527268517</v>
      </c>
      <c r="B976" s="7" t="s">
        <v>13</v>
      </c>
      <c r="C976" s="5" t="str">
        <f>LEFT(Form_Responses1[[#This Row],[問１　あなたは何年生ですか。]],3)</f>
        <v>小学校</v>
      </c>
      <c r="D976" s="7" t="s">
        <v>9</v>
      </c>
      <c r="E976" s="7" t="s">
        <v>10</v>
      </c>
      <c r="F976" s="8"/>
    </row>
    <row r="977" spans="1:6" ht="12.75">
      <c r="A977" s="6">
        <v>45629.365935706017</v>
      </c>
      <c r="B977" s="7" t="s">
        <v>13</v>
      </c>
      <c r="C977" s="5" t="str">
        <f>LEFT(Form_Responses1[[#This Row],[問１　あなたは何年生ですか。]],3)</f>
        <v>小学校</v>
      </c>
      <c r="D977" s="7" t="s">
        <v>24</v>
      </c>
      <c r="E977" s="7" t="s">
        <v>10</v>
      </c>
      <c r="F977" s="8"/>
    </row>
    <row r="978" spans="1:6" ht="12.75">
      <c r="A978" s="6">
        <v>45629.366314085652</v>
      </c>
      <c r="B978" s="7" t="s">
        <v>11</v>
      </c>
      <c r="C978" s="5" t="str">
        <f>LEFT(Form_Responses1[[#This Row],[問１　あなたは何年生ですか。]],3)</f>
        <v>小学校</v>
      </c>
      <c r="D978" s="7" t="s">
        <v>22</v>
      </c>
      <c r="E978" s="7" t="s">
        <v>10</v>
      </c>
      <c r="F978" s="8"/>
    </row>
    <row r="979" spans="1:6" ht="12.75">
      <c r="A979" s="6">
        <v>45629.366468009262</v>
      </c>
      <c r="B979" s="7" t="s">
        <v>13</v>
      </c>
      <c r="C979" s="5" t="str">
        <f>LEFT(Form_Responses1[[#This Row],[問１　あなたは何年生ですか。]],3)</f>
        <v>小学校</v>
      </c>
      <c r="D979" s="7" t="s">
        <v>24</v>
      </c>
      <c r="E979" s="7" t="s">
        <v>10</v>
      </c>
      <c r="F979" s="8"/>
    </row>
    <row r="980" spans="1:6" ht="12.75">
      <c r="A980" s="6">
        <v>45629.366953425924</v>
      </c>
      <c r="B980" s="7" t="s">
        <v>13</v>
      </c>
      <c r="C980" s="5" t="str">
        <f>LEFT(Form_Responses1[[#This Row],[問１　あなたは何年生ですか。]],3)</f>
        <v>小学校</v>
      </c>
      <c r="D980" s="7" t="s">
        <v>24</v>
      </c>
      <c r="E980" s="7" t="s">
        <v>7</v>
      </c>
      <c r="F980" s="8"/>
    </row>
    <row r="981" spans="1:6" ht="12.75">
      <c r="A981" s="6">
        <v>45629.367044004626</v>
      </c>
      <c r="B981" s="7" t="s">
        <v>13</v>
      </c>
      <c r="C981" s="5" t="str">
        <f>LEFT(Form_Responses1[[#This Row],[問１　あなたは何年生ですか。]],3)</f>
        <v>小学校</v>
      </c>
      <c r="D981" s="7" t="s">
        <v>6</v>
      </c>
      <c r="E981" s="7" t="s">
        <v>10</v>
      </c>
      <c r="F981" s="8"/>
    </row>
    <row r="982" spans="1:6" ht="12.75">
      <c r="A982" s="6">
        <v>45629.367136215282</v>
      </c>
      <c r="B982" s="7" t="s">
        <v>13</v>
      </c>
      <c r="C982" s="5" t="str">
        <f>LEFT(Form_Responses1[[#This Row],[問１　あなたは何年生ですか。]],3)</f>
        <v>小学校</v>
      </c>
      <c r="D982" s="7" t="s">
        <v>6</v>
      </c>
      <c r="E982" s="7" t="s">
        <v>10</v>
      </c>
      <c r="F982" s="8"/>
    </row>
    <row r="983" spans="1:6" ht="12.75">
      <c r="A983" s="6">
        <v>45629.367143657408</v>
      </c>
      <c r="B983" s="7" t="s">
        <v>13</v>
      </c>
      <c r="C983" s="5" t="str">
        <f>LEFT(Form_Responses1[[#This Row],[問１　あなたは何年生ですか。]],3)</f>
        <v>小学校</v>
      </c>
      <c r="D983" s="7" t="s">
        <v>6</v>
      </c>
      <c r="E983" s="7" t="s">
        <v>10</v>
      </c>
      <c r="F983" s="8"/>
    </row>
    <row r="984" spans="1:6" ht="12.75">
      <c r="A984" s="6">
        <v>45629.367154120366</v>
      </c>
      <c r="B984" s="7" t="s">
        <v>13</v>
      </c>
      <c r="C984" s="5" t="str">
        <f>LEFT(Form_Responses1[[#This Row],[問１　あなたは何年生ですか。]],3)</f>
        <v>小学校</v>
      </c>
      <c r="D984" s="7" t="s">
        <v>9</v>
      </c>
      <c r="E984" s="7" t="s">
        <v>10</v>
      </c>
      <c r="F984" s="7" t="s">
        <v>336</v>
      </c>
    </row>
    <row r="985" spans="1:6" ht="12.75">
      <c r="A985" s="6">
        <v>45629.367169583333</v>
      </c>
      <c r="B985" s="7" t="s">
        <v>13</v>
      </c>
      <c r="C985" s="5" t="str">
        <f>LEFT(Form_Responses1[[#This Row],[問１　あなたは何年生ですか。]],3)</f>
        <v>小学校</v>
      </c>
      <c r="D985" s="7" t="s">
        <v>6</v>
      </c>
      <c r="E985" s="7" t="s">
        <v>10</v>
      </c>
      <c r="F985" s="7" t="s">
        <v>861</v>
      </c>
    </row>
    <row r="986" spans="1:6" ht="12.75">
      <c r="A986" s="6">
        <v>45629.367177650463</v>
      </c>
      <c r="B986" s="7" t="s">
        <v>13</v>
      </c>
      <c r="C986" s="5" t="str">
        <f>LEFT(Form_Responses1[[#This Row],[問１　あなたは何年生ですか。]],3)</f>
        <v>小学校</v>
      </c>
      <c r="D986" s="7" t="s">
        <v>9</v>
      </c>
      <c r="E986" s="7" t="s">
        <v>10</v>
      </c>
      <c r="F986" s="8"/>
    </row>
    <row r="987" spans="1:6" ht="12.75">
      <c r="A987" s="6">
        <v>45629.367217141204</v>
      </c>
      <c r="B987" s="7" t="s">
        <v>13</v>
      </c>
      <c r="C987" s="5" t="str">
        <f>LEFT(Form_Responses1[[#This Row],[問１　あなたは何年生ですか。]],3)</f>
        <v>小学校</v>
      </c>
      <c r="D987" s="7" t="s">
        <v>6</v>
      </c>
      <c r="E987" s="7" t="s">
        <v>10</v>
      </c>
      <c r="F987" s="8"/>
    </row>
    <row r="988" spans="1:6" ht="12.75">
      <c r="A988" s="6">
        <v>45629.367264710643</v>
      </c>
      <c r="B988" s="7" t="s">
        <v>13</v>
      </c>
      <c r="C988" s="5" t="str">
        <f>LEFT(Form_Responses1[[#This Row],[問１　あなたは何年生ですか。]],3)</f>
        <v>小学校</v>
      </c>
      <c r="D988" s="7" t="s">
        <v>17</v>
      </c>
      <c r="E988" s="7" t="s">
        <v>10</v>
      </c>
      <c r="F988" s="8"/>
    </row>
    <row r="989" spans="1:6" ht="12.75">
      <c r="A989" s="6">
        <v>45629.367304861109</v>
      </c>
      <c r="B989" s="7" t="s">
        <v>13</v>
      </c>
      <c r="C989" s="5" t="str">
        <f>LEFT(Form_Responses1[[#This Row],[問１　あなたは何年生ですか。]],3)</f>
        <v>小学校</v>
      </c>
      <c r="D989" s="7" t="s">
        <v>24</v>
      </c>
      <c r="E989" s="7" t="s">
        <v>10</v>
      </c>
      <c r="F989" s="8"/>
    </row>
    <row r="990" spans="1:6" ht="12.75">
      <c r="A990" s="6">
        <v>45629.367680254625</v>
      </c>
      <c r="B990" s="7" t="s">
        <v>13</v>
      </c>
      <c r="C990" s="5" t="str">
        <f>LEFT(Form_Responses1[[#This Row],[問１　あなたは何年生ですか。]],3)</f>
        <v>小学校</v>
      </c>
      <c r="D990" s="7" t="s">
        <v>14</v>
      </c>
      <c r="E990" s="7" t="s">
        <v>10</v>
      </c>
      <c r="F990" s="7" t="s">
        <v>862</v>
      </c>
    </row>
    <row r="991" spans="1:6" ht="12.75">
      <c r="A991" s="6">
        <v>45629.367775243052</v>
      </c>
      <c r="B991" s="7" t="s">
        <v>13</v>
      </c>
      <c r="C991" s="5" t="str">
        <f>LEFT(Form_Responses1[[#This Row],[問１　あなたは何年生ですか。]],3)</f>
        <v>小学校</v>
      </c>
      <c r="D991" s="7" t="s">
        <v>19</v>
      </c>
      <c r="E991" s="7" t="s">
        <v>10</v>
      </c>
      <c r="F991" s="8"/>
    </row>
    <row r="992" spans="1:6" ht="12.75">
      <c r="A992" s="6">
        <v>45629.367796087958</v>
      </c>
      <c r="B992" s="7" t="s">
        <v>13</v>
      </c>
      <c r="C992" s="5" t="str">
        <f>LEFT(Form_Responses1[[#This Row],[問１　あなたは何年生ですか。]],3)</f>
        <v>小学校</v>
      </c>
      <c r="D992" s="7" t="s">
        <v>6</v>
      </c>
      <c r="E992" s="7" t="s">
        <v>10</v>
      </c>
      <c r="F992" s="8"/>
    </row>
    <row r="993" spans="1:6" ht="12.75">
      <c r="A993" s="6">
        <v>45629.367797245373</v>
      </c>
      <c r="B993" s="7" t="s">
        <v>13</v>
      </c>
      <c r="C993" s="5" t="str">
        <f>LEFT(Form_Responses1[[#This Row],[問１　あなたは何年生ですか。]],3)</f>
        <v>小学校</v>
      </c>
      <c r="D993" s="7" t="s">
        <v>6</v>
      </c>
      <c r="E993" s="7" t="s">
        <v>10</v>
      </c>
      <c r="F993" s="8"/>
    </row>
    <row r="994" spans="1:6" ht="12.75">
      <c r="A994" s="6">
        <v>45629.367800162036</v>
      </c>
      <c r="B994" s="7" t="s">
        <v>13</v>
      </c>
      <c r="C994" s="5" t="str">
        <f>LEFT(Form_Responses1[[#This Row],[問１　あなたは何年生ですか。]],3)</f>
        <v>小学校</v>
      </c>
      <c r="D994" s="7" t="s">
        <v>9</v>
      </c>
      <c r="E994" s="7" t="s">
        <v>10</v>
      </c>
      <c r="F994" s="8"/>
    </row>
    <row r="995" spans="1:6" ht="12.75">
      <c r="A995" s="6">
        <v>45629.367817638893</v>
      </c>
      <c r="B995" s="7" t="s">
        <v>13</v>
      </c>
      <c r="C995" s="5" t="str">
        <f>LEFT(Form_Responses1[[#This Row],[問１　あなたは何年生ですか。]],3)</f>
        <v>小学校</v>
      </c>
      <c r="D995" s="7" t="s">
        <v>9</v>
      </c>
      <c r="E995" s="7" t="s">
        <v>10</v>
      </c>
      <c r="F995" s="8"/>
    </row>
    <row r="996" spans="1:6" ht="12.75">
      <c r="A996" s="6">
        <v>45629.367826354166</v>
      </c>
      <c r="B996" s="7" t="s">
        <v>13</v>
      </c>
      <c r="C996" s="5" t="str">
        <f>LEFT(Form_Responses1[[#This Row],[問１　あなたは何年生ですか。]],3)</f>
        <v>小学校</v>
      </c>
      <c r="D996" s="7" t="s">
        <v>6</v>
      </c>
      <c r="E996" s="7" t="s">
        <v>10</v>
      </c>
      <c r="F996" s="8"/>
    </row>
    <row r="997" spans="1:6" ht="12.75">
      <c r="A997" s="6">
        <v>45629.367837511571</v>
      </c>
      <c r="B997" s="7" t="s">
        <v>13</v>
      </c>
      <c r="C997" s="5" t="str">
        <f>LEFT(Form_Responses1[[#This Row],[問１　あなたは何年生ですか。]],3)</f>
        <v>小学校</v>
      </c>
      <c r="D997" s="7" t="s">
        <v>6</v>
      </c>
      <c r="E997" s="7" t="s">
        <v>7</v>
      </c>
      <c r="F997" s="8"/>
    </row>
    <row r="998" spans="1:6" ht="12.75">
      <c r="A998" s="6">
        <v>45629.367842974534</v>
      </c>
      <c r="B998" s="7" t="s">
        <v>13</v>
      </c>
      <c r="C998" s="5" t="str">
        <f>LEFT(Form_Responses1[[#This Row],[問１　あなたは何年生ですか。]],3)</f>
        <v>小学校</v>
      </c>
      <c r="D998" s="7" t="s">
        <v>6</v>
      </c>
      <c r="E998" s="7" t="s">
        <v>10</v>
      </c>
      <c r="F998" s="8"/>
    </row>
    <row r="999" spans="1:6" ht="12.75">
      <c r="A999" s="6">
        <v>45629.367842037042</v>
      </c>
      <c r="B999" s="7" t="s">
        <v>13</v>
      </c>
      <c r="C999" s="5" t="str">
        <f>LEFT(Form_Responses1[[#This Row],[問１　あなたは何年生ですか。]],3)</f>
        <v>小学校</v>
      </c>
      <c r="D999" s="7" t="s">
        <v>22</v>
      </c>
      <c r="E999" s="7" t="s">
        <v>7</v>
      </c>
      <c r="F999" s="8"/>
    </row>
    <row r="1000" spans="1:6" ht="12.75">
      <c r="A1000" s="6">
        <v>45629.367864409724</v>
      </c>
      <c r="B1000" s="7" t="s">
        <v>13</v>
      </c>
      <c r="C1000" s="5" t="str">
        <f>LEFT(Form_Responses1[[#This Row],[問１　あなたは何年生ですか。]],3)</f>
        <v>小学校</v>
      </c>
      <c r="D1000" s="7" t="s">
        <v>6</v>
      </c>
      <c r="E1000" s="7" t="s">
        <v>10</v>
      </c>
      <c r="F1000" s="8"/>
    </row>
    <row r="1001" spans="1:6" ht="12.75">
      <c r="A1001" s="6">
        <v>45629.367872060189</v>
      </c>
      <c r="B1001" s="7" t="s">
        <v>13</v>
      </c>
      <c r="C1001" s="5" t="str">
        <f>LEFT(Form_Responses1[[#This Row],[問１　あなたは何年生ですか。]],3)</f>
        <v>小学校</v>
      </c>
      <c r="D1001" s="7" t="s">
        <v>22</v>
      </c>
      <c r="E1001" s="7" t="s">
        <v>10</v>
      </c>
      <c r="F1001" s="8"/>
    </row>
    <row r="1002" spans="1:6" ht="12.75">
      <c r="A1002" s="6">
        <v>45629.367893449074</v>
      </c>
      <c r="B1002" s="7" t="s">
        <v>13</v>
      </c>
      <c r="C1002" s="5" t="str">
        <f>LEFT(Form_Responses1[[#This Row],[問１　あなたは何年生ですか。]],3)</f>
        <v>小学校</v>
      </c>
      <c r="D1002" s="7" t="s">
        <v>6</v>
      </c>
      <c r="E1002" s="7" t="s">
        <v>7</v>
      </c>
      <c r="F1002" s="8"/>
    </row>
    <row r="1003" spans="1:6" ht="12.75">
      <c r="A1003" s="6">
        <v>45629.367893402778</v>
      </c>
      <c r="B1003" s="7" t="s">
        <v>13</v>
      </c>
      <c r="C1003" s="5" t="str">
        <f>LEFT(Form_Responses1[[#This Row],[問１　あなたは何年生ですか。]],3)</f>
        <v>小学校</v>
      </c>
      <c r="D1003" s="7" t="s">
        <v>6</v>
      </c>
      <c r="E1003" s="7" t="s">
        <v>7</v>
      </c>
      <c r="F1003" s="8"/>
    </row>
    <row r="1004" spans="1:6" ht="12.75">
      <c r="A1004" s="6">
        <v>45629.368264027777</v>
      </c>
      <c r="B1004" s="7" t="s">
        <v>8</v>
      </c>
      <c r="C1004" s="5" t="str">
        <f>LEFT(Form_Responses1[[#This Row],[問１　あなたは何年生ですか。]],3)</f>
        <v>小学校</v>
      </c>
      <c r="D1004" s="7" t="s">
        <v>6</v>
      </c>
      <c r="E1004" s="7" t="s">
        <v>10</v>
      </c>
      <c r="F1004" s="8"/>
    </row>
    <row r="1005" spans="1:6" ht="12.75">
      <c r="A1005" s="6">
        <v>45629.36885673611</v>
      </c>
      <c r="B1005" s="7" t="s">
        <v>8</v>
      </c>
      <c r="C1005" s="5" t="str">
        <f>LEFT(Form_Responses1[[#This Row],[問１　あなたは何年生ですか。]],3)</f>
        <v>小学校</v>
      </c>
      <c r="D1005" s="7" t="s">
        <v>24</v>
      </c>
      <c r="E1005" s="7" t="s">
        <v>10</v>
      </c>
      <c r="F1005" s="7" t="s">
        <v>863</v>
      </c>
    </row>
    <row r="1006" spans="1:6" ht="12.75">
      <c r="A1006" s="6">
        <v>45629.3689103125</v>
      </c>
      <c r="B1006" s="7" t="s">
        <v>8</v>
      </c>
      <c r="C1006" s="5" t="str">
        <f>LEFT(Form_Responses1[[#This Row],[問１　あなたは何年生ですか。]],3)</f>
        <v>小学校</v>
      </c>
      <c r="D1006" s="7" t="s">
        <v>6</v>
      </c>
      <c r="E1006" s="7" t="s">
        <v>10</v>
      </c>
      <c r="F1006" s="8"/>
    </row>
    <row r="1007" spans="1:6" ht="12.75">
      <c r="A1007" s="6">
        <v>45629.370625474534</v>
      </c>
      <c r="B1007" s="7" t="s">
        <v>8</v>
      </c>
      <c r="C1007" s="5" t="str">
        <f>LEFT(Form_Responses1[[#This Row],[問１　あなたは何年生ですか。]],3)</f>
        <v>小学校</v>
      </c>
      <c r="D1007" s="7" t="s">
        <v>6</v>
      </c>
      <c r="E1007" s="7" t="s">
        <v>10</v>
      </c>
      <c r="F1007" s="8"/>
    </row>
    <row r="1008" spans="1:6" ht="12.75">
      <c r="A1008" s="6">
        <v>45629.370743715277</v>
      </c>
      <c r="B1008" s="7" t="s">
        <v>8</v>
      </c>
      <c r="C1008" s="5" t="str">
        <f>LEFT(Form_Responses1[[#This Row],[問１　あなたは何年生ですか。]],3)</f>
        <v>小学校</v>
      </c>
      <c r="D1008" s="7" t="s">
        <v>6</v>
      </c>
      <c r="E1008" s="7" t="s">
        <v>10</v>
      </c>
      <c r="F1008" s="7" t="s">
        <v>864</v>
      </c>
    </row>
    <row r="1009" spans="1:6" ht="12.75">
      <c r="A1009" s="6">
        <v>45629.370813125002</v>
      </c>
      <c r="B1009" s="7" t="s">
        <v>8</v>
      </c>
      <c r="C1009" s="5" t="str">
        <f>LEFT(Form_Responses1[[#This Row],[問１　あなたは何年生ですか。]],3)</f>
        <v>小学校</v>
      </c>
      <c r="D1009" s="7" t="s">
        <v>6</v>
      </c>
      <c r="E1009" s="7" t="s">
        <v>10</v>
      </c>
      <c r="F1009" s="7" t="s">
        <v>865</v>
      </c>
    </row>
    <row r="1010" spans="1:6" ht="12.75">
      <c r="A1010" s="6">
        <v>45629.370972523146</v>
      </c>
      <c r="B1010" s="7" t="s">
        <v>8</v>
      </c>
      <c r="C1010" s="5" t="str">
        <f>LEFT(Form_Responses1[[#This Row],[問１　あなたは何年生ですか。]],3)</f>
        <v>小学校</v>
      </c>
      <c r="D1010" s="7" t="s">
        <v>9</v>
      </c>
      <c r="E1010" s="7" t="s">
        <v>10</v>
      </c>
      <c r="F1010" s="7" t="s">
        <v>866</v>
      </c>
    </row>
    <row r="1011" spans="1:6" ht="12.75">
      <c r="A1011" s="6">
        <v>45629.371003194443</v>
      </c>
      <c r="B1011" s="7" t="s">
        <v>8</v>
      </c>
      <c r="C1011" s="5" t="str">
        <f>LEFT(Form_Responses1[[#This Row],[問１　あなたは何年生ですか。]],3)</f>
        <v>小学校</v>
      </c>
      <c r="D1011" s="7" t="s">
        <v>12</v>
      </c>
      <c r="E1011" s="7" t="s">
        <v>10</v>
      </c>
      <c r="F1011" s="7" t="s">
        <v>867</v>
      </c>
    </row>
    <row r="1012" spans="1:6" ht="12.75">
      <c r="A1012" s="6">
        <v>45629.371042557876</v>
      </c>
      <c r="B1012" s="7" t="s">
        <v>8</v>
      </c>
      <c r="C1012" s="5" t="str">
        <f>LEFT(Form_Responses1[[#This Row],[問１　あなたは何年生ですか。]],3)</f>
        <v>小学校</v>
      </c>
      <c r="D1012" s="7" t="s">
        <v>6</v>
      </c>
      <c r="E1012" s="7" t="s">
        <v>10</v>
      </c>
      <c r="F1012" s="7" t="s">
        <v>868</v>
      </c>
    </row>
    <row r="1013" spans="1:6" ht="12.75">
      <c r="A1013" s="6">
        <v>45629.371526793984</v>
      </c>
      <c r="B1013" s="7" t="s">
        <v>8</v>
      </c>
      <c r="C1013" s="5" t="str">
        <f>LEFT(Form_Responses1[[#This Row],[問１　あなたは何年生ですか。]],3)</f>
        <v>小学校</v>
      </c>
      <c r="D1013" s="7" t="s">
        <v>14</v>
      </c>
      <c r="E1013" s="7" t="s">
        <v>10</v>
      </c>
      <c r="F1013" s="7" t="s">
        <v>869</v>
      </c>
    </row>
    <row r="1014" spans="1:6" ht="12.75">
      <c r="A1014" s="6">
        <v>45629.371528842588</v>
      </c>
      <c r="B1014" s="7" t="s">
        <v>8</v>
      </c>
      <c r="C1014" s="5" t="str">
        <f>LEFT(Form_Responses1[[#This Row],[問１　あなたは何年生ですか。]],3)</f>
        <v>小学校</v>
      </c>
      <c r="D1014" s="7" t="s">
        <v>24</v>
      </c>
      <c r="E1014" s="7" t="s">
        <v>10</v>
      </c>
      <c r="F1014" s="7" t="s">
        <v>870</v>
      </c>
    </row>
    <row r="1015" spans="1:6" ht="12.75">
      <c r="A1015" s="6">
        <v>45629.37154015046</v>
      </c>
      <c r="B1015" s="7" t="s">
        <v>8</v>
      </c>
      <c r="C1015" s="5" t="str">
        <f>LEFT(Form_Responses1[[#This Row],[問１　あなたは何年生ですか。]],3)</f>
        <v>小学校</v>
      </c>
      <c r="D1015" s="7" t="s">
        <v>6</v>
      </c>
      <c r="E1015" s="7" t="s">
        <v>7</v>
      </c>
      <c r="F1015" s="7" t="s">
        <v>871</v>
      </c>
    </row>
    <row r="1016" spans="1:6" ht="12.75">
      <c r="A1016" s="6">
        <v>45629.371542303241</v>
      </c>
      <c r="B1016" s="7" t="s">
        <v>8</v>
      </c>
      <c r="C1016" s="5" t="str">
        <f>LEFT(Form_Responses1[[#This Row],[問１　あなたは何年生ですか。]],3)</f>
        <v>小学校</v>
      </c>
      <c r="D1016" s="7" t="s">
        <v>6</v>
      </c>
      <c r="E1016" s="7" t="s">
        <v>10</v>
      </c>
      <c r="F1016" s="7" t="s">
        <v>872</v>
      </c>
    </row>
    <row r="1017" spans="1:6" ht="12.75">
      <c r="A1017" s="6">
        <v>45629.371735995373</v>
      </c>
      <c r="B1017" s="7" t="s">
        <v>8</v>
      </c>
      <c r="C1017" s="5" t="str">
        <f>LEFT(Form_Responses1[[#This Row],[問１　あなたは何年生ですか。]],3)</f>
        <v>小学校</v>
      </c>
      <c r="D1017" s="7" t="s">
        <v>24</v>
      </c>
      <c r="E1017" s="7" t="s">
        <v>10</v>
      </c>
      <c r="F1017" s="7" t="s">
        <v>873</v>
      </c>
    </row>
    <row r="1018" spans="1:6" ht="12.75">
      <c r="A1018" s="6">
        <v>45629.371939062505</v>
      </c>
      <c r="B1018" s="7" t="s">
        <v>8</v>
      </c>
      <c r="C1018" s="5" t="str">
        <f>LEFT(Form_Responses1[[#This Row],[問１　あなたは何年生ですか。]],3)</f>
        <v>小学校</v>
      </c>
      <c r="D1018" s="7" t="s">
        <v>19</v>
      </c>
      <c r="E1018" s="7" t="s">
        <v>10</v>
      </c>
      <c r="F1018" s="7" t="s">
        <v>874</v>
      </c>
    </row>
    <row r="1019" spans="1:6" ht="12.75">
      <c r="A1019" s="6">
        <v>45629.372001377313</v>
      </c>
      <c r="B1019" s="7" t="s">
        <v>8</v>
      </c>
      <c r="C1019" s="5" t="str">
        <f>LEFT(Form_Responses1[[#This Row],[問１　あなたは何年生ですか。]],3)</f>
        <v>小学校</v>
      </c>
      <c r="D1019" s="7" t="s">
        <v>6</v>
      </c>
      <c r="E1019" s="7" t="s">
        <v>10</v>
      </c>
      <c r="F1019" s="7" t="s">
        <v>52</v>
      </c>
    </row>
    <row r="1020" spans="1:6" ht="12.75">
      <c r="A1020" s="6">
        <v>45629.372043506941</v>
      </c>
      <c r="B1020" s="7" t="s">
        <v>8</v>
      </c>
      <c r="C1020" s="5" t="str">
        <f>LEFT(Form_Responses1[[#This Row],[問１　あなたは何年生ですか。]],3)</f>
        <v>小学校</v>
      </c>
      <c r="D1020" s="7" t="s">
        <v>6</v>
      </c>
      <c r="E1020" s="7" t="s">
        <v>10</v>
      </c>
      <c r="F1020" s="7" t="s">
        <v>875</v>
      </c>
    </row>
    <row r="1021" spans="1:6" ht="12.75">
      <c r="A1021" s="6">
        <v>45629.372065787036</v>
      </c>
      <c r="B1021" s="7" t="s">
        <v>8</v>
      </c>
      <c r="C1021" s="5" t="str">
        <f>LEFT(Form_Responses1[[#This Row],[問１　あなたは何年生ですか。]],3)</f>
        <v>小学校</v>
      </c>
      <c r="D1021" s="7" t="s">
        <v>6</v>
      </c>
      <c r="E1021" s="7" t="s">
        <v>10</v>
      </c>
      <c r="F1021" s="7" t="s">
        <v>876</v>
      </c>
    </row>
    <row r="1022" spans="1:6" ht="12.75">
      <c r="A1022" s="6">
        <v>45629.372068865741</v>
      </c>
      <c r="B1022" s="7" t="s">
        <v>8</v>
      </c>
      <c r="C1022" s="5" t="str">
        <f>LEFT(Form_Responses1[[#This Row],[問１　あなたは何年生ですか。]],3)</f>
        <v>小学校</v>
      </c>
      <c r="D1022" s="7" t="s">
        <v>877</v>
      </c>
      <c r="E1022" s="7" t="s">
        <v>10</v>
      </c>
      <c r="F1022" s="7" t="s">
        <v>878</v>
      </c>
    </row>
    <row r="1023" spans="1:6" ht="12.75">
      <c r="A1023" s="6">
        <v>45629.372307268517</v>
      </c>
      <c r="B1023" s="7" t="s">
        <v>8</v>
      </c>
      <c r="C1023" s="5" t="str">
        <f>LEFT(Form_Responses1[[#This Row],[問１　あなたは何年生ですか。]],3)</f>
        <v>小学校</v>
      </c>
      <c r="D1023" s="7" t="s">
        <v>6</v>
      </c>
      <c r="E1023" s="7" t="s">
        <v>7</v>
      </c>
      <c r="F1023" s="7" t="s">
        <v>879</v>
      </c>
    </row>
    <row r="1024" spans="1:6" ht="12.75">
      <c r="A1024" s="6">
        <v>45629.372514386574</v>
      </c>
      <c r="B1024" s="7" t="s">
        <v>8</v>
      </c>
      <c r="C1024" s="5" t="str">
        <f>LEFT(Form_Responses1[[#This Row],[問１　あなたは何年生ですか。]],3)</f>
        <v>小学校</v>
      </c>
      <c r="D1024" s="7" t="s">
        <v>6</v>
      </c>
      <c r="E1024" s="7" t="s">
        <v>10</v>
      </c>
      <c r="F1024" s="7" t="s">
        <v>880</v>
      </c>
    </row>
    <row r="1025" spans="1:6" ht="12.75">
      <c r="A1025" s="6">
        <v>45629.372528518521</v>
      </c>
      <c r="B1025" s="7" t="s">
        <v>8</v>
      </c>
      <c r="C1025" s="5" t="str">
        <f>LEFT(Form_Responses1[[#This Row],[問１　あなたは何年生ですか。]],3)</f>
        <v>小学校</v>
      </c>
      <c r="D1025" s="7" t="s">
        <v>6</v>
      </c>
      <c r="E1025" s="7" t="s">
        <v>10</v>
      </c>
      <c r="F1025" s="7" t="s">
        <v>881</v>
      </c>
    </row>
    <row r="1026" spans="1:6" ht="12.75">
      <c r="A1026" s="6">
        <v>45629.372864803241</v>
      </c>
      <c r="B1026" s="7" t="s">
        <v>23</v>
      </c>
      <c r="C1026" s="5" t="str">
        <f>LEFT(Form_Responses1[[#This Row],[問１　あなたは何年生ですか。]],3)</f>
        <v>小学校</v>
      </c>
      <c r="D1026" s="7" t="s">
        <v>6</v>
      </c>
      <c r="E1026" s="7" t="s">
        <v>10</v>
      </c>
      <c r="F1026" s="7" t="s">
        <v>882</v>
      </c>
    </row>
    <row r="1027" spans="1:6" ht="12.75">
      <c r="A1027" s="6">
        <v>45629.373030601855</v>
      </c>
      <c r="B1027" s="7" t="s">
        <v>23</v>
      </c>
      <c r="C1027" s="5" t="str">
        <f>LEFT(Form_Responses1[[#This Row],[問１　あなたは何年生ですか。]],3)</f>
        <v>小学校</v>
      </c>
      <c r="D1027" s="7" t="s">
        <v>883</v>
      </c>
      <c r="E1027" s="7" t="s">
        <v>7</v>
      </c>
      <c r="F1027" s="8"/>
    </row>
    <row r="1028" spans="1:6" ht="12.75">
      <c r="A1028" s="6">
        <v>45629.373041226849</v>
      </c>
      <c r="B1028" s="7" t="s">
        <v>8</v>
      </c>
      <c r="C1028" s="5" t="str">
        <f>LEFT(Form_Responses1[[#This Row],[問１　あなたは何年生ですか。]],3)</f>
        <v>小学校</v>
      </c>
      <c r="D1028" s="7" t="s">
        <v>9</v>
      </c>
      <c r="E1028" s="7" t="s">
        <v>10</v>
      </c>
      <c r="F1028" s="7" t="s">
        <v>884</v>
      </c>
    </row>
    <row r="1029" spans="1:6" ht="12.75">
      <c r="A1029" s="6">
        <v>45629.373089699075</v>
      </c>
      <c r="B1029" s="7" t="s">
        <v>23</v>
      </c>
      <c r="C1029" s="5" t="str">
        <f>LEFT(Form_Responses1[[#This Row],[問１　あなたは何年生ですか。]],3)</f>
        <v>小学校</v>
      </c>
      <c r="D1029" s="7" t="s">
        <v>14</v>
      </c>
      <c r="E1029" s="7" t="s">
        <v>10</v>
      </c>
      <c r="F1029" s="7" t="s">
        <v>885</v>
      </c>
    </row>
    <row r="1030" spans="1:6" ht="12.75">
      <c r="A1030" s="6">
        <v>45629.373123379628</v>
      </c>
      <c r="B1030" s="7" t="s">
        <v>23</v>
      </c>
      <c r="C1030" s="5" t="str">
        <f>LEFT(Form_Responses1[[#This Row],[問１　あなたは何年生ですか。]],3)</f>
        <v>小学校</v>
      </c>
      <c r="D1030" s="7" t="s">
        <v>14</v>
      </c>
      <c r="E1030" s="7" t="s">
        <v>10</v>
      </c>
      <c r="F1030" s="7" t="s">
        <v>886</v>
      </c>
    </row>
    <row r="1031" spans="1:6" ht="12.75">
      <c r="A1031" s="6">
        <v>45629.373188611113</v>
      </c>
      <c r="B1031" s="7" t="s">
        <v>23</v>
      </c>
      <c r="C1031" s="5" t="str">
        <f>LEFT(Form_Responses1[[#This Row],[問１　あなたは何年生ですか。]],3)</f>
        <v>小学校</v>
      </c>
      <c r="D1031" s="7" t="s">
        <v>14</v>
      </c>
      <c r="E1031" s="7" t="s">
        <v>10</v>
      </c>
      <c r="F1031" s="7" t="s">
        <v>887</v>
      </c>
    </row>
    <row r="1032" spans="1:6" ht="12.75">
      <c r="A1032" s="6">
        <v>45629.37319706018</v>
      </c>
      <c r="B1032" s="7" t="s">
        <v>23</v>
      </c>
      <c r="C1032" s="5" t="str">
        <f>LEFT(Form_Responses1[[#This Row],[問１　あなたは何年生ですか。]],3)</f>
        <v>小学校</v>
      </c>
      <c r="D1032" s="7" t="s">
        <v>121</v>
      </c>
      <c r="E1032" s="7" t="s">
        <v>10</v>
      </c>
      <c r="F1032" s="7" t="s">
        <v>888</v>
      </c>
    </row>
    <row r="1033" spans="1:6" ht="12.75">
      <c r="A1033" s="6">
        <v>45629.373247858792</v>
      </c>
      <c r="B1033" s="7" t="s">
        <v>8</v>
      </c>
      <c r="C1033" s="5" t="str">
        <f>LEFT(Form_Responses1[[#This Row],[問１　あなたは何年生ですか。]],3)</f>
        <v>小学校</v>
      </c>
      <c r="D1033" s="7" t="s">
        <v>24</v>
      </c>
      <c r="E1033" s="7" t="s">
        <v>7</v>
      </c>
      <c r="F1033" s="7" t="s">
        <v>889</v>
      </c>
    </row>
    <row r="1034" spans="1:6" ht="12.75">
      <c r="A1034" s="6">
        <v>45629.373253819445</v>
      </c>
      <c r="B1034" s="7" t="s">
        <v>23</v>
      </c>
      <c r="C1034" s="5" t="str">
        <f>LEFT(Form_Responses1[[#This Row],[問１　あなたは何年生ですか。]],3)</f>
        <v>小学校</v>
      </c>
      <c r="D1034" s="7" t="s">
        <v>121</v>
      </c>
      <c r="E1034" s="7" t="s">
        <v>10</v>
      </c>
      <c r="F1034" s="7" t="s">
        <v>890</v>
      </c>
    </row>
    <row r="1035" spans="1:6" ht="12.75">
      <c r="A1035" s="6">
        <v>45629.373417303243</v>
      </c>
      <c r="B1035" s="7" t="s">
        <v>23</v>
      </c>
      <c r="C1035" s="5" t="str">
        <f>LEFT(Form_Responses1[[#This Row],[問１　あなたは何年生ですか。]],3)</f>
        <v>小学校</v>
      </c>
      <c r="D1035" s="7" t="s">
        <v>6</v>
      </c>
      <c r="E1035" s="7" t="s">
        <v>7</v>
      </c>
      <c r="F1035" s="7" t="s">
        <v>891</v>
      </c>
    </row>
    <row r="1036" spans="1:6" ht="12.75">
      <c r="A1036" s="6">
        <v>45629.37349607639</v>
      </c>
      <c r="B1036" s="7" t="s">
        <v>8</v>
      </c>
      <c r="C1036" s="5" t="str">
        <f>LEFT(Form_Responses1[[#This Row],[問１　あなたは何年生ですか。]],3)</f>
        <v>小学校</v>
      </c>
      <c r="D1036" s="7" t="s">
        <v>6</v>
      </c>
      <c r="E1036" s="7" t="s">
        <v>10</v>
      </c>
      <c r="F1036" s="7" t="s">
        <v>892</v>
      </c>
    </row>
    <row r="1037" spans="1:6" ht="12.75">
      <c r="A1037" s="6">
        <v>45629.373537430554</v>
      </c>
      <c r="B1037" s="7" t="s">
        <v>23</v>
      </c>
      <c r="C1037" s="5" t="str">
        <f>LEFT(Form_Responses1[[#This Row],[問１　あなたは何年生ですか。]],3)</f>
        <v>小学校</v>
      </c>
      <c r="D1037" s="7" t="s">
        <v>121</v>
      </c>
      <c r="E1037" s="7" t="s">
        <v>10</v>
      </c>
      <c r="F1037" s="7" t="s">
        <v>893</v>
      </c>
    </row>
    <row r="1038" spans="1:6" ht="12.75">
      <c r="A1038" s="6">
        <v>45629.373578217594</v>
      </c>
      <c r="B1038" s="7" t="s">
        <v>23</v>
      </c>
      <c r="C1038" s="5" t="str">
        <f>LEFT(Form_Responses1[[#This Row],[問１　あなたは何年生ですか。]],3)</f>
        <v>小学校</v>
      </c>
      <c r="D1038" s="7" t="s">
        <v>6</v>
      </c>
      <c r="E1038" s="7" t="s">
        <v>10</v>
      </c>
      <c r="F1038" s="7" t="s">
        <v>894</v>
      </c>
    </row>
    <row r="1039" spans="1:6" ht="12.75">
      <c r="A1039" s="6">
        <v>45629.373594652774</v>
      </c>
      <c r="B1039" s="7" t="s">
        <v>23</v>
      </c>
      <c r="C1039" s="5" t="str">
        <f>LEFT(Form_Responses1[[#This Row],[問１　あなたは何年生ですか。]],3)</f>
        <v>小学校</v>
      </c>
      <c r="D1039" s="7" t="s">
        <v>14</v>
      </c>
      <c r="E1039" s="7" t="s">
        <v>10</v>
      </c>
      <c r="F1039" s="7" t="s">
        <v>895</v>
      </c>
    </row>
    <row r="1040" spans="1:6" ht="12.75">
      <c r="A1040" s="6">
        <v>45629.373654641204</v>
      </c>
      <c r="B1040" s="7" t="s">
        <v>23</v>
      </c>
      <c r="C1040" s="5" t="str">
        <f>LEFT(Form_Responses1[[#This Row],[問１　あなたは何年生ですか。]],3)</f>
        <v>小学校</v>
      </c>
      <c r="D1040" s="7" t="s">
        <v>24</v>
      </c>
      <c r="E1040" s="7" t="s">
        <v>10</v>
      </c>
      <c r="F1040" s="7" t="s">
        <v>896</v>
      </c>
    </row>
    <row r="1041" spans="1:6" ht="12.75">
      <c r="A1041" s="6">
        <v>45629.373672233793</v>
      </c>
      <c r="B1041" s="7" t="s">
        <v>23</v>
      </c>
      <c r="C1041" s="5" t="str">
        <f>LEFT(Form_Responses1[[#This Row],[問１　あなたは何年生ですか。]],3)</f>
        <v>小学校</v>
      </c>
      <c r="D1041" s="7" t="s">
        <v>19</v>
      </c>
      <c r="E1041" s="7" t="s">
        <v>10</v>
      </c>
      <c r="F1041" s="7" t="s">
        <v>897</v>
      </c>
    </row>
    <row r="1042" spans="1:6" ht="12.75">
      <c r="A1042" s="6">
        <v>45629.373740949071</v>
      </c>
      <c r="B1042" s="7" t="s">
        <v>23</v>
      </c>
      <c r="C1042" s="5" t="str">
        <f>LEFT(Form_Responses1[[#This Row],[問１　あなたは何年生ですか。]],3)</f>
        <v>小学校</v>
      </c>
      <c r="D1042" s="7" t="s">
        <v>6</v>
      </c>
      <c r="E1042" s="7" t="s">
        <v>10</v>
      </c>
      <c r="F1042" s="7" t="s">
        <v>898</v>
      </c>
    </row>
    <row r="1043" spans="1:6" ht="12.75">
      <c r="A1043" s="6">
        <v>45629.376129733791</v>
      </c>
      <c r="B1043" s="7" t="s">
        <v>13</v>
      </c>
      <c r="C1043" s="5" t="str">
        <f>LEFT(Form_Responses1[[#This Row],[問１　あなたは何年生ですか。]],3)</f>
        <v>小学校</v>
      </c>
      <c r="D1043" s="7" t="s">
        <v>6</v>
      </c>
      <c r="E1043" s="7" t="s">
        <v>7</v>
      </c>
      <c r="F1043" s="8"/>
    </row>
    <row r="1044" spans="1:6" ht="12.75">
      <c r="A1044" s="6">
        <v>45629.376145844908</v>
      </c>
      <c r="B1044" s="7" t="s">
        <v>13</v>
      </c>
      <c r="C1044" s="5" t="str">
        <f>LEFT(Form_Responses1[[#This Row],[問１　あなたは何年生ですか。]],3)</f>
        <v>小学校</v>
      </c>
      <c r="D1044" s="7" t="s">
        <v>6</v>
      </c>
      <c r="E1044" s="7" t="s">
        <v>10</v>
      </c>
      <c r="F1044" s="8"/>
    </row>
    <row r="1045" spans="1:6" ht="12.75">
      <c r="A1045" s="6">
        <v>45629.376172268516</v>
      </c>
      <c r="B1045" s="7" t="s">
        <v>13</v>
      </c>
      <c r="C1045" s="5" t="str">
        <f>LEFT(Form_Responses1[[#This Row],[問１　あなたは何年生ですか。]],3)</f>
        <v>小学校</v>
      </c>
      <c r="D1045" s="7" t="s">
        <v>12</v>
      </c>
      <c r="E1045" s="7" t="s">
        <v>10</v>
      </c>
      <c r="F1045" s="8"/>
    </row>
    <row r="1046" spans="1:6" ht="12.75">
      <c r="A1046" s="6">
        <v>45629.376315532412</v>
      </c>
      <c r="B1046" s="7" t="s">
        <v>13</v>
      </c>
      <c r="C1046" s="5" t="str">
        <f>LEFT(Form_Responses1[[#This Row],[問１　あなたは何年生ですか。]],3)</f>
        <v>小学校</v>
      </c>
      <c r="D1046" s="7" t="s">
        <v>6</v>
      </c>
      <c r="E1046" s="7" t="s">
        <v>10</v>
      </c>
      <c r="F1046" s="8"/>
    </row>
    <row r="1047" spans="1:6" ht="12.75">
      <c r="A1047" s="6">
        <v>45629.376401215282</v>
      </c>
      <c r="B1047" s="7" t="s">
        <v>13</v>
      </c>
      <c r="C1047" s="5" t="str">
        <f>LEFT(Form_Responses1[[#This Row],[問１　あなたは何年生ですか。]],3)</f>
        <v>小学校</v>
      </c>
      <c r="D1047" s="7" t="s">
        <v>22</v>
      </c>
      <c r="E1047" s="7" t="s">
        <v>7</v>
      </c>
      <c r="F1047" s="7" t="s">
        <v>861</v>
      </c>
    </row>
    <row r="1048" spans="1:6" ht="12.75">
      <c r="A1048" s="6">
        <v>45629.376490844908</v>
      </c>
      <c r="B1048" s="7" t="s">
        <v>13</v>
      </c>
      <c r="C1048" s="5" t="str">
        <f>LEFT(Form_Responses1[[#This Row],[問１　あなたは何年生ですか。]],3)</f>
        <v>小学校</v>
      </c>
      <c r="D1048" s="7" t="s">
        <v>22</v>
      </c>
      <c r="E1048" s="7" t="s">
        <v>7</v>
      </c>
      <c r="F1048" s="8"/>
    </row>
    <row r="1049" spans="1:6" ht="12.75">
      <c r="A1049" s="6">
        <v>45629.376593101857</v>
      </c>
      <c r="B1049" s="7" t="s">
        <v>13</v>
      </c>
      <c r="C1049" s="5" t="str">
        <f>LEFT(Form_Responses1[[#This Row],[問１　あなたは何年生ですか。]],3)</f>
        <v>小学校</v>
      </c>
      <c r="D1049" s="7" t="s">
        <v>6</v>
      </c>
      <c r="E1049" s="7" t="s">
        <v>7</v>
      </c>
      <c r="F1049" s="8"/>
    </row>
    <row r="1050" spans="1:6" ht="12.75">
      <c r="A1050" s="6">
        <v>45629.376648113423</v>
      </c>
      <c r="B1050" s="7" t="s">
        <v>13</v>
      </c>
      <c r="C1050" s="5" t="str">
        <f>LEFT(Form_Responses1[[#This Row],[問１　あなたは何年生ですか。]],3)</f>
        <v>小学校</v>
      </c>
      <c r="D1050" s="7" t="s">
        <v>6</v>
      </c>
      <c r="E1050" s="7" t="s">
        <v>10</v>
      </c>
      <c r="F1050" s="8"/>
    </row>
    <row r="1051" spans="1:6" ht="12.75">
      <c r="A1051" s="6">
        <v>45629.376679201392</v>
      </c>
      <c r="B1051" s="7" t="s">
        <v>13</v>
      </c>
      <c r="C1051" s="5" t="str">
        <f>LEFT(Form_Responses1[[#This Row],[問１　あなたは何年生ですか。]],3)</f>
        <v>小学校</v>
      </c>
      <c r="D1051" s="7" t="s">
        <v>12</v>
      </c>
      <c r="E1051" s="7" t="s">
        <v>67</v>
      </c>
      <c r="F1051" s="8"/>
    </row>
    <row r="1052" spans="1:6" ht="12.75">
      <c r="A1052" s="6">
        <v>45629.376683750001</v>
      </c>
      <c r="B1052" s="7" t="s">
        <v>13</v>
      </c>
      <c r="C1052" s="5" t="str">
        <f>LEFT(Form_Responses1[[#This Row],[問１　あなたは何年生ですか。]],3)</f>
        <v>小学校</v>
      </c>
      <c r="D1052" s="7" t="s">
        <v>14</v>
      </c>
      <c r="E1052" s="7" t="s">
        <v>10</v>
      </c>
      <c r="F1052" s="8"/>
    </row>
    <row r="1053" spans="1:6" ht="12.75">
      <c r="A1053" s="6">
        <v>45629.376693530096</v>
      </c>
      <c r="B1053" s="7" t="s">
        <v>13</v>
      </c>
      <c r="C1053" s="5" t="str">
        <f>LEFT(Form_Responses1[[#This Row],[問１　あなたは何年生ですか。]],3)</f>
        <v>小学校</v>
      </c>
      <c r="D1053" s="7" t="s">
        <v>22</v>
      </c>
      <c r="E1053" s="7" t="s">
        <v>10</v>
      </c>
      <c r="F1053" s="8"/>
    </row>
    <row r="1054" spans="1:6" ht="12.75">
      <c r="A1054" s="6">
        <v>45629.376694409722</v>
      </c>
      <c r="B1054" s="7" t="s">
        <v>13</v>
      </c>
      <c r="C1054" s="5" t="str">
        <f>LEFT(Form_Responses1[[#This Row],[問１　あなたは何年生ですか。]],3)</f>
        <v>小学校</v>
      </c>
      <c r="D1054" s="7" t="s">
        <v>6</v>
      </c>
      <c r="E1054" s="7" t="s">
        <v>67</v>
      </c>
      <c r="F1054" s="8"/>
    </row>
    <row r="1055" spans="1:6" ht="12.75">
      <c r="A1055" s="6">
        <v>45629.376695972227</v>
      </c>
      <c r="B1055" s="7" t="s">
        <v>13</v>
      </c>
      <c r="C1055" s="5" t="str">
        <f>LEFT(Form_Responses1[[#This Row],[問１　あなたは何年生ですか。]],3)</f>
        <v>小学校</v>
      </c>
      <c r="D1055" s="7" t="s">
        <v>9</v>
      </c>
      <c r="E1055" s="7" t="s">
        <v>10</v>
      </c>
      <c r="F1055" s="8"/>
    </row>
    <row r="1056" spans="1:6" ht="12.75">
      <c r="A1056" s="6">
        <v>45629.376699166663</v>
      </c>
      <c r="B1056" s="7" t="s">
        <v>13</v>
      </c>
      <c r="C1056" s="5" t="str">
        <f>LEFT(Form_Responses1[[#This Row],[問１　あなたは何年生ですか。]],3)</f>
        <v>小学校</v>
      </c>
      <c r="D1056" s="7" t="s">
        <v>6</v>
      </c>
      <c r="E1056" s="7" t="s">
        <v>7</v>
      </c>
      <c r="F1056" s="8"/>
    </row>
    <row r="1057" spans="1:6" ht="12.75">
      <c r="A1057" s="6">
        <v>45629.376727893519</v>
      </c>
      <c r="B1057" s="7" t="s">
        <v>13</v>
      </c>
      <c r="C1057" s="5" t="str">
        <f>LEFT(Form_Responses1[[#This Row],[問１　あなたは何年生ですか。]],3)</f>
        <v>小学校</v>
      </c>
      <c r="D1057" s="7" t="s">
        <v>9</v>
      </c>
      <c r="E1057" s="7" t="s">
        <v>7</v>
      </c>
      <c r="F1057" s="8"/>
    </row>
    <row r="1058" spans="1:6" ht="12.75">
      <c r="A1058" s="6">
        <v>45629.376733321755</v>
      </c>
      <c r="B1058" s="7" t="s">
        <v>13</v>
      </c>
      <c r="C1058" s="5" t="str">
        <f>LEFT(Form_Responses1[[#This Row],[問１　あなたは何年生ですか。]],3)</f>
        <v>小学校</v>
      </c>
      <c r="D1058" s="7" t="s">
        <v>22</v>
      </c>
      <c r="E1058" s="7" t="s">
        <v>10</v>
      </c>
      <c r="F1058" s="8"/>
    </row>
    <row r="1059" spans="1:6" ht="12.75">
      <c r="A1059" s="6">
        <v>45629.37673481481</v>
      </c>
      <c r="B1059" s="7" t="s">
        <v>13</v>
      </c>
      <c r="C1059" s="5" t="str">
        <f>LEFT(Form_Responses1[[#This Row],[問１　あなたは何年生ですか。]],3)</f>
        <v>小学校</v>
      </c>
      <c r="D1059" s="7" t="s">
        <v>22</v>
      </c>
      <c r="E1059" s="7" t="s">
        <v>10</v>
      </c>
      <c r="F1059" s="8"/>
    </row>
    <row r="1060" spans="1:6" ht="12.75">
      <c r="A1060" s="6">
        <v>45629.376736284721</v>
      </c>
      <c r="B1060" s="7" t="s">
        <v>13</v>
      </c>
      <c r="C1060" s="5" t="str">
        <f>LEFT(Form_Responses1[[#This Row],[問１　あなたは何年生ですか。]],3)</f>
        <v>小学校</v>
      </c>
      <c r="D1060" s="7" t="s">
        <v>24</v>
      </c>
      <c r="E1060" s="7" t="s">
        <v>10</v>
      </c>
      <c r="F1060" s="8"/>
    </row>
    <row r="1061" spans="1:6" ht="12.75">
      <c r="A1061" s="6">
        <v>45629.376869745371</v>
      </c>
      <c r="B1061" s="7" t="s">
        <v>13</v>
      </c>
      <c r="C1061" s="5" t="str">
        <f>LEFT(Form_Responses1[[#This Row],[問１　あなたは何年生ですか。]],3)</f>
        <v>小学校</v>
      </c>
      <c r="D1061" s="7" t="s">
        <v>6</v>
      </c>
      <c r="E1061" s="7" t="s">
        <v>15</v>
      </c>
      <c r="F1061" s="8"/>
    </row>
    <row r="1062" spans="1:6" ht="12.75">
      <c r="A1062" s="6">
        <v>45629.377142233796</v>
      </c>
      <c r="B1062" s="7" t="s">
        <v>13</v>
      </c>
      <c r="C1062" s="5" t="str">
        <f>LEFT(Form_Responses1[[#This Row],[問１　あなたは何年生ですか。]],3)</f>
        <v>小学校</v>
      </c>
      <c r="D1062" s="7" t="s">
        <v>22</v>
      </c>
      <c r="E1062" s="7" t="s">
        <v>10</v>
      </c>
      <c r="F1062" s="8"/>
    </row>
    <row r="1063" spans="1:6" ht="12.75">
      <c r="A1063" s="6">
        <v>45629.377903703702</v>
      </c>
      <c r="B1063" s="7" t="s">
        <v>289</v>
      </c>
      <c r="C1063" s="5" t="str">
        <f>LEFT(Form_Responses1[[#This Row],[問１　あなたは何年生ですか。]],3)</f>
        <v>小学校</v>
      </c>
      <c r="D1063" s="7" t="s">
        <v>19</v>
      </c>
      <c r="E1063" s="7" t="s">
        <v>10</v>
      </c>
      <c r="F1063" s="7" t="s">
        <v>899</v>
      </c>
    </row>
    <row r="1064" spans="1:6" ht="12.75">
      <c r="A1064" s="6">
        <v>45629.379197442133</v>
      </c>
      <c r="B1064" s="7" t="s">
        <v>289</v>
      </c>
      <c r="C1064" s="5" t="str">
        <f>LEFT(Form_Responses1[[#This Row],[問１　あなたは何年生ですか。]],3)</f>
        <v>小学校</v>
      </c>
      <c r="D1064" s="7" t="s">
        <v>12</v>
      </c>
      <c r="E1064" s="7" t="s">
        <v>10</v>
      </c>
      <c r="F1064" s="7" t="s">
        <v>900</v>
      </c>
    </row>
    <row r="1065" spans="1:6" ht="12.75">
      <c r="A1065" s="6">
        <v>45629.379357094906</v>
      </c>
      <c r="B1065" s="7" t="s">
        <v>289</v>
      </c>
      <c r="C1065" s="5" t="str">
        <f>LEFT(Form_Responses1[[#This Row],[問１　あなたは何年生ですか。]],3)</f>
        <v>小学校</v>
      </c>
      <c r="D1065" s="7" t="s">
        <v>19</v>
      </c>
      <c r="E1065" s="7" t="s">
        <v>67</v>
      </c>
      <c r="F1065" s="8"/>
    </row>
    <row r="1066" spans="1:6" ht="12.75">
      <c r="A1066" s="6">
        <v>45629.380070868057</v>
      </c>
      <c r="B1066" s="7" t="s">
        <v>289</v>
      </c>
      <c r="C1066" s="5" t="str">
        <f>LEFT(Form_Responses1[[#This Row],[問１　あなたは何年生ですか。]],3)</f>
        <v>小学校</v>
      </c>
      <c r="D1066" s="7" t="s">
        <v>12</v>
      </c>
      <c r="E1066" s="7" t="s">
        <v>10</v>
      </c>
      <c r="F1066" s="7" t="s">
        <v>901</v>
      </c>
    </row>
    <row r="1067" spans="1:6" ht="12.75">
      <c r="A1067" s="6">
        <v>45629.38019059028</v>
      </c>
      <c r="B1067" s="7" t="s">
        <v>289</v>
      </c>
      <c r="C1067" s="5" t="str">
        <f>LEFT(Form_Responses1[[#This Row],[問１　あなたは何年生ですか。]],3)</f>
        <v>小学校</v>
      </c>
      <c r="D1067" s="7" t="s">
        <v>19</v>
      </c>
      <c r="E1067" s="7" t="s">
        <v>67</v>
      </c>
      <c r="F1067" s="7" t="s">
        <v>902</v>
      </c>
    </row>
    <row r="1068" spans="1:6" ht="12.75">
      <c r="A1068" s="6">
        <v>45629.380437245374</v>
      </c>
      <c r="B1068" s="7" t="s">
        <v>289</v>
      </c>
      <c r="C1068" s="5" t="str">
        <f>LEFT(Form_Responses1[[#This Row],[問１　あなたは何年生ですか。]],3)</f>
        <v>小学校</v>
      </c>
      <c r="D1068" s="7" t="s">
        <v>24</v>
      </c>
      <c r="E1068" s="7" t="s">
        <v>10</v>
      </c>
      <c r="F1068" s="7" t="s">
        <v>903</v>
      </c>
    </row>
    <row r="1069" spans="1:6" ht="12.75">
      <c r="A1069" s="6">
        <v>45629.380493622681</v>
      </c>
      <c r="B1069" s="7" t="s">
        <v>289</v>
      </c>
      <c r="C1069" s="5" t="str">
        <f>LEFT(Form_Responses1[[#This Row],[問１　あなたは何年生ですか。]],3)</f>
        <v>小学校</v>
      </c>
      <c r="D1069" s="7" t="s">
        <v>24</v>
      </c>
      <c r="E1069" s="7" t="s">
        <v>10</v>
      </c>
      <c r="F1069" s="7" t="s">
        <v>904</v>
      </c>
    </row>
    <row r="1070" spans="1:6" ht="12.75">
      <c r="A1070" s="6">
        <v>45629.381261145834</v>
      </c>
      <c r="B1070" s="7" t="s">
        <v>289</v>
      </c>
      <c r="C1070" s="5" t="str">
        <f>LEFT(Form_Responses1[[#This Row],[問１　あなたは何年生ですか。]],3)</f>
        <v>小学校</v>
      </c>
      <c r="D1070" s="7" t="s">
        <v>6</v>
      </c>
      <c r="E1070" s="7" t="s">
        <v>10</v>
      </c>
      <c r="F1070" s="7" t="s">
        <v>905</v>
      </c>
    </row>
    <row r="1071" spans="1:6" ht="12.75">
      <c r="A1071" s="6">
        <v>45629.382028067128</v>
      </c>
      <c r="B1071" s="7" t="s">
        <v>21</v>
      </c>
      <c r="C1071" s="5" t="str">
        <f>LEFT(Form_Responses1[[#This Row],[問１　あなたは何年生ですか。]],3)</f>
        <v>小学校</v>
      </c>
      <c r="D1071" s="7" t="s">
        <v>906</v>
      </c>
      <c r="E1071" s="7" t="s">
        <v>10</v>
      </c>
      <c r="F1071" s="7" t="s">
        <v>907</v>
      </c>
    </row>
    <row r="1072" spans="1:6" ht="12.75">
      <c r="A1072" s="6">
        <v>45629.382738275468</v>
      </c>
      <c r="B1072" s="7" t="s">
        <v>289</v>
      </c>
      <c r="C1072" s="5" t="str">
        <f>LEFT(Form_Responses1[[#This Row],[問１　あなたは何年生ですか。]],3)</f>
        <v>小学校</v>
      </c>
      <c r="D1072" s="7" t="s">
        <v>24</v>
      </c>
      <c r="E1072" s="7" t="s">
        <v>10</v>
      </c>
      <c r="F1072" s="7" t="s">
        <v>908</v>
      </c>
    </row>
    <row r="1073" spans="1:6" ht="12.75">
      <c r="A1073" s="6">
        <v>45629.384172245365</v>
      </c>
      <c r="B1073" s="7" t="s">
        <v>21</v>
      </c>
      <c r="C1073" s="5" t="str">
        <f>LEFT(Form_Responses1[[#This Row],[問１　あなたは何年生ですか。]],3)</f>
        <v>小学校</v>
      </c>
      <c r="D1073" s="7" t="s">
        <v>909</v>
      </c>
      <c r="E1073" s="7" t="s">
        <v>10</v>
      </c>
      <c r="F1073" s="7" t="s">
        <v>910</v>
      </c>
    </row>
    <row r="1074" spans="1:6" ht="12.75">
      <c r="A1074" s="6">
        <v>45629.385078298612</v>
      </c>
      <c r="B1074" s="7" t="s">
        <v>289</v>
      </c>
      <c r="C1074" s="5" t="str">
        <f>LEFT(Form_Responses1[[#This Row],[問１　あなたは何年生ですか。]],3)</f>
        <v>小学校</v>
      </c>
      <c r="D1074" s="7" t="s">
        <v>30</v>
      </c>
      <c r="E1074" s="7" t="s">
        <v>15</v>
      </c>
      <c r="F1074" s="7" t="s">
        <v>911</v>
      </c>
    </row>
    <row r="1075" spans="1:6" ht="12.75">
      <c r="A1075" s="6">
        <v>45629.385178344906</v>
      </c>
      <c r="B1075" s="7" t="s">
        <v>289</v>
      </c>
      <c r="C1075" s="5" t="str">
        <f>LEFT(Form_Responses1[[#This Row],[問１　あなたは何年生ですか。]],3)</f>
        <v>小学校</v>
      </c>
      <c r="D1075" s="7" t="s">
        <v>6</v>
      </c>
      <c r="E1075" s="7" t="s">
        <v>10</v>
      </c>
      <c r="F1075" s="7" t="s">
        <v>912</v>
      </c>
    </row>
    <row r="1076" spans="1:6" ht="12.75">
      <c r="A1076" s="6">
        <v>45629.387886493059</v>
      </c>
      <c r="B1076" s="7" t="s">
        <v>289</v>
      </c>
      <c r="C1076" s="5" t="str">
        <f>LEFT(Form_Responses1[[#This Row],[問１　あなたは何年生ですか。]],3)</f>
        <v>小学校</v>
      </c>
      <c r="D1076" s="7" t="s">
        <v>30</v>
      </c>
      <c r="E1076" s="7" t="s">
        <v>10</v>
      </c>
      <c r="F1076" s="7" t="s">
        <v>913</v>
      </c>
    </row>
    <row r="1077" spans="1:6" ht="12.75">
      <c r="A1077" s="6">
        <v>45629.388745543984</v>
      </c>
      <c r="B1077" s="7" t="s">
        <v>289</v>
      </c>
      <c r="C1077" s="5" t="str">
        <f>LEFT(Form_Responses1[[#This Row],[問１　あなたは何年生ですか。]],3)</f>
        <v>小学校</v>
      </c>
      <c r="D1077" s="7" t="s">
        <v>19</v>
      </c>
      <c r="E1077" s="7" t="s">
        <v>10</v>
      </c>
      <c r="F1077" s="7" t="s">
        <v>914</v>
      </c>
    </row>
    <row r="1078" spans="1:6" ht="12.75">
      <c r="A1078" s="6">
        <v>45629.425591585648</v>
      </c>
      <c r="B1078" s="7" t="s">
        <v>289</v>
      </c>
      <c r="C1078" s="5" t="str">
        <f>LEFT(Form_Responses1[[#This Row],[問１　あなたは何年生ですか。]],3)</f>
        <v>小学校</v>
      </c>
      <c r="D1078" s="7" t="s">
        <v>6</v>
      </c>
      <c r="E1078" s="7" t="s">
        <v>10</v>
      </c>
      <c r="F1078" s="7" t="s">
        <v>915</v>
      </c>
    </row>
    <row r="1079" spans="1:6" ht="12.75">
      <c r="A1079" s="6">
        <v>45629.425616296299</v>
      </c>
      <c r="B1079" s="7" t="s">
        <v>289</v>
      </c>
      <c r="C1079" s="5" t="str">
        <f>LEFT(Form_Responses1[[#This Row],[問１　あなたは何年生ですか。]],3)</f>
        <v>小学校</v>
      </c>
      <c r="D1079" s="7" t="s">
        <v>12</v>
      </c>
      <c r="E1079" s="7" t="s">
        <v>10</v>
      </c>
      <c r="F1079" s="7" t="s">
        <v>916</v>
      </c>
    </row>
    <row r="1080" spans="1:6" ht="12.75">
      <c r="A1080" s="6">
        <v>45629.425647905096</v>
      </c>
      <c r="B1080" s="7" t="s">
        <v>289</v>
      </c>
      <c r="C1080" s="5" t="str">
        <f>LEFT(Form_Responses1[[#This Row],[問１　あなたは何年生ですか。]],3)</f>
        <v>小学校</v>
      </c>
      <c r="D1080" s="7" t="s">
        <v>22</v>
      </c>
      <c r="E1080" s="7" t="s">
        <v>10</v>
      </c>
      <c r="F1080" s="7" t="s">
        <v>917</v>
      </c>
    </row>
    <row r="1081" spans="1:6" ht="12.75">
      <c r="A1081" s="6">
        <v>45629.426222627313</v>
      </c>
      <c r="B1081" s="7" t="s">
        <v>289</v>
      </c>
      <c r="C1081" s="5" t="str">
        <f>LEFT(Form_Responses1[[#This Row],[問１　あなたは何年生ですか。]],3)</f>
        <v>小学校</v>
      </c>
      <c r="D1081" s="7" t="s">
        <v>918</v>
      </c>
      <c r="E1081" s="7" t="s">
        <v>67</v>
      </c>
      <c r="F1081" s="7" t="s">
        <v>112</v>
      </c>
    </row>
    <row r="1082" spans="1:6" ht="12.75">
      <c r="A1082" s="6">
        <v>45629.426309328701</v>
      </c>
      <c r="B1082" s="7" t="s">
        <v>289</v>
      </c>
      <c r="C1082" s="5" t="str">
        <f>LEFT(Form_Responses1[[#This Row],[問１　あなたは何年生ですか。]],3)</f>
        <v>小学校</v>
      </c>
      <c r="D1082" s="7" t="s">
        <v>24</v>
      </c>
      <c r="E1082" s="7" t="s">
        <v>10</v>
      </c>
      <c r="F1082" s="7" t="s">
        <v>919</v>
      </c>
    </row>
    <row r="1083" spans="1:6" ht="12.75">
      <c r="A1083" s="6">
        <v>45629.426826493058</v>
      </c>
      <c r="B1083" s="7" t="s">
        <v>289</v>
      </c>
      <c r="C1083" s="5" t="str">
        <f>LEFT(Form_Responses1[[#This Row],[問１　あなたは何年生ですか。]],3)</f>
        <v>小学校</v>
      </c>
      <c r="D1083" s="7" t="s">
        <v>6</v>
      </c>
      <c r="E1083" s="7" t="s">
        <v>10</v>
      </c>
      <c r="F1083" s="7" t="s">
        <v>817</v>
      </c>
    </row>
    <row r="1084" spans="1:6" ht="12.75">
      <c r="A1084" s="6">
        <v>45629.4269096875</v>
      </c>
      <c r="B1084" s="7" t="s">
        <v>289</v>
      </c>
      <c r="C1084" s="5" t="str">
        <f>LEFT(Form_Responses1[[#This Row],[問１　あなたは何年生ですか。]],3)</f>
        <v>小学校</v>
      </c>
      <c r="D1084" s="7" t="s">
        <v>24</v>
      </c>
      <c r="E1084" s="7" t="s">
        <v>10</v>
      </c>
      <c r="F1084" s="7" t="s">
        <v>920</v>
      </c>
    </row>
    <row r="1085" spans="1:6" ht="12.75">
      <c r="A1085" s="6">
        <v>45629.427052835643</v>
      </c>
      <c r="B1085" s="7" t="s">
        <v>289</v>
      </c>
      <c r="C1085" s="5" t="str">
        <f>LEFT(Form_Responses1[[#This Row],[問１　あなたは何年生ですか。]],3)</f>
        <v>小学校</v>
      </c>
      <c r="D1085" s="7" t="s">
        <v>12</v>
      </c>
      <c r="E1085" s="7" t="s">
        <v>10</v>
      </c>
      <c r="F1085" s="7" t="s">
        <v>271</v>
      </c>
    </row>
    <row r="1086" spans="1:6" ht="12.75">
      <c r="A1086" s="6">
        <v>45629.428432847228</v>
      </c>
      <c r="B1086" s="7" t="s">
        <v>289</v>
      </c>
      <c r="C1086" s="5" t="str">
        <f>LEFT(Form_Responses1[[#This Row],[問１　あなたは何年生ですか。]],3)</f>
        <v>小学校</v>
      </c>
      <c r="D1086" s="7" t="s">
        <v>19</v>
      </c>
      <c r="E1086" s="7" t="s">
        <v>10</v>
      </c>
      <c r="F1086" s="7" t="s">
        <v>921</v>
      </c>
    </row>
    <row r="1087" spans="1:6" ht="12.75">
      <c r="A1087" s="6">
        <v>45629.429994375001</v>
      </c>
      <c r="B1087" s="7" t="s">
        <v>289</v>
      </c>
      <c r="C1087" s="5" t="str">
        <f>LEFT(Form_Responses1[[#This Row],[問１　あなたは何年生ですか。]],3)</f>
        <v>小学校</v>
      </c>
      <c r="D1087" s="7" t="s">
        <v>6</v>
      </c>
      <c r="E1087" s="7" t="s">
        <v>7</v>
      </c>
      <c r="F1087" s="7" t="s">
        <v>922</v>
      </c>
    </row>
    <row r="1088" spans="1:6" ht="12.75">
      <c r="A1088" s="6">
        <v>45629.442991898148</v>
      </c>
      <c r="B1088" s="7" t="s">
        <v>23</v>
      </c>
      <c r="C1088" s="5" t="str">
        <f>LEFT(Form_Responses1[[#This Row],[問１　あなたは何年生ですか。]],3)</f>
        <v>小学校</v>
      </c>
      <c r="D1088" s="7" t="s">
        <v>6</v>
      </c>
      <c r="E1088" s="7" t="s">
        <v>10</v>
      </c>
      <c r="F1088" s="7" t="s">
        <v>923</v>
      </c>
    </row>
    <row r="1089" spans="1:6" ht="12.75">
      <c r="A1089" s="6">
        <v>45629.443075972224</v>
      </c>
      <c r="B1089" s="7" t="s">
        <v>23</v>
      </c>
      <c r="C1089" s="5" t="str">
        <f>LEFT(Form_Responses1[[#This Row],[問１　あなたは何年生ですか。]],3)</f>
        <v>小学校</v>
      </c>
      <c r="D1089" s="7" t="s">
        <v>12</v>
      </c>
      <c r="E1089" s="7" t="s">
        <v>7</v>
      </c>
      <c r="F1089" s="7" t="s">
        <v>924</v>
      </c>
    </row>
    <row r="1090" spans="1:6" ht="12.75">
      <c r="A1090" s="6">
        <v>45629.443281006941</v>
      </c>
      <c r="B1090" s="7" t="s">
        <v>8</v>
      </c>
      <c r="C1090" s="5" t="str">
        <f>LEFT(Form_Responses1[[#This Row],[問１　あなたは何年生ですか。]],3)</f>
        <v>小学校</v>
      </c>
      <c r="D1090" s="7" t="s">
        <v>22</v>
      </c>
      <c r="E1090" s="7" t="s">
        <v>10</v>
      </c>
      <c r="F1090" s="7" t="s">
        <v>925</v>
      </c>
    </row>
    <row r="1091" spans="1:6" ht="12.75">
      <c r="A1091" s="6">
        <v>45629.443283969907</v>
      </c>
      <c r="B1091" s="7" t="s">
        <v>8</v>
      </c>
      <c r="C1091" s="5" t="str">
        <f>LEFT(Form_Responses1[[#This Row],[問１　あなたは何年生ですか。]],3)</f>
        <v>小学校</v>
      </c>
      <c r="D1091" s="7" t="s">
        <v>9</v>
      </c>
      <c r="E1091" s="7" t="s">
        <v>10</v>
      </c>
      <c r="F1091" s="7" t="s">
        <v>926</v>
      </c>
    </row>
    <row r="1092" spans="1:6" ht="12.75">
      <c r="A1092" s="6">
        <v>45629.443284212961</v>
      </c>
      <c r="B1092" s="7" t="s">
        <v>23</v>
      </c>
      <c r="C1092" s="5" t="str">
        <f>LEFT(Form_Responses1[[#This Row],[問１　あなたは何年生ですか。]],3)</f>
        <v>小学校</v>
      </c>
      <c r="D1092" s="7" t="s">
        <v>24</v>
      </c>
      <c r="E1092" s="7" t="s">
        <v>10</v>
      </c>
      <c r="F1092" s="7" t="s">
        <v>927</v>
      </c>
    </row>
    <row r="1093" spans="1:6" ht="12.75">
      <c r="A1093" s="6">
        <v>45629.443288368057</v>
      </c>
      <c r="B1093" s="7" t="s">
        <v>8</v>
      </c>
      <c r="C1093" s="5" t="str">
        <f>LEFT(Form_Responses1[[#This Row],[問１　あなたは何年生ですか。]],3)</f>
        <v>小学校</v>
      </c>
      <c r="D1093" s="7" t="s">
        <v>6</v>
      </c>
      <c r="E1093" s="7" t="s">
        <v>10</v>
      </c>
      <c r="F1093" s="7" t="s">
        <v>928</v>
      </c>
    </row>
    <row r="1094" spans="1:6" ht="12.75">
      <c r="A1094" s="6">
        <v>45629.443335231481</v>
      </c>
      <c r="B1094" s="7" t="s">
        <v>8</v>
      </c>
      <c r="C1094" s="5" t="str">
        <f>LEFT(Form_Responses1[[#This Row],[問１　あなたは何年生ですか。]],3)</f>
        <v>小学校</v>
      </c>
      <c r="D1094" s="7" t="s">
        <v>6</v>
      </c>
      <c r="E1094" s="7" t="s">
        <v>10</v>
      </c>
      <c r="F1094" s="7" t="s">
        <v>929</v>
      </c>
    </row>
    <row r="1095" spans="1:6" ht="12.75">
      <c r="A1095" s="6">
        <v>45629.443401539349</v>
      </c>
      <c r="B1095" s="7" t="s">
        <v>8</v>
      </c>
      <c r="C1095" s="5" t="str">
        <f>LEFT(Form_Responses1[[#This Row],[問１　あなたは何年生ですか。]],3)</f>
        <v>小学校</v>
      </c>
      <c r="D1095" s="7" t="s">
        <v>6</v>
      </c>
      <c r="E1095" s="7" t="s">
        <v>10</v>
      </c>
      <c r="F1095" s="7" t="s">
        <v>930</v>
      </c>
    </row>
    <row r="1096" spans="1:6" ht="12.75">
      <c r="A1096" s="6">
        <v>45629.443411979169</v>
      </c>
      <c r="B1096" s="7" t="s">
        <v>23</v>
      </c>
      <c r="C1096" s="5" t="str">
        <f>LEFT(Form_Responses1[[#This Row],[問１　あなたは何年生ですか。]],3)</f>
        <v>小学校</v>
      </c>
      <c r="D1096" s="7" t="s">
        <v>47</v>
      </c>
      <c r="E1096" s="7" t="s">
        <v>15</v>
      </c>
      <c r="F1096" s="7" t="s">
        <v>931</v>
      </c>
    </row>
    <row r="1097" spans="1:6" ht="12.75">
      <c r="A1097" s="6">
        <v>45629.443556365746</v>
      </c>
      <c r="B1097" s="7" t="s">
        <v>8</v>
      </c>
      <c r="C1097" s="5" t="str">
        <f>LEFT(Form_Responses1[[#This Row],[問１　あなたは何年生ですか。]],3)</f>
        <v>小学校</v>
      </c>
      <c r="D1097" s="7" t="s">
        <v>6</v>
      </c>
      <c r="E1097" s="7" t="s">
        <v>10</v>
      </c>
      <c r="F1097" s="7" t="s">
        <v>932</v>
      </c>
    </row>
    <row r="1098" spans="1:6" ht="12.75">
      <c r="A1098" s="6">
        <v>45629.443599537037</v>
      </c>
      <c r="B1098" s="7" t="s">
        <v>8</v>
      </c>
      <c r="C1098" s="5" t="str">
        <f>LEFT(Form_Responses1[[#This Row],[問１　あなたは何年生ですか。]],3)</f>
        <v>小学校</v>
      </c>
      <c r="D1098" s="7" t="s">
        <v>24</v>
      </c>
      <c r="E1098" s="7" t="s">
        <v>7</v>
      </c>
      <c r="F1098" s="7" t="s">
        <v>933</v>
      </c>
    </row>
    <row r="1099" spans="1:6" ht="12.75">
      <c r="A1099" s="6">
        <v>45629.443879328704</v>
      </c>
      <c r="B1099" s="7" t="s">
        <v>23</v>
      </c>
      <c r="C1099" s="5" t="str">
        <f>LEFT(Form_Responses1[[#This Row],[問１　あなたは何年生ですか。]],3)</f>
        <v>小学校</v>
      </c>
      <c r="D1099" s="7" t="s">
        <v>12</v>
      </c>
      <c r="E1099" s="7" t="s">
        <v>10</v>
      </c>
      <c r="F1099" s="7" t="s">
        <v>934</v>
      </c>
    </row>
    <row r="1100" spans="1:6" ht="12.75">
      <c r="A1100" s="6">
        <v>45629.443895474542</v>
      </c>
      <c r="B1100" s="7" t="s">
        <v>23</v>
      </c>
      <c r="C1100" s="5" t="str">
        <f>LEFT(Form_Responses1[[#This Row],[問１　あなたは何年生ですか。]],3)</f>
        <v>小学校</v>
      </c>
      <c r="D1100" s="7" t="s">
        <v>6</v>
      </c>
      <c r="E1100" s="7" t="s">
        <v>10</v>
      </c>
      <c r="F1100" s="7" t="s">
        <v>110</v>
      </c>
    </row>
    <row r="1101" spans="1:6" ht="12.75">
      <c r="A1101" s="6">
        <v>45629.444004224541</v>
      </c>
      <c r="B1101" s="7" t="s">
        <v>8</v>
      </c>
      <c r="C1101" s="5" t="str">
        <f>LEFT(Form_Responses1[[#This Row],[問１　あなたは何年生ですか。]],3)</f>
        <v>小学校</v>
      </c>
      <c r="D1101" s="7" t="s">
        <v>6</v>
      </c>
      <c r="E1101" s="7" t="s">
        <v>10</v>
      </c>
      <c r="F1101" s="7" t="s">
        <v>935</v>
      </c>
    </row>
    <row r="1102" spans="1:6" ht="12.75">
      <c r="A1102" s="6">
        <v>45629.444160196756</v>
      </c>
      <c r="B1102" s="7" t="s">
        <v>8</v>
      </c>
      <c r="C1102" s="5" t="str">
        <f>LEFT(Form_Responses1[[#This Row],[問１　あなたは何年生ですか。]],3)</f>
        <v>小学校</v>
      </c>
      <c r="D1102" s="7" t="s">
        <v>936</v>
      </c>
      <c r="E1102" s="7" t="s">
        <v>10</v>
      </c>
      <c r="F1102" s="7" t="s">
        <v>937</v>
      </c>
    </row>
    <row r="1103" spans="1:6" ht="12.75">
      <c r="A1103" s="6">
        <v>45629.444211006943</v>
      </c>
      <c r="B1103" s="7" t="s">
        <v>23</v>
      </c>
      <c r="C1103" s="5" t="str">
        <f>LEFT(Form_Responses1[[#This Row],[問１　あなたは何年生ですか。]],3)</f>
        <v>小学校</v>
      </c>
      <c r="D1103" s="7" t="s">
        <v>121</v>
      </c>
      <c r="E1103" s="7" t="s">
        <v>10</v>
      </c>
      <c r="F1103" s="7" t="s">
        <v>52</v>
      </c>
    </row>
    <row r="1104" spans="1:6" ht="12.75">
      <c r="A1104" s="6">
        <v>45629.44423893519</v>
      </c>
      <c r="B1104" s="7" t="s">
        <v>23</v>
      </c>
      <c r="C1104" s="5" t="str">
        <f>LEFT(Form_Responses1[[#This Row],[問１　あなたは何年生ですか。]],3)</f>
        <v>小学校</v>
      </c>
      <c r="D1104" s="7" t="s">
        <v>19</v>
      </c>
      <c r="E1104" s="7" t="s">
        <v>7</v>
      </c>
      <c r="F1104" s="7" t="s">
        <v>938</v>
      </c>
    </row>
    <row r="1105" spans="1:6" ht="12.75">
      <c r="A1105" s="6">
        <v>45629.444251620371</v>
      </c>
      <c r="B1105" s="7" t="s">
        <v>23</v>
      </c>
      <c r="C1105" s="5" t="str">
        <f>LEFT(Form_Responses1[[#This Row],[問１　あなたは何年生ですか。]],3)</f>
        <v>小学校</v>
      </c>
      <c r="D1105" s="7" t="s">
        <v>6</v>
      </c>
      <c r="E1105" s="7" t="s">
        <v>7</v>
      </c>
      <c r="F1105" s="7" t="s">
        <v>939</v>
      </c>
    </row>
    <row r="1106" spans="1:6" ht="12.75">
      <c r="A1106" s="6">
        <v>45629.44426478009</v>
      </c>
      <c r="B1106" s="7" t="s">
        <v>8</v>
      </c>
      <c r="C1106" s="5" t="str">
        <f>LEFT(Form_Responses1[[#This Row],[問１　あなたは何年生ですか。]],3)</f>
        <v>小学校</v>
      </c>
      <c r="D1106" s="7" t="s">
        <v>6</v>
      </c>
      <c r="E1106" s="7" t="s">
        <v>10</v>
      </c>
      <c r="F1106" s="7" t="s">
        <v>928</v>
      </c>
    </row>
    <row r="1107" spans="1:6" ht="12.75">
      <c r="A1107" s="6">
        <v>45629.444330127313</v>
      </c>
      <c r="B1107" s="7" t="s">
        <v>23</v>
      </c>
      <c r="C1107" s="5" t="str">
        <f>LEFT(Form_Responses1[[#This Row],[問１　あなたは何年生ですか。]],3)</f>
        <v>小学校</v>
      </c>
      <c r="D1107" s="7" t="s">
        <v>6</v>
      </c>
      <c r="E1107" s="7" t="s">
        <v>7</v>
      </c>
      <c r="F1107" s="7" t="s">
        <v>940</v>
      </c>
    </row>
    <row r="1108" spans="1:6" ht="12.75">
      <c r="A1108" s="6">
        <v>45629.444335231485</v>
      </c>
      <c r="B1108" s="7" t="s">
        <v>8</v>
      </c>
      <c r="C1108" s="5" t="str">
        <f>LEFT(Form_Responses1[[#This Row],[問１　あなたは何年生ですか。]],3)</f>
        <v>小学校</v>
      </c>
      <c r="D1108" s="7" t="s">
        <v>6</v>
      </c>
      <c r="E1108" s="7" t="s">
        <v>10</v>
      </c>
      <c r="F1108" s="7" t="s">
        <v>928</v>
      </c>
    </row>
    <row r="1109" spans="1:6" ht="12.75">
      <c r="A1109" s="6">
        <v>45629.444368807875</v>
      </c>
      <c r="B1109" s="7" t="s">
        <v>8</v>
      </c>
      <c r="C1109" s="5" t="str">
        <f>LEFT(Form_Responses1[[#This Row],[問１　あなたは何年生ですか。]],3)</f>
        <v>小学校</v>
      </c>
      <c r="D1109" s="7" t="s">
        <v>6</v>
      </c>
      <c r="E1109" s="7" t="s">
        <v>10</v>
      </c>
      <c r="F1109" s="7" t="s">
        <v>928</v>
      </c>
    </row>
    <row r="1110" spans="1:6" ht="12.75">
      <c r="A1110" s="6">
        <v>45629.444400532404</v>
      </c>
      <c r="B1110" s="7" t="s">
        <v>8</v>
      </c>
      <c r="C1110" s="5" t="str">
        <f>LEFT(Form_Responses1[[#This Row],[問１　あなたは何年生ですか。]],3)</f>
        <v>小学校</v>
      </c>
      <c r="D1110" s="7" t="s">
        <v>22</v>
      </c>
      <c r="E1110" s="7" t="s">
        <v>10</v>
      </c>
      <c r="F1110" s="7" t="s">
        <v>941</v>
      </c>
    </row>
    <row r="1111" spans="1:6" ht="12.75">
      <c r="A1111" s="6">
        <v>45629.444419537038</v>
      </c>
      <c r="B1111" s="7" t="s">
        <v>8</v>
      </c>
      <c r="C1111" s="5" t="str">
        <f>LEFT(Form_Responses1[[#This Row],[問１　あなたは何年生ですか。]],3)</f>
        <v>小学校</v>
      </c>
      <c r="D1111" s="7" t="s">
        <v>6</v>
      </c>
      <c r="E1111" s="7" t="s">
        <v>10</v>
      </c>
      <c r="F1111" s="7" t="s">
        <v>942</v>
      </c>
    </row>
    <row r="1112" spans="1:6" ht="12.75">
      <c r="A1112" s="6">
        <v>45629.444616076391</v>
      </c>
      <c r="B1112" s="7" t="s">
        <v>23</v>
      </c>
      <c r="C1112" s="5" t="str">
        <f>LEFT(Form_Responses1[[#This Row],[問１　あなたは何年生ですか。]],3)</f>
        <v>小学校</v>
      </c>
      <c r="D1112" s="7" t="s">
        <v>6</v>
      </c>
      <c r="E1112" s="7" t="s">
        <v>7</v>
      </c>
      <c r="F1112" s="7" t="s">
        <v>943</v>
      </c>
    </row>
    <row r="1113" spans="1:6" ht="12.75">
      <c r="A1113" s="6">
        <v>45629.444627916666</v>
      </c>
      <c r="B1113" s="7" t="s">
        <v>23</v>
      </c>
      <c r="C1113" s="5" t="str">
        <f>LEFT(Form_Responses1[[#This Row],[問１　あなたは何年生ですか。]],3)</f>
        <v>小学校</v>
      </c>
      <c r="D1113" s="7" t="s">
        <v>24</v>
      </c>
      <c r="E1113" s="7" t="s">
        <v>7</v>
      </c>
      <c r="F1113" s="7" t="s">
        <v>944</v>
      </c>
    </row>
    <row r="1114" spans="1:6" ht="12.75">
      <c r="A1114" s="6">
        <v>45629.444679305554</v>
      </c>
      <c r="B1114" s="7" t="s">
        <v>23</v>
      </c>
      <c r="C1114" s="5" t="str">
        <f>LEFT(Form_Responses1[[#This Row],[問１　あなたは何年生ですか。]],3)</f>
        <v>小学校</v>
      </c>
      <c r="D1114" s="7" t="s">
        <v>121</v>
      </c>
      <c r="E1114" s="7" t="s">
        <v>10</v>
      </c>
      <c r="F1114" s="7" t="s">
        <v>945</v>
      </c>
    </row>
    <row r="1115" spans="1:6" ht="12.75">
      <c r="A1115" s="6">
        <v>45629.445063252315</v>
      </c>
      <c r="B1115" s="7" t="s">
        <v>8</v>
      </c>
      <c r="C1115" s="5" t="str">
        <f>LEFT(Form_Responses1[[#This Row],[問１　あなたは何年生ですか。]],3)</f>
        <v>小学校</v>
      </c>
      <c r="D1115" s="7" t="s">
        <v>24</v>
      </c>
      <c r="E1115" s="7" t="s">
        <v>10</v>
      </c>
      <c r="F1115" s="7" t="s">
        <v>946</v>
      </c>
    </row>
    <row r="1116" spans="1:6" ht="12.75">
      <c r="A1116" s="6">
        <v>45629.445317997684</v>
      </c>
      <c r="B1116" s="7" t="s">
        <v>23</v>
      </c>
      <c r="C1116" s="5" t="str">
        <f>LEFT(Form_Responses1[[#This Row],[問１　あなたは何年生ですか。]],3)</f>
        <v>小学校</v>
      </c>
      <c r="D1116" s="7" t="s">
        <v>19</v>
      </c>
      <c r="E1116" s="7" t="s">
        <v>10</v>
      </c>
      <c r="F1116" s="7" t="s">
        <v>947</v>
      </c>
    </row>
    <row r="1117" spans="1:6" ht="12.75">
      <c r="A1117" s="6">
        <v>45629.445351620372</v>
      </c>
      <c r="B1117" s="7" t="s">
        <v>8</v>
      </c>
      <c r="C1117" s="5" t="str">
        <f>LEFT(Form_Responses1[[#This Row],[問１　あなたは何年生ですか。]],3)</f>
        <v>小学校</v>
      </c>
      <c r="D1117" s="7" t="s">
        <v>6</v>
      </c>
      <c r="E1117" s="7" t="s">
        <v>7</v>
      </c>
      <c r="F1117" s="7" t="s">
        <v>948</v>
      </c>
    </row>
    <row r="1118" spans="1:6" ht="12.75">
      <c r="A1118" s="6">
        <v>45629.445617546298</v>
      </c>
      <c r="B1118" s="7" t="s">
        <v>23</v>
      </c>
      <c r="C1118" s="5" t="str">
        <f>LEFT(Form_Responses1[[#This Row],[問１　あなたは何年生ですか。]],3)</f>
        <v>小学校</v>
      </c>
      <c r="D1118" s="7" t="s">
        <v>19</v>
      </c>
      <c r="E1118" s="7" t="s">
        <v>10</v>
      </c>
      <c r="F1118" s="7" t="s">
        <v>949</v>
      </c>
    </row>
    <row r="1119" spans="1:6" ht="12.75">
      <c r="A1119" s="6">
        <v>45629.445667777778</v>
      </c>
      <c r="B1119" s="7" t="s">
        <v>23</v>
      </c>
      <c r="C1119" s="5" t="str">
        <f>LEFT(Form_Responses1[[#This Row],[問１　あなたは何年生ですか。]],3)</f>
        <v>小学校</v>
      </c>
      <c r="D1119" s="7" t="s">
        <v>6</v>
      </c>
      <c r="E1119" s="7" t="s">
        <v>7</v>
      </c>
      <c r="F1119" s="7" t="s">
        <v>950</v>
      </c>
    </row>
    <row r="1120" spans="1:6" ht="12.75">
      <c r="A1120" s="6">
        <v>45629.445698495372</v>
      </c>
      <c r="B1120" s="7" t="s">
        <v>23</v>
      </c>
      <c r="C1120" s="5" t="str">
        <f>LEFT(Form_Responses1[[#This Row],[問１　あなたは何年生ですか。]],3)</f>
        <v>小学校</v>
      </c>
      <c r="D1120" s="7" t="s">
        <v>12</v>
      </c>
      <c r="E1120" s="7" t="s">
        <v>10</v>
      </c>
      <c r="F1120" s="7" t="s">
        <v>951</v>
      </c>
    </row>
    <row r="1121" spans="1:6" ht="12.75">
      <c r="A1121" s="6">
        <v>45629.445776608802</v>
      </c>
      <c r="B1121" s="7" t="s">
        <v>23</v>
      </c>
      <c r="C1121" s="5" t="str">
        <f>LEFT(Form_Responses1[[#This Row],[問１　あなたは何年生ですか。]],3)</f>
        <v>小学校</v>
      </c>
      <c r="D1121" s="7" t="s">
        <v>6</v>
      </c>
      <c r="E1121" s="7" t="s">
        <v>7</v>
      </c>
      <c r="F1121" s="7" t="s">
        <v>952</v>
      </c>
    </row>
    <row r="1122" spans="1:6" ht="12.75">
      <c r="A1122" s="6">
        <v>45629.445952627313</v>
      </c>
      <c r="B1122" s="7" t="s">
        <v>23</v>
      </c>
      <c r="C1122" s="5" t="str">
        <f>LEFT(Form_Responses1[[#This Row],[問１　あなたは何年生ですか。]],3)</f>
        <v>小学校</v>
      </c>
      <c r="D1122" s="7" t="s">
        <v>6</v>
      </c>
      <c r="E1122" s="7" t="s">
        <v>10</v>
      </c>
      <c r="F1122" s="7" t="s">
        <v>953</v>
      </c>
    </row>
    <row r="1123" spans="1:6" ht="12.75">
      <c r="A1123" s="6">
        <v>45629.445984259262</v>
      </c>
      <c r="B1123" s="7" t="s">
        <v>23</v>
      </c>
      <c r="C1123" s="5" t="str">
        <f>LEFT(Form_Responses1[[#This Row],[問１　あなたは何年生ですか。]],3)</f>
        <v>小学校</v>
      </c>
      <c r="D1123" s="7" t="s">
        <v>6</v>
      </c>
      <c r="E1123" s="7" t="s">
        <v>7</v>
      </c>
      <c r="F1123" s="7" t="s">
        <v>954</v>
      </c>
    </row>
    <row r="1124" spans="1:6" ht="12.75">
      <c r="A1124" s="6">
        <v>45629.446227210647</v>
      </c>
      <c r="B1124" s="7" t="s">
        <v>23</v>
      </c>
      <c r="C1124" s="5" t="str">
        <f>LEFT(Form_Responses1[[#This Row],[問１　あなたは何年生ですか。]],3)</f>
        <v>小学校</v>
      </c>
      <c r="D1124" s="7" t="s">
        <v>955</v>
      </c>
      <c r="E1124" s="7" t="s">
        <v>10</v>
      </c>
      <c r="F1124" s="7" t="s">
        <v>956</v>
      </c>
    </row>
    <row r="1125" spans="1:6" ht="12.75">
      <c r="A1125" s="6">
        <v>45629.446450960648</v>
      </c>
      <c r="B1125" s="7" t="s">
        <v>23</v>
      </c>
      <c r="C1125" s="5" t="str">
        <f>LEFT(Form_Responses1[[#This Row],[問１　あなたは何年生ですか。]],3)</f>
        <v>小学校</v>
      </c>
      <c r="D1125" s="7" t="s">
        <v>121</v>
      </c>
      <c r="E1125" s="7" t="s">
        <v>10</v>
      </c>
      <c r="F1125" s="7" t="s">
        <v>957</v>
      </c>
    </row>
    <row r="1126" spans="1:6" ht="12.75">
      <c r="A1126" s="6">
        <v>45629.446491319446</v>
      </c>
      <c r="B1126" s="7" t="s">
        <v>8</v>
      </c>
      <c r="C1126" s="5" t="str">
        <f>LEFT(Form_Responses1[[#This Row],[問１　あなたは何年生ですか。]],3)</f>
        <v>小学校</v>
      </c>
      <c r="D1126" s="7" t="s">
        <v>6</v>
      </c>
      <c r="E1126" s="7" t="s">
        <v>10</v>
      </c>
      <c r="F1126" s="7" t="s">
        <v>958</v>
      </c>
    </row>
    <row r="1127" spans="1:6" ht="12.75">
      <c r="A1127" s="6">
        <v>45629.447335069446</v>
      </c>
      <c r="B1127" s="7" t="s">
        <v>23</v>
      </c>
      <c r="C1127" s="5" t="str">
        <f>LEFT(Form_Responses1[[#This Row],[問１　あなたは何年生ですか。]],3)</f>
        <v>小学校</v>
      </c>
      <c r="D1127" s="7" t="s">
        <v>19</v>
      </c>
      <c r="E1127" s="7" t="s">
        <v>10</v>
      </c>
      <c r="F1127" s="7" t="s">
        <v>959</v>
      </c>
    </row>
    <row r="1128" spans="1:6" ht="12.75">
      <c r="A1128" s="6">
        <v>45629.447547696764</v>
      </c>
      <c r="B1128" s="7" t="s">
        <v>8</v>
      </c>
      <c r="C1128" s="5" t="str">
        <f>LEFT(Form_Responses1[[#This Row],[問１　あなたは何年生ですか。]],3)</f>
        <v>小学校</v>
      </c>
      <c r="D1128" s="7" t="s">
        <v>960</v>
      </c>
      <c r="E1128" s="7" t="s">
        <v>10</v>
      </c>
      <c r="F1128" s="7" t="s">
        <v>961</v>
      </c>
    </row>
    <row r="1129" spans="1:6" ht="12.75">
      <c r="A1129" s="6">
        <v>45629.451377500001</v>
      </c>
      <c r="B1129" s="7" t="s">
        <v>13</v>
      </c>
      <c r="C1129" s="5" t="str">
        <f>LEFT(Form_Responses1[[#This Row],[問１　あなたは何年生ですか。]],3)</f>
        <v>小学校</v>
      </c>
      <c r="D1129" s="7" t="s">
        <v>24</v>
      </c>
      <c r="E1129" s="7" t="s">
        <v>7</v>
      </c>
      <c r="F1129" s="8"/>
    </row>
    <row r="1130" spans="1:6" ht="12.75">
      <c r="A1130" s="6">
        <v>45629.45138082176</v>
      </c>
      <c r="B1130" s="7" t="s">
        <v>13</v>
      </c>
      <c r="C1130" s="5" t="str">
        <f>LEFT(Form_Responses1[[#This Row],[問１　あなたは何年生ですか。]],3)</f>
        <v>小学校</v>
      </c>
      <c r="D1130" s="7" t="s">
        <v>6</v>
      </c>
      <c r="E1130" s="7" t="s">
        <v>10</v>
      </c>
      <c r="F1130" s="8"/>
    </row>
    <row r="1131" spans="1:6" ht="12.75">
      <c r="A1131" s="6">
        <v>45629.451388530091</v>
      </c>
      <c r="B1131" s="7" t="s">
        <v>21</v>
      </c>
      <c r="C1131" s="5" t="str">
        <f>LEFT(Form_Responses1[[#This Row],[問１　あなたは何年生ですか。]],3)</f>
        <v>小学校</v>
      </c>
      <c r="D1131" s="7" t="s">
        <v>24</v>
      </c>
      <c r="E1131" s="7" t="s">
        <v>10</v>
      </c>
      <c r="F1131" s="8"/>
    </row>
    <row r="1132" spans="1:6" ht="12.75">
      <c r="A1132" s="6">
        <v>45629.451391423616</v>
      </c>
      <c r="B1132" s="7" t="s">
        <v>13</v>
      </c>
      <c r="C1132" s="5" t="str">
        <f>LEFT(Form_Responses1[[#This Row],[問１　あなたは何年生ですか。]],3)</f>
        <v>小学校</v>
      </c>
      <c r="D1132" s="7" t="s">
        <v>19</v>
      </c>
      <c r="E1132" s="7" t="s">
        <v>10</v>
      </c>
      <c r="F1132" s="8"/>
    </row>
    <row r="1133" spans="1:6" ht="12.75">
      <c r="A1133" s="6">
        <v>45629.45139775463</v>
      </c>
      <c r="B1133" s="7" t="s">
        <v>13</v>
      </c>
      <c r="C1133" s="5" t="str">
        <f>LEFT(Form_Responses1[[#This Row],[問１　あなたは何年生ですか。]],3)</f>
        <v>小学校</v>
      </c>
      <c r="D1133" s="7" t="s">
        <v>24</v>
      </c>
      <c r="E1133" s="7" t="s">
        <v>7</v>
      </c>
      <c r="F1133" s="8"/>
    </row>
    <row r="1134" spans="1:6" ht="12.75">
      <c r="A1134" s="6">
        <v>45629.451396365737</v>
      </c>
      <c r="B1134" s="7" t="s">
        <v>13</v>
      </c>
      <c r="C1134" s="5" t="str">
        <f>LEFT(Form_Responses1[[#This Row],[問１　あなたは何年生ですか。]],3)</f>
        <v>小学校</v>
      </c>
      <c r="D1134" s="7" t="s">
        <v>24</v>
      </c>
      <c r="E1134" s="7" t="s">
        <v>10</v>
      </c>
      <c r="F1134" s="8"/>
    </row>
    <row r="1135" spans="1:6" ht="12.75">
      <c r="A1135" s="6">
        <v>45629.451396539356</v>
      </c>
      <c r="B1135" s="7" t="s">
        <v>13</v>
      </c>
      <c r="C1135" s="5" t="str">
        <f>LEFT(Form_Responses1[[#This Row],[問１　あなたは何年生ですか。]],3)</f>
        <v>小学校</v>
      </c>
      <c r="D1135" s="7" t="s">
        <v>9</v>
      </c>
      <c r="E1135" s="7" t="s">
        <v>10</v>
      </c>
      <c r="F1135" s="8"/>
    </row>
    <row r="1136" spans="1:6" ht="12.75">
      <c r="A1136" s="6">
        <v>45629.451400717589</v>
      </c>
      <c r="B1136" s="7" t="s">
        <v>13</v>
      </c>
      <c r="C1136" s="5" t="str">
        <f>LEFT(Form_Responses1[[#This Row],[問１　あなたは何年生ですか。]],3)</f>
        <v>小学校</v>
      </c>
      <c r="D1136" s="7" t="s">
        <v>12</v>
      </c>
      <c r="E1136" s="7" t="s">
        <v>10</v>
      </c>
      <c r="F1136" s="8"/>
    </row>
    <row r="1137" spans="1:6" ht="12.75">
      <c r="A1137" s="6">
        <v>45629.451400914353</v>
      </c>
      <c r="B1137" s="7" t="s">
        <v>13</v>
      </c>
      <c r="C1137" s="5" t="str">
        <f>LEFT(Form_Responses1[[#This Row],[問１　あなたは何年生ですか。]],3)</f>
        <v>小学校</v>
      </c>
      <c r="D1137" s="7" t="s">
        <v>24</v>
      </c>
      <c r="E1137" s="7" t="s">
        <v>10</v>
      </c>
      <c r="F1137" s="8"/>
    </row>
    <row r="1138" spans="1:6" ht="12.75">
      <c r="A1138" s="6">
        <v>45629.451409340283</v>
      </c>
      <c r="B1138" s="7" t="s">
        <v>13</v>
      </c>
      <c r="C1138" s="5" t="str">
        <f>LEFT(Form_Responses1[[#This Row],[問１　あなたは何年生ですか。]],3)</f>
        <v>小学校</v>
      </c>
      <c r="D1138" s="7" t="s">
        <v>6</v>
      </c>
      <c r="E1138" s="7" t="s">
        <v>10</v>
      </c>
      <c r="F1138" s="8"/>
    </row>
    <row r="1139" spans="1:6" ht="12.75">
      <c r="A1139" s="6">
        <v>45629.451411134258</v>
      </c>
      <c r="B1139" s="7" t="s">
        <v>13</v>
      </c>
      <c r="C1139" s="5" t="str">
        <f>LEFT(Form_Responses1[[#This Row],[問１　あなたは何年生ですか。]],3)</f>
        <v>小学校</v>
      </c>
      <c r="D1139" s="7" t="s">
        <v>9</v>
      </c>
      <c r="E1139" s="7" t="s">
        <v>10</v>
      </c>
      <c r="F1139" s="8"/>
    </row>
    <row r="1140" spans="1:6" ht="12.75">
      <c r="A1140" s="6">
        <v>45629.451414861112</v>
      </c>
      <c r="B1140" s="7" t="s">
        <v>13</v>
      </c>
      <c r="C1140" s="5" t="str">
        <f>LEFT(Form_Responses1[[#This Row],[問１　あなたは何年生ですか。]],3)</f>
        <v>小学校</v>
      </c>
      <c r="D1140" s="7" t="s">
        <v>19</v>
      </c>
      <c r="E1140" s="7" t="s">
        <v>67</v>
      </c>
      <c r="F1140" s="8"/>
    </row>
    <row r="1141" spans="1:6" ht="12.75">
      <c r="A1141" s="6">
        <v>45629.451415717587</v>
      </c>
      <c r="B1141" s="7" t="s">
        <v>13</v>
      </c>
      <c r="C1141" s="5" t="str">
        <f>LEFT(Form_Responses1[[#This Row],[問１　あなたは何年生ですか。]],3)</f>
        <v>小学校</v>
      </c>
      <c r="D1141" s="7" t="s">
        <v>12</v>
      </c>
      <c r="E1141" s="7" t="s">
        <v>10</v>
      </c>
      <c r="F1141" s="8"/>
    </row>
    <row r="1142" spans="1:6" ht="12.75">
      <c r="A1142" s="6">
        <v>45629.451418229168</v>
      </c>
      <c r="B1142" s="7" t="s">
        <v>13</v>
      </c>
      <c r="C1142" s="5" t="str">
        <f>LEFT(Form_Responses1[[#This Row],[問１　あなたは何年生ですか。]],3)</f>
        <v>小学校</v>
      </c>
      <c r="D1142" s="7" t="s">
        <v>22</v>
      </c>
      <c r="E1142" s="7" t="s">
        <v>7</v>
      </c>
      <c r="F1142" s="8"/>
    </row>
    <row r="1143" spans="1:6" ht="12.75">
      <c r="A1143" s="6">
        <v>45629.451438611111</v>
      </c>
      <c r="B1143" s="7" t="s">
        <v>13</v>
      </c>
      <c r="C1143" s="5" t="str">
        <f>LEFT(Form_Responses1[[#This Row],[問１　あなたは何年生ですか。]],3)</f>
        <v>小学校</v>
      </c>
      <c r="D1143" s="7" t="s">
        <v>24</v>
      </c>
      <c r="E1143" s="7" t="s">
        <v>10</v>
      </c>
      <c r="F1143" s="8"/>
    </row>
    <row r="1144" spans="1:6" ht="12.75">
      <c r="A1144" s="6">
        <v>45629.451439398152</v>
      </c>
      <c r="B1144" s="7" t="s">
        <v>13</v>
      </c>
      <c r="C1144" s="5" t="str">
        <f>LEFT(Form_Responses1[[#This Row],[問１　あなたは何年生ですか。]],3)</f>
        <v>小学校</v>
      </c>
      <c r="D1144" s="7" t="s">
        <v>12</v>
      </c>
      <c r="E1144" s="7" t="s">
        <v>10</v>
      </c>
      <c r="F1144" s="8"/>
    </row>
    <row r="1145" spans="1:6" ht="12.75">
      <c r="A1145" s="6">
        <v>45629.451445208339</v>
      </c>
      <c r="B1145" s="7" t="s">
        <v>13</v>
      </c>
      <c r="C1145" s="5" t="str">
        <f>LEFT(Form_Responses1[[#This Row],[問１　あなたは何年生ですか。]],3)</f>
        <v>小学校</v>
      </c>
      <c r="D1145" s="7" t="s">
        <v>24</v>
      </c>
      <c r="E1145" s="7" t="s">
        <v>10</v>
      </c>
      <c r="F1145" s="8"/>
    </row>
    <row r="1146" spans="1:6" ht="12.75">
      <c r="A1146" s="6">
        <v>45629.451450011577</v>
      </c>
      <c r="B1146" s="7" t="s">
        <v>13</v>
      </c>
      <c r="C1146" s="5" t="str">
        <f>LEFT(Form_Responses1[[#This Row],[問１　あなたは何年生ですか。]],3)</f>
        <v>小学校</v>
      </c>
      <c r="D1146" s="7" t="s">
        <v>12</v>
      </c>
      <c r="E1146" s="7" t="s">
        <v>10</v>
      </c>
      <c r="F1146" s="8"/>
    </row>
    <row r="1147" spans="1:6" ht="12.75">
      <c r="A1147" s="6">
        <v>45629.451474016205</v>
      </c>
      <c r="B1147" s="7" t="s">
        <v>13</v>
      </c>
      <c r="C1147" s="5" t="str">
        <f>LEFT(Form_Responses1[[#This Row],[問１　あなたは何年生ですか。]],3)</f>
        <v>小学校</v>
      </c>
      <c r="D1147" s="7" t="s">
        <v>6</v>
      </c>
      <c r="E1147" s="7" t="s">
        <v>10</v>
      </c>
      <c r="F1147" s="8"/>
    </row>
    <row r="1148" spans="1:6" ht="12.75">
      <c r="A1148" s="6">
        <v>45629.451486261576</v>
      </c>
      <c r="B1148" s="7" t="s">
        <v>13</v>
      </c>
      <c r="C1148" s="5" t="str">
        <f>LEFT(Form_Responses1[[#This Row],[問１　あなたは何年生ですか。]],3)</f>
        <v>小学校</v>
      </c>
      <c r="D1148" s="7" t="s">
        <v>12</v>
      </c>
      <c r="E1148" s="7" t="s">
        <v>10</v>
      </c>
      <c r="F1148" s="8"/>
    </row>
    <row r="1149" spans="1:6" ht="12.75">
      <c r="A1149" s="6">
        <v>45629.451489942134</v>
      </c>
      <c r="B1149" s="7" t="s">
        <v>13</v>
      </c>
      <c r="C1149" s="5" t="str">
        <f>LEFT(Form_Responses1[[#This Row],[問１　あなたは何年生ですか。]],3)</f>
        <v>小学校</v>
      </c>
      <c r="D1149" s="7" t="s">
        <v>6</v>
      </c>
      <c r="E1149" s="7" t="s">
        <v>10</v>
      </c>
      <c r="F1149" s="8"/>
    </row>
    <row r="1150" spans="1:6" ht="12.75">
      <c r="A1150" s="6">
        <v>45629.451496782407</v>
      </c>
      <c r="B1150" s="7" t="s">
        <v>13</v>
      </c>
      <c r="C1150" s="5" t="str">
        <f>LEFT(Form_Responses1[[#This Row],[問１　あなたは何年生ですか。]],3)</f>
        <v>小学校</v>
      </c>
      <c r="D1150" s="7" t="s">
        <v>24</v>
      </c>
      <c r="E1150" s="7" t="s">
        <v>10</v>
      </c>
      <c r="F1150" s="8"/>
    </row>
    <row r="1151" spans="1:6" ht="12.75">
      <c r="A1151" s="6">
        <v>45629.451503680553</v>
      </c>
      <c r="B1151" s="7" t="s">
        <v>13</v>
      </c>
      <c r="C1151" s="5" t="str">
        <f>LEFT(Form_Responses1[[#This Row],[問１　あなたは何年生ですか。]],3)</f>
        <v>小学校</v>
      </c>
      <c r="D1151" s="7" t="s">
        <v>14</v>
      </c>
      <c r="E1151" s="7" t="s">
        <v>10</v>
      </c>
      <c r="F1151" s="8"/>
    </row>
    <row r="1152" spans="1:6" ht="12.75">
      <c r="A1152" s="6">
        <v>45629.451541527778</v>
      </c>
      <c r="B1152" s="7" t="s">
        <v>13</v>
      </c>
      <c r="C1152" s="5" t="str">
        <f>LEFT(Form_Responses1[[#This Row],[問１　あなたは何年生ですか。]],3)</f>
        <v>小学校</v>
      </c>
      <c r="D1152" s="7" t="s">
        <v>9</v>
      </c>
      <c r="E1152" s="7" t="s">
        <v>7</v>
      </c>
      <c r="F1152" s="8"/>
    </row>
    <row r="1153" spans="1:6" ht="12.75">
      <c r="A1153" s="6">
        <v>45629.451600868051</v>
      </c>
      <c r="B1153" s="7" t="s">
        <v>13</v>
      </c>
      <c r="C1153" s="5" t="str">
        <f>LEFT(Form_Responses1[[#This Row],[問１　あなたは何年生ですか。]],3)</f>
        <v>小学校</v>
      </c>
      <c r="D1153" s="7" t="s">
        <v>14</v>
      </c>
      <c r="E1153" s="7" t="s">
        <v>10</v>
      </c>
      <c r="F1153" s="8"/>
    </row>
    <row r="1154" spans="1:6" ht="12.75">
      <c r="A1154" s="6">
        <v>45629.451718553246</v>
      </c>
      <c r="B1154" s="7" t="s">
        <v>13</v>
      </c>
      <c r="C1154" s="5" t="str">
        <f>LEFT(Form_Responses1[[#This Row],[問１　あなたは何年生ですか。]],3)</f>
        <v>小学校</v>
      </c>
      <c r="D1154" s="7" t="s">
        <v>24</v>
      </c>
      <c r="E1154" s="7" t="s">
        <v>7</v>
      </c>
      <c r="F1154" s="8"/>
    </row>
    <row r="1155" spans="1:6" ht="12.75">
      <c r="A1155" s="6">
        <v>45629.451957939818</v>
      </c>
      <c r="B1155" s="7" t="s">
        <v>13</v>
      </c>
      <c r="C1155" s="5" t="str">
        <f>LEFT(Form_Responses1[[#This Row],[問１　あなたは何年生ですか。]],3)</f>
        <v>小学校</v>
      </c>
      <c r="D1155" s="7" t="s">
        <v>12</v>
      </c>
      <c r="E1155" s="7" t="s">
        <v>10</v>
      </c>
      <c r="F1155" s="8"/>
    </row>
    <row r="1156" spans="1:6" ht="12.75">
      <c r="A1156" s="6">
        <v>45629.455503495366</v>
      </c>
      <c r="B1156" s="7" t="s">
        <v>11</v>
      </c>
      <c r="C1156" s="5" t="str">
        <f>LEFT(Form_Responses1[[#This Row],[問１　あなたは何年生ですか。]],3)</f>
        <v>小学校</v>
      </c>
      <c r="D1156" s="7" t="s">
        <v>24</v>
      </c>
      <c r="E1156" s="7" t="s">
        <v>10</v>
      </c>
      <c r="F1156" s="7" t="s">
        <v>962</v>
      </c>
    </row>
    <row r="1157" spans="1:6" ht="12.75">
      <c r="A1157" s="6">
        <v>45629.455646423608</v>
      </c>
      <c r="B1157" s="7" t="s">
        <v>11</v>
      </c>
      <c r="C1157" s="5" t="str">
        <f>LEFT(Form_Responses1[[#This Row],[問１　あなたは何年生ですか。]],3)</f>
        <v>小学校</v>
      </c>
      <c r="D1157" s="7" t="s">
        <v>6</v>
      </c>
      <c r="E1157" s="7" t="s">
        <v>10</v>
      </c>
      <c r="F1157" s="7" t="s">
        <v>466</v>
      </c>
    </row>
    <row r="1158" spans="1:6" ht="12.75">
      <c r="A1158" s="6">
        <v>45629.455925682865</v>
      </c>
      <c r="B1158" s="7" t="s">
        <v>11</v>
      </c>
      <c r="C1158" s="5" t="str">
        <f>LEFT(Form_Responses1[[#This Row],[問１　あなたは何年生ですか。]],3)</f>
        <v>小学校</v>
      </c>
      <c r="D1158" s="7" t="s">
        <v>6</v>
      </c>
      <c r="E1158" s="7" t="s">
        <v>7</v>
      </c>
      <c r="F1158" s="7" t="s">
        <v>963</v>
      </c>
    </row>
    <row r="1159" spans="1:6" ht="12.75">
      <c r="A1159" s="6">
        <v>45629.4559753125</v>
      </c>
      <c r="B1159" s="7" t="s">
        <v>11</v>
      </c>
      <c r="C1159" s="5" t="str">
        <f>LEFT(Form_Responses1[[#This Row],[問１　あなたは何年生ですか。]],3)</f>
        <v>小学校</v>
      </c>
      <c r="D1159" s="7" t="s">
        <v>19</v>
      </c>
      <c r="E1159" s="7" t="s">
        <v>10</v>
      </c>
      <c r="F1159" s="7" t="s">
        <v>964</v>
      </c>
    </row>
    <row r="1160" spans="1:6" ht="12.75">
      <c r="A1160" s="6">
        <v>45629.456133553242</v>
      </c>
      <c r="B1160" s="7" t="s">
        <v>11</v>
      </c>
      <c r="C1160" s="5" t="str">
        <f>LEFT(Form_Responses1[[#This Row],[問１　あなたは何年生ですか。]],3)</f>
        <v>小学校</v>
      </c>
      <c r="D1160" s="7" t="s">
        <v>965</v>
      </c>
      <c r="E1160" s="7" t="s">
        <v>10</v>
      </c>
      <c r="F1160" s="7" t="s">
        <v>966</v>
      </c>
    </row>
    <row r="1161" spans="1:6" ht="12.75">
      <c r="A1161" s="6">
        <v>45629.456195902778</v>
      </c>
      <c r="B1161" s="7" t="s">
        <v>11</v>
      </c>
      <c r="C1161" s="5" t="str">
        <f>LEFT(Form_Responses1[[#This Row],[問１　あなたは何年生ですか。]],3)</f>
        <v>小学校</v>
      </c>
      <c r="D1161" s="7" t="s">
        <v>24</v>
      </c>
      <c r="E1161" s="7" t="s">
        <v>10</v>
      </c>
      <c r="F1161" s="7" t="s">
        <v>967</v>
      </c>
    </row>
    <row r="1162" spans="1:6" ht="12.75">
      <c r="A1162" s="6">
        <v>45629.456274282406</v>
      </c>
      <c r="B1162" s="7" t="s">
        <v>11</v>
      </c>
      <c r="C1162" s="5" t="str">
        <f>LEFT(Form_Responses1[[#This Row],[問１　あなたは何年生ですか。]],3)</f>
        <v>小学校</v>
      </c>
      <c r="D1162" s="7" t="s">
        <v>6</v>
      </c>
      <c r="E1162" s="7" t="s">
        <v>15</v>
      </c>
      <c r="F1162" s="7" t="s">
        <v>968</v>
      </c>
    </row>
    <row r="1163" spans="1:6" ht="12.75">
      <c r="A1163" s="6">
        <v>45629.456330347224</v>
      </c>
      <c r="B1163" s="7" t="s">
        <v>11</v>
      </c>
      <c r="C1163" s="5" t="str">
        <f>LEFT(Form_Responses1[[#This Row],[問１　あなたは何年生ですか。]],3)</f>
        <v>小学校</v>
      </c>
      <c r="D1163" s="7" t="s">
        <v>19</v>
      </c>
      <c r="E1163" s="7" t="s">
        <v>7</v>
      </c>
      <c r="F1163" s="8"/>
    </row>
    <row r="1164" spans="1:6" ht="12.75">
      <c r="A1164" s="6">
        <v>45629.456342245372</v>
      </c>
      <c r="B1164" s="7" t="s">
        <v>11</v>
      </c>
      <c r="C1164" s="5" t="str">
        <f>LEFT(Form_Responses1[[#This Row],[問１　あなたは何年生ですか。]],3)</f>
        <v>小学校</v>
      </c>
      <c r="D1164" s="7" t="s">
        <v>24</v>
      </c>
      <c r="E1164" s="7" t="s">
        <v>10</v>
      </c>
      <c r="F1164" s="7" t="s">
        <v>969</v>
      </c>
    </row>
    <row r="1165" spans="1:6" ht="12.75">
      <c r="A1165" s="6">
        <v>45629.45651123843</v>
      </c>
      <c r="B1165" s="7" t="s">
        <v>11</v>
      </c>
      <c r="C1165" s="5" t="str">
        <f>LEFT(Form_Responses1[[#This Row],[問１　あなたは何年生ですか。]],3)</f>
        <v>小学校</v>
      </c>
      <c r="D1165" s="7" t="s">
        <v>6</v>
      </c>
      <c r="E1165" s="7" t="s">
        <v>7</v>
      </c>
      <c r="F1165" s="7" t="s">
        <v>970</v>
      </c>
    </row>
    <row r="1166" spans="1:6" ht="12.75">
      <c r="A1166" s="6">
        <v>45629.456660868054</v>
      </c>
      <c r="B1166" s="7" t="s">
        <v>289</v>
      </c>
      <c r="C1166" s="5" t="str">
        <f>LEFT(Form_Responses1[[#This Row],[問１　あなたは何年生ですか。]],3)</f>
        <v>小学校</v>
      </c>
      <c r="D1166" s="7" t="s">
        <v>30</v>
      </c>
      <c r="E1166" s="7" t="s">
        <v>10</v>
      </c>
      <c r="F1166" s="8"/>
    </row>
    <row r="1167" spans="1:6" ht="12.75">
      <c r="A1167" s="6">
        <v>45629.456924502316</v>
      </c>
      <c r="B1167" s="7" t="s">
        <v>11</v>
      </c>
      <c r="C1167" s="5" t="str">
        <f>LEFT(Form_Responses1[[#This Row],[問１　あなたは何年生ですか。]],3)</f>
        <v>小学校</v>
      </c>
      <c r="D1167" s="7" t="s">
        <v>19</v>
      </c>
      <c r="E1167" s="7" t="s">
        <v>7</v>
      </c>
      <c r="F1167" s="7" t="s">
        <v>52</v>
      </c>
    </row>
    <row r="1168" spans="1:6" ht="12.75">
      <c r="A1168" s="6">
        <v>45629.457028854165</v>
      </c>
      <c r="B1168" s="7" t="s">
        <v>11</v>
      </c>
      <c r="C1168" s="5" t="str">
        <f>LEFT(Form_Responses1[[#This Row],[問１　あなたは何年生ですか。]],3)</f>
        <v>小学校</v>
      </c>
      <c r="D1168" s="7" t="s">
        <v>19</v>
      </c>
      <c r="E1168" s="7" t="s">
        <v>7</v>
      </c>
      <c r="F1168" s="7" t="s">
        <v>964</v>
      </c>
    </row>
    <row r="1169" spans="1:6" ht="12.75">
      <c r="A1169" s="6">
        <v>45629.457139907405</v>
      </c>
      <c r="B1169" s="7" t="s">
        <v>289</v>
      </c>
      <c r="C1169" s="5" t="str">
        <f>LEFT(Form_Responses1[[#This Row],[問１　あなたは何年生ですか。]],3)</f>
        <v>小学校</v>
      </c>
      <c r="D1169" s="7" t="s">
        <v>971</v>
      </c>
      <c r="E1169" s="7" t="s">
        <v>7</v>
      </c>
      <c r="F1169" s="8"/>
    </row>
    <row r="1170" spans="1:6" ht="12.75">
      <c r="A1170" s="6">
        <v>45629.457155972224</v>
      </c>
      <c r="B1170" s="7" t="s">
        <v>11</v>
      </c>
      <c r="C1170" s="5" t="str">
        <f>LEFT(Form_Responses1[[#This Row],[問１　あなたは何年生ですか。]],3)</f>
        <v>小学校</v>
      </c>
      <c r="D1170" s="7" t="s">
        <v>6</v>
      </c>
      <c r="E1170" s="7" t="s">
        <v>7</v>
      </c>
      <c r="F1170" s="8"/>
    </row>
    <row r="1171" spans="1:6" ht="12.75">
      <c r="A1171" s="6">
        <v>45629.45722196759</v>
      </c>
      <c r="B1171" s="7" t="s">
        <v>11</v>
      </c>
      <c r="C1171" s="5" t="str">
        <f>LEFT(Form_Responses1[[#This Row],[問１　あなたは何年生ですか。]],3)</f>
        <v>小学校</v>
      </c>
      <c r="D1171" s="7" t="s">
        <v>6</v>
      </c>
      <c r="E1171" s="7" t="s">
        <v>7</v>
      </c>
      <c r="F1171" s="8"/>
    </row>
    <row r="1172" spans="1:6" ht="12.75">
      <c r="A1172" s="6">
        <v>45629.457236111106</v>
      </c>
      <c r="B1172" s="7" t="s">
        <v>11</v>
      </c>
      <c r="C1172" s="5" t="str">
        <f>LEFT(Form_Responses1[[#This Row],[問１　あなたは何年生ですか。]],3)</f>
        <v>小学校</v>
      </c>
      <c r="D1172" s="7" t="s">
        <v>6</v>
      </c>
      <c r="E1172" s="7" t="s">
        <v>10</v>
      </c>
      <c r="F1172" s="8"/>
    </row>
    <row r="1173" spans="1:6" ht="12.75">
      <c r="A1173" s="6">
        <v>45629.457268668979</v>
      </c>
      <c r="B1173" s="7" t="s">
        <v>11</v>
      </c>
      <c r="C1173" s="5" t="str">
        <f>LEFT(Form_Responses1[[#This Row],[問１　あなたは何年生ですか。]],3)</f>
        <v>小学校</v>
      </c>
      <c r="D1173" s="7" t="s">
        <v>6</v>
      </c>
      <c r="E1173" s="7" t="s">
        <v>7</v>
      </c>
      <c r="F1173" s="8"/>
    </row>
    <row r="1174" spans="1:6" ht="12.75">
      <c r="A1174" s="6">
        <v>45629.457368171294</v>
      </c>
      <c r="B1174" s="7" t="s">
        <v>11</v>
      </c>
      <c r="C1174" s="5" t="str">
        <f>LEFT(Form_Responses1[[#This Row],[問１　あなたは何年生ですか。]],3)</f>
        <v>小学校</v>
      </c>
      <c r="D1174" s="7" t="s">
        <v>24</v>
      </c>
      <c r="E1174" s="7" t="s">
        <v>67</v>
      </c>
      <c r="F1174" s="7" t="s">
        <v>972</v>
      </c>
    </row>
    <row r="1175" spans="1:6" ht="12.75">
      <c r="A1175" s="6">
        <v>45629.457428865746</v>
      </c>
      <c r="B1175" s="7" t="s">
        <v>11</v>
      </c>
      <c r="C1175" s="5" t="str">
        <f>LEFT(Form_Responses1[[#This Row],[問１　あなたは何年生ですか。]],3)</f>
        <v>小学校</v>
      </c>
      <c r="D1175" s="7" t="s">
        <v>6</v>
      </c>
      <c r="E1175" s="7" t="s">
        <v>15</v>
      </c>
      <c r="F1175" s="7" t="s">
        <v>973</v>
      </c>
    </row>
    <row r="1176" spans="1:6" ht="12.75">
      <c r="A1176" s="6">
        <v>45629.457788518514</v>
      </c>
      <c r="B1176" s="7" t="s">
        <v>11</v>
      </c>
      <c r="C1176" s="5" t="str">
        <f>LEFT(Form_Responses1[[#This Row],[問１　あなたは何年生ですか。]],3)</f>
        <v>小学校</v>
      </c>
      <c r="D1176" s="7" t="s">
        <v>30</v>
      </c>
      <c r="E1176" s="7" t="s">
        <v>10</v>
      </c>
      <c r="F1176" s="8"/>
    </row>
    <row r="1177" spans="1:6" ht="12.75">
      <c r="A1177" s="6">
        <v>45629.458040300931</v>
      </c>
      <c r="B1177" s="7" t="s">
        <v>11</v>
      </c>
      <c r="C1177" s="5" t="str">
        <f>LEFT(Form_Responses1[[#This Row],[問１　あなたは何年生ですか。]],3)</f>
        <v>小学校</v>
      </c>
      <c r="D1177" s="7" t="s">
        <v>30</v>
      </c>
      <c r="E1177" s="7" t="s">
        <v>10</v>
      </c>
      <c r="F1177" s="7" t="s">
        <v>376</v>
      </c>
    </row>
    <row r="1178" spans="1:6" ht="12.75">
      <c r="A1178" s="6">
        <v>45629.458116377311</v>
      </c>
      <c r="B1178" s="7" t="s">
        <v>289</v>
      </c>
      <c r="C1178" s="5" t="str">
        <f>LEFT(Form_Responses1[[#This Row],[問１　あなたは何年生ですか。]],3)</f>
        <v>小学校</v>
      </c>
      <c r="D1178" s="7" t="s">
        <v>24</v>
      </c>
      <c r="E1178" s="7" t="s">
        <v>7</v>
      </c>
      <c r="F1178" s="8"/>
    </row>
    <row r="1179" spans="1:6" ht="12.75">
      <c r="A1179" s="6">
        <v>45629.458215868057</v>
      </c>
      <c r="B1179" s="7" t="s">
        <v>289</v>
      </c>
      <c r="C1179" s="5" t="str">
        <f>LEFT(Form_Responses1[[#This Row],[問１　あなたは何年生ですか。]],3)</f>
        <v>小学校</v>
      </c>
      <c r="D1179" s="7" t="s">
        <v>6</v>
      </c>
      <c r="E1179" s="7" t="s">
        <v>15</v>
      </c>
      <c r="F1179" s="8"/>
    </row>
    <row r="1180" spans="1:6" ht="12.75">
      <c r="A1180" s="6">
        <v>45629.458463553237</v>
      </c>
      <c r="B1180" s="7" t="s">
        <v>11</v>
      </c>
      <c r="C1180" s="5" t="str">
        <f>LEFT(Form_Responses1[[#This Row],[問１　あなたは何年生ですか。]],3)</f>
        <v>小学校</v>
      </c>
      <c r="D1180" s="7" t="s">
        <v>6</v>
      </c>
      <c r="E1180" s="7" t="s">
        <v>7</v>
      </c>
      <c r="F1180" s="7" t="s">
        <v>974</v>
      </c>
    </row>
    <row r="1181" spans="1:6" ht="12.75">
      <c r="A1181" s="6">
        <v>45629.467166851857</v>
      </c>
      <c r="B1181" s="7" t="s">
        <v>11</v>
      </c>
      <c r="C1181" s="5" t="str">
        <f>LEFT(Form_Responses1[[#This Row],[問１　あなたは何年生ですか。]],3)</f>
        <v>小学校</v>
      </c>
      <c r="D1181" s="7" t="s">
        <v>24</v>
      </c>
      <c r="E1181" s="7" t="s">
        <v>10</v>
      </c>
      <c r="F1181" s="8"/>
    </row>
    <row r="1182" spans="1:6" ht="12.75">
      <c r="A1182" s="6">
        <v>45629.473204386573</v>
      </c>
      <c r="B1182" s="7" t="s">
        <v>11</v>
      </c>
      <c r="C1182" s="5" t="str">
        <f>LEFT(Form_Responses1[[#This Row],[問１　あなたは何年生ですか。]],3)</f>
        <v>小学校</v>
      </c>
      <c r="D1182" s="7" t="s">
        <v>17</v>
      </c>
      <c r="E1182" s="7" t="s">
        <v>10</v>
      </c>
      <c r="F1182" s="7" t="s">
        <v>975</v>
      </c>
    </row>
    <row r="1183" spans="1:6" ht="12.75">
      <c r="A1183" s="6">
        <v>45629.47755333333</v>
      </c>
      <c r="B1183" s="7" t="s">
        <v>23</v>
      </c>
      <c r="C1183" s="5" t="str">
        <f>LEFT(Form_Responses1[[#This Row],[問１　あなたは何年生ですか。]],3)</f>
        <v>小学校</v>
      </c>
      <c r="D1183" s="7" t="s">
        <v>6</v>
      </c>
      <c r="E1183" s="7" t="s">
        <v>10</v>
      </c>
      <c r="F1183" s="7" t="s">
        <v>976</v>
      </c>
    </row>
    <row r="1184" spans="1:6" ht="12.75">
      <c r="A1184" s="6">
        <v>45629.477559386578</v>
      </c>
      <c r="B1184" s="7" t="s">
        <v>23</v>
      </c>
      <c r="C1184" s="5" t="str">
        <f>LEFT(Form_Responses1[[#This Row],[問１　あなたは何年生ですか。]],3)</f>
        <v>小学校</v>
      </c>
      <c r="D1184" s="7" t="s">
        <v>19</v>
      </c>
      <c r="E1184" s="7" t="s">
        <v>10</v>
      </c>
      <c r="F1184" s="8"/>
    </row>
    <row r="1185" spans="1:6" ht="12.75">
      <c r="A1185" s="6">
        <v>45629.477659525466</v>
      </c>
      <c r="B1185" s="7" t="s">
        <v>23</v>
      </c>
      <c r="C1185" s="5" t="str">
        <f>LEFT(Form_Responses1[[#This Row],[問１　あなたは何年生ですか。]],3)</f>
        <v>小学校</v>
      </c>
      <c r="D1185" s="7" t="s">
        <v>22</v>
      </c>
      <c r="E1185" s="7" t="s">
        <v>10</v>
      </c>
      <c r="F1185" s="7" t="s">
        <v>977</v>
      </c>
    </row>
    <row r="1186" spans="1:6" ht="12.75">
      <c r="A1186" s="6">
        <v>45629.477868043978</v>
      </c>
      <c r="B1186" s="7" t="s">
        <v>23</v>
      </c>
      <c r="C1186" s="5" t="str">
        <f>LEFT(Form_Responses1[[#This Row],[問１　あなたは何年生ですか。]],3)</f>
        <v>小学校</v>
      </c>
      <c r="D1186" s="7" t="s">
        <v>978</v>
      </c>
      <c r="E1186" s="7" t="s">
        <v>10</v>
      </c>
      <c r="F1186" s="7" t="s">
        <v>979</v>
      </c>
    </row>
    <row r="1187" spans="1:6" ht="12.75">
      <c r="A1187" s="6">
        <v>45629.477903101855</v>
      </c>
      <c r="B1187" s="7" t="s">
        <v>23</v>
      </c>
      <c r="C1187" s="5" t="str">
        <f>LEFT(Form_Responses1[[#This Row],[問１　あなたは何年生ですか。]],3)</f>
        <v>小学校</v>
      </c>
      <c r="D1187" s="7" t="s">
        <v>24</v>
      </c>
      <c r="E1187" s="7" t="s">
        <v>10</v>
      </c>
      <c r="F1187" s="7" t="s">
        <v>980</v>
      </c>
    </row>
    <row r="1188" spans="1:6" ht="12.75">
      <c r="A1188" s="6">
        <v>45629.477988738421</v>
      </c>
      <c r="B1188" s="7" t="s">
        <v>23</v>
      </c>
      <c r="C1188" s="5" t="str">
        <f>LEFT(Form_Responses1[[#This Row],[問１　あなたは何年生ですか。]],3)</f>
        <v>小学校</v>
      </c>
      <c r="D1188" s="7" t="s">
        <v>12</v>
      </c>
      <c r="E1188" s="7" t="s">
        <v>10</v>
      </c>
      <c r="F1188" s="7" t="s">
        <v>981</v>
      </c>
    </row>
    <row r="1189" spans="1:6" ht="12.75">
      <c r="A1189" s="6">
        <v>45629.478183599538</v>
      </c>
      <c r="B1189" s="7" t="s">
        <v>23</v>
      </c>
      <c r="C1189" s="5" t="str">
        <f>LEFT(Form_Responses1[[#This Row],[問１　あなたは何年生ですか。]],3)</f>
        <v>小学校</v>
      </c>
      <c r="D1189" s="7" t="s">
        <v>14</v>
      </c>
      <c r="E1189" s="7" t="s">
        <v>7</v>
      </c>
      <c r="F1189" s="7" t="s">
        <v>982</v>
      </c>
    </row>
    <row r="1190" spans="1:6" ht="12.75">
      <c r="A1190" s="6">
        <v>45629.478256666669</v>
      </c>
      <c r="B1190" s="7" t="s">
        <v>23</v>
      </c>
      <c r="C1190" s="5" t="str">
        <f>LEFT(Form_Responses1[[#This Row],[問１　あなたは何年生ですか。]],3)</f>
        <v>小学校</v>
      </c>
      <c r="D1190" s="7" t="s">
        <v>983</v>
      </c>
      <c r="E1190" s="7" t="s">
        <v>7</v>
      </c>
      <c r="F1190" s="7" t="s">
        <v>984</v>
      </c>
    </row>
    <row r="1191" spans="1:6" ht="12.75">
      <c r="A1191" s="6">
        <v>45629.478345405092</v>
      </c>
      <c r="B1191" s="7" t="s">
        <v>23</v>
      </c>
      <c r="C1191" s="5" t="str">
        <f>LEFT(Form_Responses1[[#This Row],[問１　あなたは何年生ですか。]],3)</f>
        <v>小学校</v>
      </c>
      <c r="D1191" s="7" t="s">
        <v>19</v>
      </c>
      <c r="E1191" s="7" t="s">
        <v>10</v>
      </c>
      <c r="F1191" s="7" t="s">
        <v>985</v>
      </c>
    </row>
    <row r="1192" spans="1:6" ht="12.75">
      <c r="A1192" s="6">
        <v>45629.478453946758</v>
      </c>
      <c r="B1192" s="7" t="s">
        <v>23</v>
      </c>
      <c r="C1192" s="5" t="str">
        <f>LEFT(Form_Responses1[[#This Row],[問１　あなたは何年生ですか。]],3)</f>
        <v>小学校</v>
      </c>
      <c r="D1192" s="7" t="s">
        <v>121</v>
      </c>
      <c r="E1192" s="7" t="s">
        <v>10</v>
      </c>
      <c r="F1192" s="7" t="s">
        <v>986</v>
      </c>
    </row>
    <row r="1193" spans="1:6" ht="12.75">
      <c r="A1193" s="6">
        <v>45629.47860430555</v>
      </c>
      <c r="B1193" s="7" t="s">
        <v>23</v>
      </c>
      <c r="C1193" s="5" t="str">
        <f>LEFT(Form_Responses1[[#This Row],[問１　あなたは何年生ですか。]],3)</f>
        <v>小学校</v>
      </c>
      <c r="D1193" s="7" t="s">
        <v>14</v>
      </c>
      <c r="E1193" s="7" t="s">
        <v>10</v>
      </c>
      <c r="F1193" s="7" t="s">
        <v>987</v>
      </c>
    </row>
    <row r="1194" spans="1:6" ht="12.75">
      <c r="A1194" s="6">
        <v>45629.478614467589</v>
      </c>
      <c r="B1194" s="7" t="s">
        <v>23</v>
      </c>
      <c r="C1194" s="5" t="str">
        <f>LEFT(Form_Responses1[[#This Row],[問１　あなたは何年生ですか。]],3)</f>
        <v>小学校</v>
      </c>
      <c r="D1194" s="7" t="s">
        <v>24</v>
      </c>
      <c r="E1194" s="7" t="s">
        <v>10</v>
      </c>
      <c r="F1194" s="7" t="s">
        <v>988</v>
      </c>
    </row>
    <row r="1195" spans="1:6" ht="12.75">
      <c r="A1195" s="6">
        <v>45629.478616284723</v>
      </c>
      <c r="B1195" s="7" t="s">
        <v>23</v>
      </c>
      <c r="C1195" s="5" t="str">
        <f>LEFT(Form_Responses1[[#This Row],[問１　あなたは何年生ですか。]],3)</f>
        <v>小学校</v>
      </c>
      <c r="D1195" s="7" t="s">
        <v>6</v>
      </c>
      <c r="E1195" s="7" t="s">
        <v>7</v>
      </c>
      <c r="F1195" s="7" t="s">
        <v>989</v>
      </c>
    </row>
    <row r="1196" spans="1:6" ht="12.75">
      <c r="A1196" s="6">
        <v>45629.478638854169</v>
      </c>
      <c r="B1196" s="7" t="s">
        <v>23</v>
      </c>
      <c r="C1196" s="5" t="str">
        <f>LEFT(Form_Responses1[[#This Row],[問１　あなたは何年生ですか。]],3)</f>
        <v>小学校</v>
      </c>
      <c r="D1196" s="7" t="s">
        <v>17</v>
      </c>
      <c r="E1196" s="7" t="s">
        <v>7</v>
      </c>
      <c r="F1196" s="7" t="s">
        <v>990</v>
      </c>
    </row>
    <row r="1197" spans="1:6" ht="12.75">
      <c r="A1197" s="6">
        <v>45629.478653761573</v>
      </c>
      <c r="B1197" s="7" t="s">
        <v>23</v>
      </c>
      <c r="C1197" s="5" t="str">
        <f>LEFT(Form_Responses1[[#This Row],[問１　あなたは何年生ですか。]],3)</f>
        <v>小学校</v>
      </c>
      <c r="D1197" s="7" t="s">
        <v>6</v>
      </c>
      <c r="E1197" s="7" t="s">
        <v>7</v>
      </c>
      <c r="F1197" s="7" t="s">
        <v>991</v>
      </c>
    </row>
    <row r="1198" spans="1:6" ht="12.75">
      <c r="A1198" s="6">
        <v>45629.478656064814</v>
      </c>
      <c r="B1198" s="7" t="s">
        <v>23</v>
      </c>
      <c r="C1198" s="5" t="str">
        <f>LEFT(Form_Responses1[[#This Row],[問１　あなたは何年生ですか。]],3)</f>
        <v>小学校</v>
      </c>
      <c r="D1198" s="7" t="s">
        <v>19</v>
      </c>
      <c r="E1198" s="7" t="s">
        <v>10</v>
      </c>
      <c r="F1198" s="7" t="s">
        <v>992</v>
      </c>
    </row>
    <row r="1199" spans="1:6" ht="12.75">
      <c r="A1199" s="6">
        <v>45629.478708692128</v>
      </c>
      <c r="B1199" s="7" t="s">
        <v>23</v>
      </c>
      <c r="C1199" s="5" t="str">
        <f>LEFT(Form_Responses1[[#This Row],[問１　あなたは何年生ですか。]],3)</f>
        <v>小学校</v>
      </c>
      <c r="D1199" s="7" t="s">
        <v>6</v>
      </c>
      <c r="E1199" s="7" t="s">
        <v>10</v>
      </c>
      <c r="F1199" s="7" t="s">
        <v>993</v>
      </c>
    </row>
    <row r="1200" spans="1:6" ht="12.75">
      <c r="A1200" s="6">
        <v>45629.47871649306</v>
      </c>
      <c r="B1200" s="7" t="s">
        <v>23</v>
      </c>
      <c r="C1200" s="5" t="str">
        <f>LEFT(Form_Responses1[[#This Row],[問１　あなたは何年生ですか。]],3)</f>
        <v>小学校</v>
      </c>
      <c r="D1200" s="7" t="s">
        <v>24</v>
      </c>
      <c r="E1200" s="7" t="s">
        <v>10</v>
      </c>
      <c r="F1200" s="7" t="s">
        <v>994</v>
      </c>
    </row>
    <row r="1201" spans="1:6" ht="12.75">
      <c r="A1201" s="6">
        <v>45629.478741053244</v>
      </c>
      <c r="B1201" s="7" t="s">
        <v>23</v>
      </c>
      <c r="C1201" s="5" t="str">
        <f>LEFT(Form_Responses1[[#This Row],[問１　あなたは何年生ですか。]],3)</f>
        <v>小学校</v>
      </c>
      <c r="D1201" s="7" t="s">
        <v>24</v>
      </c>
      <c r="E1201" s="7" t="s">
        <v>7</v>
      </c>
      <c r="F1201" s="7" t="s">
        <v>995</v>
      </c>
    </row>
    <row r="1202" spans="1:6" ht="12.75">
      <c r="A1202" s="6">
        <v>45629.479061805556</v>
      </c>
      <c r="B1202" s="7" t="s">
        <v>23</v>
      </c>
      <c r="C1202" s="5" t="str">
        <f>LEFT(Form_Responses1[[#This Row],[問１　あなたは何年生ですか。]],3)</f>
        <v>小学校</v>
      </c>
      <c r="D1202" s="7" t="s">
        <v>19</v>
      </c>
      <c r="E1202" s="7" t="s">
        <v>10</v>
      </c>
      <c r="F1202" s="7" t="s">
        <v>996</v>
      </c>
    </row>
    <row r="1203" spans="1:6" ht="12.75">
      <c r="A1203" s="6">
        <v>45629.47917583333</v>
      </c>
      <c r="B1203" s="7" t="s">
        <v>23</v>
      </c>
      <c r="C1203" s="5" t="str">
        <f>LEFT(Form_Responses1[[#This Row],[問１　あなたは何年生ですか。]],3)</f>
        <v>小学校</v>
      </c>
      <c r="D1203" s="7" t="s">
        <v>997</v>
      </c>
      <c r="E1203" s="7" t="s">
        <v>10</v>
      </c>
      <c r="F1203" s="7" t="s">
        <v>998</v>
      </c>
    </row>
    <row r="1204" spans="1:6" ht="12.75">
      <c r="A1204" s="6">
        <v>45629.479308958333</v>
      </c>
      <c r="B1204" s="7" t="s">
        <v>23</v>
      </c>
      <c r="C1204" s="5" t="str">
        <f>LEFT(Form_Responses1[[#This Row],[問１　あなたは何年生ですか。]],3)</f>
        <v>小学校</v>
      </c>
      <c r="D1204" s="7" t="s">
        <v>9</v>
      </c>
      <c r="E1204" s="7" t="s">
        <v>7</v>
      </c>
      <c r="F1204" s="7" t="s">
        <v>999</v>
      </c>
    </row>
    <row r="1205" spans="1:6" ht="12.75">
      <c r="A1205" s="6">
        <v>45629.479330381946</v>
      </c>
      <c r="B1205" s="7" t="s">
        <v>23</v>
      </c>
      <c r="C1205" s="5" t="str">
        <f>LEFT(Form_Responses1[[#This Row],[問１　あなたは何年生ですか。]],3)</f>
        <v>小学校</v>
      </c>
      <c r="D1205" s="7" t="s">
        <v>24</v>
      </c>
      <c r="E1205" s="7" t="s">
        <v>10</v>
      </c>
      <c r="F1205" s="7" t="s">
        <v>1000</v>
      </c>
    </row>
    <row r="1206" spans="1:6" ht="12.75">
      <c r="A1206" s="6">
        <v>45629.47938138889</v>
      </c>
      <c r="B1206" s="7" t="s">
        <v>23</v>
      </c>
      <c r="C1206" s="5" t="str">
        <f>LEFT(Form_Responses1[[#This Row],[問１　あなたは何年生ですか。]],3)</f>
        <v>小学校</v>
      </c>
      <c r="D1206" s="7" t="s">
        <v>19</v>
      </c>
      <c r="E1206" s="7" t="s">
        <v>10</v>
      </c>
      <c r="F1206" s="7" t="s">
        <v>1001</v>
      </c>
    </row>
    <row r="1207" spans="1:6" ht="12.75">
      <c r="A1207" s="6">
        <v>45629.479383576385</v>
      </c>
      <c r="B1207" s="7" t="s">
        <v>23</v>
      </c>
      <c r="C1207" s="5" t="str">
        <f>LEFT(Form_Responses1[[#This Row],[問１　あなたは何年生ですか。]],3)</f>
        <v>小学校</v>
      </c>
      <c r="D1207" s="7" t="s">
        <v>6</v>
      </c>
      <c r="E1207" s="7" t="s">
        <v>7</v>
      </c>
      <c r="F1207" s="7" t="s">
        <v>1002</v>
      </c>
    </row>
    <row r="1208" spans="1:6" ht="12.75">
      <c r="A1208" s="6">
        <v>45629.479409305553</v>
      </c>
      <c r="B1208" s="7" t="s">
        <v>23</v>
      </c>
      <c r="C1208" s="5" t="str">
        <f>LEFT(Form_Responses1[[#This Row],[問１　あなたは何年生ですか。]],3)</f>
        <v>小学校</v>
      </c>
      <c r="D1208" s="7" t="s">
        <v>24</v>
      </c>
      <c r="E1208" s="7" t="s">
        <v>10</v>
      </c>
      <c r="F1208" s="7" t="s">
        <v>1003</v>
      </c>
    </row>
    <row r="1209" spans="1:6" ht="12.75">
      <c r="A1209" s="6">
        <v>45629.479411759261</v>
      </c>
      <c r="B1209" s="7" t="s">
        <v>23</v>
      </c>
      <c r="C1209" s="5" t="str">
        <f>LEFT(Form_Responses1[[#This Row],[問１　あなたは何年生ですか。]],3)</f>
        <v>小学校</v>
      </c>
      <c r="D1209" s="7" t="s">
        <v>19</v>
      </c>
      <c r="E1209" s="7" t="s">
        <v>15</v>
      </c>
      <c r="F1209" s="7" t="s">
        <v>1004</v>
      </c>
    </row>
    <row r="1210" spans="1:6" ht="12.75">
      <c r="A1210" s="6">
        <v>45629.479474629625</v>
      </c>
      <c r="B1210" s="7" t="s">
        <v>23</v>
      </c>
      <c r="C1210" s="5" t="str">
        <f>LEFT(Form_Responses1[[#This Row],[問１　あなたは何年生ですか。]],3)</f>
        <v>小学校</v>
      </c>
      <c r="D1210" s="7" t="s">
        <v>6</v>
      </c>
      <c r="E1210" s="7" t="s">
        <v>10</v>
      </c>
      <c r="F1210" s="7" t="s">
        <v>1005</v>
      </c>
    </row>
    <row r="1211" spans="1:6" ht="12.75">
      <c r="A1211" s="6">
        <v>45629.479513043982</v>
      </c>
      <c r="B1211" s="7" t="s">
        <v>23</v>
      </c>
      <c r="C1211" s="5" t="str">
        <f>LEFT(Form_Responses1[[#This Row],[問１　あなたは何年生ですか。]],3)</f>
        <v>小学校</v>
      </c>
      <c r="D1211" s="7" t="s">
        <v>9</v>
      </c>
      <c r="E1211" s="7" t="s">
        <v>10</v>
      </c>
      <c r="F1211" s="7" t="s">
        <v>1006</v>
      </c>
    </row>
    <row r="1212" spans="1:6" ht="12.75">
      <c r="A1212" s="6">
        <v>45629.479607743051</v>
      </c>
      <c r="B1212" s="7" t="s">
        <v>23</v>
      </c>
      <c r="C1212" s="5" t="str">
        <f>LEFT(Form_Responses1[[#This Row],[問１　あなたは何年生ですか。]],3)</f>
        <v>小学校</v>
      </c>
      <c r="D1212" s="7" t="s">
        <v>6</v>
      </c>
      <c r="E1212" s="7" t="s">
        <v>7</v>
      </c>
      <c r="F1212" s="7" t="s">
        <v>1007</v>
      </c>
    </row>
    <row r="1213" spans="1:6" ht="12.75">
      <c r="A1213" s="6">
        <v>45629.479645046296</v>
      </c>
      <c r="B1213" s="7" t="s">
        <v>23</v>
      </c>
      <c r="C1213" s="5" t="str">
        <f>LEFT(Form_Responses1[[#This Row],[問１　あなたは何年生ですか。]],3)</f>
        <v>小学校</v>
      </c>
      <c r="D1213" s="7" t="s">
        <v>30</v>
      </c>
      <c r="E1213" s="7" t="s">
        <v>7</v>
      </c>
      <c r="F1213" s="7" t="s">
        <v>1008</v>
      </c>
    </row>
    <row r="1214" spans="1:6" ht="12.75">
      <c r="A1214" s="6">
        <v>45629.479701574077</v>
      </c>
      <c r="B1214" s="7" t="s">
        <v>23</v>
      </c>
      <c r="C1214" s="5" t="str">
        <f>LEFT(Form_Responses1[[#This Row],[問１　あなたは何年生ですか。]],3)</f>
        <v>小学校</v>
      </c>
      <c r="D1214" s="7" t="s">
        <v>30</v>
      </c>
      <c r="E1214" s="7" t="s">
        <v>10</v>
      </c>
      <c r="F1214" s="7" t="s">
        <v>1009</v>
      </c>
    </row>
    <row r="1215" spans="1:6" ht="12.75">
      <c r="A1215" s="6">
        <v>45629.479741250005</v>
      </c>
      <c r="B1215" s="7" t="s">
        <v>23</v>
      </c>
      <c r="C1215" s="5" t="str">
        <f>LEFT(Form_Responses1[[#This Row],[問１　あなたは何年生ですか。]],3)</f>
        <v>小学校</v>
      </c>
      <c r="D1215" s="7" t="s">
        <v>983</v>
      </c>
      <c r="E1215" s="7" t="s">
        <v>15</v>
      </c>
      <c r="F1215" s="7" t="s">
        <v>1010</v>
      </c>
    </row>
    <row r="1216" spans="1:6" ht="12.75">
      <c r="A1216" s="6">
        <v>45629.479812372687</v>
      </c>
      <c r="B1216" s="7" t="s">
        <v>23</v>
      </c>
      <c r="C1216" s="5" t="str">
        <f>LEFT(Form_Responses1[[#This Row],[問１　あなたは何年生ですか。]],3)</f>
        <v>小学校</v>
      </c>
      <c r="D1216" s="7" t="s">
        <v>6</v>
      </c>
      <c r="E1216" s="7" t="s">
        <v>10</v>
      </c>
      <c r="F1216" s="7" t="s">
        <v>1011</v>
      </c>
    </row>
    <row r="1217" spans="1:6" ht="12.75">
      <c r="A1217" s="6">
        <v>45629.479842465276</v>
      </c>
      <c r="B1217" s="7" t="s">
        <v>23</v>
      </c>
      <c r="C1217" s="5" t="str">
        <f>LEFT(Form_Responses1[[#This Row],[問１　あなたは何年生ですか。]],3)</f>
        <v>小学校</v>
      </c>
      <c r="D1217" s="7" t="s">
        <v>19</v>
      </c>
      <c r="E1217" s="7" t="s">
        <v>10</v>
      </c>
      <c r="F1217" s="7" t="s">
        <v>1012</v>
      </c>
    </row>
    <row r="1218" spans="1:6" ht="12.75">
      <c r="A1218" s="6">
        <v>45629.480276932867</v>
      </c>
      <c r="B1218" s="7" t="s">
        <v>23</v>
      </c>
      <c r="C1218" s="5" t="str">
        <f>LEFT(Form_Responses1[[#This Row],[問１　あなたは何年生ですか。]],3)</f>
        <v>小学校</v>
      </c>
      <c r="D1218" s="7" t="s">
        <v>6</v>
      </c>
      <c r="E1218" s="7" t="s">
        <v>10</v>
      </c>
      <c r="F1218" s="7" t="s">
        <v>1013</v>
      </c>
    </row>
    <row r="1219" spans="1:6" ht="12.75">
      <c r="A1219" s="6">
        <v>45629.481350532413</v>
      </c>
      <c r="B1219" s="7" t="s">
        <v>23</v>
      </c>
      <c r="C1219" s="5" t="str">
        <f>LEFT(Form_Responses1[[#This Row],[問１　あなたは何年生ですか。]],3)</f>
        <v>小学校</v>
      </c>
      <c r="D1219" s="7" t="s">
        <v>14</v>
      </c>
      <c r="E1219" s="7" t="s">
        <v>10</v>
      </c>
      <c r="F1219" s="7" t="s">
        <v>1014</v>
      </c>
    </row>
    <row r="1220" spans="1:6" ht="12.75">
      <c r="A1220" s="6">
        <v>45629.481779861111</v>
      </c>
      <c r="B1220" s="7" t="s">
        <v>23</v>
      </c>
      <c r="C1220" s="5" t="str">
        <f>LEFT(Form_Responses1[[#This Row],[問１　あなたは何年生ですか。]],3)</f>
        <v>小学校</v>
      </c>
      <c r="D1220" s="7" t="s">
        <v>6</v>
      </c>
      <c r="E1220" s="7" t="s">
        <v>10</v>
      </c>
      <c r="F1220" s="7" t="s">
        <v>1015</v>
      </c>
    </row>
    <row r="1221" spans="1:6" ht="12.75">
      <c r="A1221" s="6">
        <v>45629.486394085645</v>
      </c>
      <c r="B1221" s="7" t="s">
        <v>11</v>
      </c>
      <c r="C1221" s="5" t="str">
        <f>LEFT(Form_Responses1[[#This Row],[問１　あなたは何年生ですか。]],3)</f>
        <v>小学校</v>
      </c>
      <c r="D1221" s="7" t="s">
        <v>14</v>
      </c>
      <c r="E1221" s="7" t="s">
        <v>7</v>
      </c>
      <c r="F1221" s="8"/>
    </row>
    <row r="1222" spans="1:6" ht="12.75">
      <c r="A1222" s="6">
        <v>45629.486580185185</v>
      </c>
      <c r="B1222" s="7" t="s">
        <v>11</v>
      </c>
      <c r="C1222" s="5" t="str">
        <f>LEFT(Form_Responses1[[#This Row],[問１　あなたは何年生ですか。]],3)</f>
        <v>小学校</v>
      </c>
      <c r="D1222" s="7" t="s">
        <v>6</v>
      </c>
      <c r="E1222" s="7" t="s">
        <v>10</v>
      </c>
      <c r="F1222" s="7" t="s">
        <v>1016</v>
      </c>
    </row>
    <row r="1223" spans="1:6" ht="12.75">
      <c r="A1223" s="6">
        <v>45629.486698831017</v>
      </c>
      <c r="B1223" s="7" t="s">
        <v>11</v>
      </c>
      <c r="C1223" s="5" t="str">
        <f>LEFT(Form_Responses1[[#This Row],[問１　あなたは何年生ですか。]],3)</f>
        <v>小学校</v>
      </c>
      <c r="D1223" s="7" t="s">
        <v>6</v>
      </c>
      <c r="E1223" s="7" t="s">
        <v>10</v>
      </c>
      <c r="F1223" s="8"/>
    </row>
    <row r="1224" spans="1:6" ht="12.75">
      <c r="A1224" s="6">
        <v>45629.486744363428</v>
      </c>
      <c r="B1224" s="7" t="s">
        <v>11</v>
      </c>
      <c r="C1224" s="5" t="str">
        <f>LEFT(Form_Responses1[[#This Row],[問１　あなたは何年生ですか。]],3)</f>
        <v>小学校</v>
      </c>
      <c r="D1224" s="7" t="s">
        <v>6</v>
      </c>
      <c r="E1224" s="7" t="s">
        <v>7</v>
      </c>
      <c r="F1224" s="8"/>
    </row>
    <row r="1225" spans="1:6" ht="12.75">
      <c r="A1225" s="6">
        <v>45629.487099965278</v>
      </c>
      <c r="B1225" s="7" t="s">
        <v>11</v>
      </c>
      <c r="C1225" s="5" t="str">
        <f>LEFT(Form_Responses1[[#This Row],[問１　あなたは何年生ですか。]],3)</f>
        <v>小学校</v>
      </c>
      <c r="D1225" s="7" t="s">
        <v>14</v>
      </c>
      <c r="E1225" s="7" t="s">
        <v>10</v>
      </c>
      <c r="F1225" s="7" t="s">
        <v>1017</v>
      </c>
    </row>
    <row r="1226" spans="1:6" ht="12.75">
      <c r="A1226" s="6">
        <v>45629.48721013889</v>
      </c>
      <c r="B1226" s="7" t="s">
        <v>11</v>
      </c>
      <c r="C1226" s="5" t="str">
        <f>LEFT(Form_Responses1[[#This Row],[問１　あなたは何年生ですか。]],3)</f>
        <v>小学校</v>
      </c>
      <c r="D1226" s="7" t="s">
        <v>12</v>
      </c>
      <c r="E1226" s="7" t="s">
        <v>7</v>
      </c>
      <c r="F1226" s="7" t="s">
        <v>1018</v>
      </c>
    </row>
    <row r="1227" spans="1:6" ht="12.75">
      <c r="A1227" s="6">
        <v>45629.48735023148</v>
      </c>
      <c r="B1227" s="7" t="s">
        <v>11</v>
      </c>
      <c r="C1227" s="5" t="str">
        <f>LEFT(Form_Responses1[[#This Row],[問１　あなたは何年生ですか。]],3)</f>
        <v>小学校</v>
      </c>
      <c r="D1227" s="7" t="s">
        <v>6</v>
      </c>
      <c r="E1227" s="7" t="s">
        <v>7</v>
      </c>
      <c r="F1227" s="7" t="s">
        <v>1019</v>
      </c>
    </row>
    <row r="1228" spans="1:6" ht="12.75">
      <c r="A1228" s="6">
        <v>45629.487610509255</v>
      </c>
      <c r="B1228" s="7" t="s">
        <v>11</v>
      </c>
      <c r="C1228" s="5" t="str">
        <f>LEFT(Form_Responses1[[#This Row],[問１　あなたは何年生ですか。]],3)</f>
        <v>小学校</v>
      </c>
      <c r="D1228" s="7" t="s">
        <v>24</v>
      </c>
      <c r="E1228" s="7" t="s">
        <v>10</v>
      </c>
      <c r="F1228" s="7" t="s">
        <v>1020</v>
      </c>
    </row>
    <row r="1229" spans="1:6" ht="12.75">
      <c r="A1229" s="6">
        <v>45629.487897638886</v>
      </c>
      <c r="B1229" s="7" t="s">
        <v>11</v>
      </c>
      <c r="C1229" s="5" t="str">
        <f>LEFT(Form_Responses1[[#This Row],[問１　あなたは何年生ですか。]],3)</f>
        <v>小学校</v>
      </c>
      <c r="D1229" s="7" t="s">
        <v>121</v>
      </c>
      <c r="E1229" s="7" t="s">
        <v>10</v>
      </c>
      <c r="F1229" s="7" t="s">
        <v>1021</v>
      </c>
    </row>
    <row r="1230" spans="1:6" ht="12.75">
      <c r="A1230" s="6">
        <v>45629.488271261573</v>
      </c>
      <c r="B1230" s="7" t="s">
        <v>11</v>
      </c>
      <c r="C1230" s="5" t="str">
        <f>LEFT(Form_Responses1[[#This Row],[問１　あなたは何年生ですか。]],3)</f>
        <v>小学校</v>
      </c>
      <c r="D1230" s="7" t="s">
        <v>6</v>
      </c>
      <c r="E1230" s="7" t="s">
        <v>10</v>
      </c>
      <c r="F1230" s="7" t="s">
        <v>1022</v>
      </c>
    </row>
    <row r="1231" spans="1:6" ht="12.75">
      <c r="A1231" s="6">
        <v>45629.488411087965</v>
      </c>
      <c r="B1231" s="7" t="s">
        <v>289</v>
      </c>
      <c r="C1231" s="5" t="str">
        <f>LEFT(Form_Responses1[[#This Row],[問１　あなたは何年生ですか。]],3)</f>
        <v>小学校</v>
      </c>
      <c r="D1231" s="7" t="s">
        <v>24</v>
      </c>
      <c r="E1231" s="7" t="s">
        <v>10</v>
      </c>
      <c r="F1231" s="7" t="s">
        <v>1023</v>
      </c>
    </row>
    <row r="1232" spans="1:6" ht="12.75">
      <c r="A1232" s="6">
        <v>45629.488634050926</v>
      </c>
      <c r="B1232" s="7" t="s">
        <v>11</v>
      </c>
      <c r="C1232" s="5" t="str">
        <f>LEFT(Form_Responses1[[#This Row],[問１　あなたは何年生ですか。]],3)</f>
        <v>小学校</v>
      </c>
      <c r="D1232" s="7" t="s">
        <v>24</v>
      </c>
      <c r="E1232" s="7" t="s">
        <v>10</v>
      </c>
      <c r="F1232" s="7" t="s">
        <v>1024</v>
      </c>
    </row>
    <row r="1233" spans="1:6" ht="12.75">
      <c r="A1233" s="6">
        <v>45629.488675439818</v>
      </c>
      <c r="B1233" s="7" t="s">
        <v>11</v>
      </c>
      <c r="C1233" s="5" t="str">
        <f>LEFT(Form_Responses1[[#This Row],[問１　あなたは何年生ですか。]],3)</f>
        <v>小学校</v>
      </c>
      <c r="D1233" s="7" t="s">
        <v>22</v>
      </c>
      <c r="E1233" s="7" t="s">
        <v>10</v>
      </c>
      <c r="F1233" s="7" t="s">
        <v>1025</v>
      </c>
    </row>
    <row r="1234" spans="1:6" ht="12.75">
      <c r="A1234" s="6">
        <v>45629.488696006942</v>
      </c>
      <c r="B1234" s="7" t="s">
        <v>11</v>
      </c>
      <c r="C1234" s="5" t="str">
        <f>LEFT(Form_Responses1[[#This Row],[問１　あなたは何年生ですか。]],3)</f>
        <v>小学校</v>
      </c>
      <c r="D1234" s="7" t="s">
        <v>6</v>
      </c>
      <c r="E1234" s="7" t="s">
        <v>10</v>
      </c>
      <c r="F1234" s="7" t="s">
        <v>1026</v>
      </c>
    </row>
    <row r="1235" spans="1:6" ht="12.75">
      <c r="A1235" s="6">
        <v>45629.488907372681</v>
      </c>
      <c r="B1235" s="7" t="s">
        <v>11</v>
      </c>
      <c r="C1235" s="5" t="str">
        <f>LEFT(Form_Responses1[[#This Row],[問１　あなたは何年生ですか。]],3)</f>
        <v>小学校</v>
      </c>
      <c r="D1235" s="7" t="s">
        <v>6</v>
      </c>
      <c r="E1235" s="7" t="s">
        <v>7</v>
      </c>
      <c r="F1235" s="7" t="s">
        <v>1027</v>
      </c>
    </row>
    <row r="1236" spans="1:6" ht="12.75">
      <c r="A1236" s="6">
        <v>45629.489312905091</v>
      </c>
      <c r="B1236" s="7" t="s">
        <v>11</v>
      </c>
      <c r="C1236" s="5" t="str">
        <f>LEFT(Form_Responses1[[#This Row],[問１　あなたは何年生ですか。]],3)</f>
        <v>小学校</v>
      </c>
      <c r="D1236" s="7" t="s">
        <v>6</v>
      </c>
      <c r="E1236" s="7" t="s">
        <v>10</v>
      </c>
      <c r="F1236" s="7" t="s">
        <v>1028</v>
      </c>
    </row>
    <row r="1237" spans="1:6" ht="12.75">
      <c r="A1237" s="6">
        <v>45629.489350671298</v>
      </c>
      <c r="B1237" s="7" t="s">
        <v>11</v>
      </c>
      <c r="C1237" s="5" t="str">
        <f>LEFT(Form_Responses1[[#This Row],[問１　あなたは何年生ですか。]],3)</f>
        <v>小学校</v>
      </c>
      <c r="D1237" s="7" t="s">
        <v>6</v>
      </c>
      <c r="E1237" s="7" t="s">
        <v>10</v>
      </c>
      <c r="F1237" s="7" t="s">
        <v>1029</v>
      </c>
    </row>
    <row r="1238" spans="1:6" ht="12.75">
      <c r="A1238" s="6">
        <v>45629.489643796296</v>
      </c>
      <c r="B1238" s="7" t="s">
        <v>11</v>
      </c>
      <c r="C1238" s="5" t="str">
        <f>LEFT(Form_Responses1[[#This Row],[問１　あなたは何年生ですか。]],3)</f>
        <v>小学校</v>
      </c>
      <c r="D1238" s="7" t="s">
        <v>14</v>
      </c>
      <c r="E1238" s="7" t="s">
        <v>7</v>
      </c>
      <c r="F1238" s="7" t="s">
        <v>1030</v>
      </c>
    </row>
    <row r="1239" spans="1:6" ht="12.75">
      <c r="A1239" s="6">
        <v>45629.48966068287</v>
      </c>
      <c r="B1239" s="7" t="s">
        <v>11</v>
      </c>
      <c r="C1239" s="5" t="str">
        <f>LEFT(Form_Responses1[[#This Row],[問１　あなたは何年生ですか。]],3)</f>
        <v>小学校</v>
      </c>
      <c r="D1239" s="7" t="s">
        <v>24</v>
      </c>
      <c r="E1239" s="7" t="s">
        <v>10</v>
      </c>
      <c r="F1239" s="7" t="s">
        <v>1031</v>
      </c>
    </row>
    <row r="1240" spans="1:6" ht="12.75">
      <c r="A1240" s="6">
        <v>45629.491937256942</v>
      </c>
      <c r="B1240" s="7" t="s">
        <v>11</v>
      </c>
      <c r="C1240" s="5" t="str">
        <f>LEFT(Form_Responses1[[#This Row],[問１　あなたは何年生ですか。]],3)</f>
        <v>小学校</v>
      </c>
      <c r="D1240" s="7" t="s">
        <v>22</v>
      </c>
      <c r="E1240" s="7" t="s">
        <v>7</v>
      </c>
      <c r="F1240" s="7" t="s">
        <v>1032</v>
      </c>
    </row>
    <row r="1241" spans="1:6" ht="12.75">
      <c r="A1241" s="6">
        <v>45629.494805393522</v>
      </c>
      <c r="B1241" s="7" t="s">
        <v>21</v>
      </c>
      <c r="C1241" s="5" t="str">
        <f>LEFT(Form_Responses1[[#This Row],[問１　あなたは何年生ですか。]],3)</f>
        <v>小学校</v>
      </c>
      <c r="D1241" s="7" t="s">
        <v>6</v>
      </c>
      <c r="E1241" s="7" t="s">
        <v>10</v>
      </c>
      <c r="F1241" s="7" t="s">
        <v>1033</v>
      </c>
    </row>
    <row r="1242" spans="1:6" ht="12.75">
      <c r="A1242" s="6">
        <v>45629.494817303239</v>
      </c>
      <c r="B1242" s="7" t="s">
        <v>21</v>
      </c>
      <c r="C1242" s="5" t="str">
        <f>LEFT(Form_Responses1[[#This Row],[問１　あなたは何年生ですか。]],3)</f>
        <v>小学校</v>
      </c>
      <c r="D1242" s="7" t="s">
        <v>6</v>
      </c>
      <c r="E1242" s="7" t="s">
        <v>10</v>
      </c>
      <c r="F1242" s="8"/>
    </row>
    <row r="1243" spans="1:6" ht="12.75">
      <c r="A1243" s="6">
        <v>45629.494840590276</v>
      </c>
      <c r="B1243" s="7" t="s">
        <v>21</v>
      </c>
      <c r="C1243" s="5" t="str">
        <f>LEFT(Form_Responses1[[#This Row],[問１　あなたは何年生ですか。]],3)</f>
        <v>小学校</v>
      </c>
      <c r="D1243" s="7" t="s">
        <v>22</v>
      </c>
      <c r="E1243" s="7" t="s">
        <v>15</v>
      </c>
      <c r="F1243" s="7" t="s">
        <v>1034</v>
      </c>
    </row>
    <row r="1244" spans="1:6" ht="12.75">
      <c r="A1244" s="6">
        <v>45629.494924236111</v>
      </c>
      <c r="B1244" s="7" t="s">
        <v>21</v>
      </c>
      <c r="C1244" s="5" t="str">
        <f>LEFT(Form_Responses1[[#This Row],[問１　あなたは何年生ですか。]],3)</f>
        <v>小学校</v>
      </c>
      <c r="D1244" s="7" t="s">
        <v>6</v>
      </c>
      <c r="E1244" s="7" t="s">
        <v>7</v>
      </c>
      <c r="F1244" s="8"/>
    </row>
    <row r="1245" spans="1:6" ht="12.75">
      <c r="A1245" s="6">
        <v>45629.495015208333</v>
      </c>
      <c r="B1245" s="7" t="s">
        <v>21</v>
      </c>
      <c r="C1245" s="5" t="str">
        <f>LEFT(Form_Responses1[[#This Row],[問１　あなたは何年生ですか。]],3)</f>
        <v>小学校</v>
      </c>
      <c r="D1245" s="7" t="s">
        <v>24</v>
      </c>
      <c r="E1245" s="7" t="s">
        <v>10</v>
      </c>
      <c r="F1245" s="7" t="s">
        <v>239</v>
      </c>
    </row>
    <row r="1246" spans="1:6" ht="12.75">
      <c r="A1246" s="6">
        <v>45629.495148553237</v>
      </c>
      <c r="B1246" s="7" t="s">
        <v>21</v>
      </c>
      <c r="C1246" s="5" t="str">
        <f>LEFT(Form_Responses1[[#This Row],[問１　あなたは何年生ですか。]],3)</f>
        <v>小学校</v>
      </c>
      <c r="D1246" s="7" t="s">
        <v>14</v>
      </c>
      <c r="E1246" s="7" t="s">
        <v>7</v>
      </c>
      <c r="F1246" s="8"/>
    </row>
    <row r="1247" spans="1:6" ht="12.75">
      <c r="A1247" s="6">
        <v>45629.495409479168</v>
      </c>
      <c r="B1247" s="7" t="s">
        <v>21</v>
      </c>
      <c r="C1247" s="5" t="str">
        <f>LEFT(Form_Responses1[[#This Row],[問１　あなたは何年生ですか。]],3)</f>
        <v>小学校</v>
      </c>
      <c r="D1247" s="7" t="s">
        <v>24</v>
      </c>
      <c r="E1247" s="7" t="s">
        <v>10</v>
      </c>
      <c r="F1247" s="8"/>
    </row>
    <row r="1248" spans="1:6" ht="12.75">
      <c r="A1248" s="6">
        <v>45629.495464803244</v>
      </c>
      <c r="B1248" s="7" t="s">
        <v>21</v>
      </c>
      <c r="C1248" s="5" t="str">
        <f>LEFT(Form_Responses1[[#This Row],[問１　あなたは何年生ですか。]],3)</f>
        <v>小学校</v>
      </c>
      <c r="D1248" s="7" t="s">
        <v>17</v>
      </c>
      <c r="E1248" s="7" t="s">
        <v>10</v>
      </c>
      <c r="F1248" s="8"/>
    </row>
    <row r="1249" spans="1:6" ht="12.75">
      <c r="A1249" s="6">
        <v>45629.49546637731</v>
      </c>
      <c r="B1249" s="7" t="s">
        <v>21</v>
      </c>
      <c r="C1249" s="5" t="str">
        <f>LEFT(Form_Responses1[[#This Row],[問１　あなたは何年生ですか。]],3)</f>
        <v>小学校</v>
      </c>
      <c r="D1249" s="7" t="s">
        <v>1035</v>
      </c>
      <c r="E1249" s="7" t="s">
        <v>10</v>
      </c>
      <c r="F1249" s="7" t="s">
        <v>1036</v>
      </c>
    </row>
    <row r="1250" spans="1:6" ht="12.75">
      <c r="A1250" s="6">
        <v>45629.495484687504</v>
      </c>
      <c r="B1250" s="7" t="s">
        <v>21</v>
      </c>
      <c r="C1250" s="5" t="str">
        <f>LEFT(Form_Responses1[[#This Row],[問１　あなたは何年生ですか。]],3)</f>
        <v>小学校</v>
      </c>
      <c r="D1250" s="7" t="s">
        <v>19</v>
      </c>
      <c r="E1250" s="7" t="s">
        <v>67</v>
      </c>
      <c r="F1250" s="8"/>
    </row>
    <row r="1251" spans="1:6" ht="12.75">
      <c r="A1251" s="6">
        <v>45629.495541365744</v>
      </c>
      <c r="B1251" s="7" t="s">
        <v>21</v>
      </c>
      <c r="C1251" s="5" t="str">
        <f>LEFT(Form_Responses1[[#This Row],[問１　あなたは何年生ですか。]],3)</f>
        <v>小学校</v>
      </c>
      <c r="D1251" s="7" t="s">
        <v>24</v>
      </c>
      <c r="E1251" s="7" t="s">
        <v>10</v>
      </c>
      <c r="F1251" s="7" t="s">
        <v>1037</v>
      </c>
    </row>
    <row r="1252" spans="1:6" ht="12.75">
      <c r="A1252" s="6">
        <v>45629.495606701385</v>
      </c>
      <c r="B1252" s="7" t="s">
        <v>21</v>
      </c>
      <c r="C1252" s="5" t="str">
        <f>LEFT(Form_Responses1[[#This Row],[問１　あなたは何年生ですか。]],3)</f>
        <v>小学校</v>
      </c>
      <c r="D1252" s="7" t="s">
        <v>6</v>
      </c>
      <c r="E1252" s="7" t="s">
        <v>7</v>
      </c>
      <c r="F1252" s="8"/>
    </row>
    <row r="1253" spans="1:6" ht="12.75">
      <c r="A1253" s="6">
        <v>45629.495660289351</v>
      </c>
      <c r="B1253" s="7" t="s">
        <v>23</v>
      </c>
      <c r="C1253" s="5" t="str">
        <f>LEFT(Form_Responses1[[#This Row],[問１　あなたは何年生ですか。]],3)</f>
        <v>小学校</v>
      </c>
      <c r="D1253" s="7" t="s">
        <v>6</v>
      </c>
      <c r="E1253" s="7" t="s">
        <v>10</v>
      </c>
      <c r="F1253" s="7" t="s">
        <v>1038</v>
      </c>
    </row>
    <row r="1254" spans="1:6" ht="12.75">
      <c r="A1254" s="6">
        <v>45629.495727638889</v>
      </c>
      <c r="B1254" s="7" t="s">
        <v>21</v>
      </c>
      <c r="C1254" s="5" t="str">
        <f>LEFT(Form_Responses1[[#This Row],[問１　あなたは何年生ですか。]],3)</f>
        <v>小学校</v>
      </c>
      <c r="D1254" s="7" t="s">
        <v>30</v>
      </c>
      <c r="E1254" s="7" t="s">
        <v>7</v>
      </c>
      <c r="F1254" s="8"/>
    </row>
    <row r="1255" spans="1:6" ht="12.75">
      <c r="A1255" s="6">
        <v>45629.49576607639</v>
      </c>
      <c r="B1255" s="7" t="s">
        <v>21</v>
      </c>
      <c r="C1255" s="5" t="str">
        <f>LEFT(Form_Responses1[[#This Row],[問１　あなたは何年生ですか。]],3)</f>
        <v>小学校</v>
      </c>
      <c r="D1255" s="7" t="s">
        <v>24</v>
      </c>
      <c r="E1255" s="7" t="s">
        <v>10</v>
      </c>
      <c r="F1255" s="7" t="s">
        <v>1039</v>
      </c>
    </row>
    <row r="1256" spans="1:6" ht="12.75">
      <c r="A1256" s="6">
        <v>45629.495808541666</v>
      </c>
      <c r="B1256" s="7" t="s">
        <v>21</v>
      </c>
      <c r="C1256" s="5" t="str">
        <f>LEFT(Form_Responses1[[#This Row],[問１　あなたは何年生ですか。]],3)</f>
        <v>小学校</v>
      </c>
      <c r="D1256" s="7" t="s">
        <v>24</v>
      </c>
      <c r="E1256" s="7" t="s">
        <v>10</v>
      </c>
      <c r="F1256" s="8"/>
    </row>
    <row r="1257" spans="1:6" ht="12.75">
      <c r="A1257" s="6">
        <v>45629.4958362037</v>
      </c>
      <c r="B1257" s="7" t="s">
        <v>21</v>
      </c>
      <c r="C1257" s="5" t="str">
        <f>LEFT(Form_Responses1[[#This Row],[問１　あなたは何年生ですか。]],3)</f>
        <v>小学校</v>
      </c>
      <c r="D1257" s="7" t="s">
        <v>12</v>
      </c>
      <c r="E1257" s="7" t="s">
        <v>10</v>
      </c>
      <c r="F1257" s="7" t="s">
        <v>1040</v>
      </c>
    </row>
    <row r="1258" spans="1:6" ht="12.75">
      <c r="A1258" s="6">
        <v>45629.495847037033</v>
      </c>
      <c r="B1258" s="7" t="s">
        <v>21</v>
      </c>
      <c r="C1258" s="5" t="str">
        <f>LEFT(Form_Responses1[[#This Row],[問１　あなたは何年生ですか。]],3)</f>
        <v>小学校</v>
      </c>
      <c r="D1258" s="7" t="s">
        <v>19</v>
      </c>
      <c r="E1258" s="7" t="s">
        <v>67</v>
      </c>
      <c r="F1258" s="8"/>
    </row>
    <row r="1259" spans="1:6" ht="12.75">
      <c r="A1259" s="6">
        <v>45629.495875659719</v>
      </c>
      <c r="B1259" s="7" t="s">
        <v>21</v>
      </c>
      <c r="C1259" s="5" t="str">
        <f>LEFT(Form_Responses1[[#This Row],[問１　あなたは何年生ですか。]],3)</f>
        <v>小学校</v>
      </c>
      <c r="D1259" s="7" t="s">
        <v>24</v>
      </c>
      <c r="E1259" s="7" t="s">
        <v>10</v>
      </c>
      <c r="F1259" s="8"/>
    </row>
    <row r="1260" spans="1:6" ht="12.75">
      <c r="A1260" s="6">
        <v>45629.49588396991</v>
      </c>
      <c r="B1260" s="7" t="s">
        <v>21</v>
      </c>
      <c r="C1260" s="5" t="str">
        <f>LEFT(Form_Responses1[[#This Row],[問１　あなたは何年生ですか。]],3)</f>
        <v>小学校</v>
      </c>
      <c r="D1260" s="7" t="s">
        <v>17</v>
      </c>
      <c r="E1260" s="7" t="s">
        <v>10</v>
      </c>
      <c r="F1260" s="7" t="s">
        <v>1041</v>
      </c>
    </row>
    <row r="1261" spans="1:6" ht="12.75">
      <c r="A1261" s="6">
        <v>45629.49589701389</v>
      </c>
      <c r="B1261" s="7" t="s">
        <v>21</v>
      </c>
      <c r="C1261" s="5" t="str">
        <f>LEFT(Form_Responses1[[#This Row],[問１　あなたは何年生ですか。]],3)</f>
        <v>小学校</v>
      </c>
      <c r="D1261" s="7" t="s">
        <v>24</v>
      </c>
      <c r="E1261" s="7" t="s">
        <v>10</v>
      </c>
      <c r="F1261" s="8"/>
    </row>
    <row r="1262" spans="1:6" ht="12.75">
      <c r="A1262" s="6">
        <v>45629.495901064816</v>
      </c>
      <c r="B1262" s="7" t="s">
        <v>21</v>
      </c>
      <c r="C1262" s="5" t="str">
        <f>LEFT(Form_Responses1[[#This Row],[問１　あなたは何年生ですか。]],3)</f>
        <v>小学校</v>
      </c>
      <c r="D1262" s="7" t="s">
        <v>19</v>
      </c>
      <c r="E1262" s="7" t="s">
        <v>7</v>
      </c>
      <c r="F1262" s="7" t="s">
        <v>1042</v>
      </c>
    </row>
    <row r="1263" spans="1:6" ht="12.75">
      <c r="A1263" s="6">
        <v>45629.495918229164</v>
      </c>
      <c r="B1263" s="7" t="s">
        <v>21</v>
      </c>
      <c r="C1263" s="5" t="str">
        <f>LEFT(Form_Responses1[[#This Row],[問１　あなたは何年生ですか。]],3)</f>
        <v>小学校</v>
      </c>
      <c r="D1263" s="7" t="s">
        <v>24</v>
      </c>
      <c r="E1263" s="7" t="s">
        <v>10</v>
      </c>
      <c r="F1263" s="8"/>
    </row>
    <row r="1264" spans="1:6" ht="12.75">
      <c r="A1264" s="6">
        <v>45629.495934502316</v>
      </c>
      <c r="B1264" s="7" t="s">
        <v>21</v>
      </c>
      <c r="C1264" s="5" t="str">
        <f>LEFT(Form_Responses1[[#This Row],[問１　あなたは何年生ですか。]],3)</f>
        <v>小学校</v>
      </c>
      <c r="D1264" s="7" t="s">
        <v>24</v>
      </c>
      <c r="E1264" s="7" t="s">
        <v>10</v>
      </c>
      <c r="F1264" s="8"/>
    </row>
    <row r="1265" spans="1:6" ht="12.75">
      <c r="A1265" s="6">
        <v>45629.495970300923</v>
      </c>
      <c r="B1265" s="7" t="s">
        <v>21</v>
      </c>
      <c r="C1265" s="5" t="str">
        <f>LEFT(Form_Responses1[[#This Row],[問１　あなたは何年生ですか。]],3)</f>
        <v>小学校</v>
      </c>
      <c r="D1265" s="7" t="s">
        <v>22</v>
      </c>
      <c r="E1265" s="7" t="s">
        <v>10</v>
      </c>
      <c r="F1265" s="7" t="s">
        <v>1043</v>
      </c>
    </row>
    <row r="1266" spans="1:6" ht="12.75">
      <c r="A1266" s="6">
        <v>45629.496009641203</v>
      </c>
      <c r="B1266" s="7" t="s">
        <v>21</v>
      </c>
      <c r="C1266" s="5" t="str">
        <f>LEFT(Form_Responses1[[#This Row],[問１　あなたは何年生ですか。]],3)</f>
        <v>小学校</v>
      </c>
      <c r="D1266" s="7" t="s">
        <v>22</v>
      </c>
      <c r="E1266" s="7" t="s">
        <v>7</v>
      </c>
      <c r="F1266" s="7" t="s">
        <v>1044</v>
      </c>
    </row>
    <row r="1267" spans="1:6" ht="12.75">
      <c r="A1267" s="6">
        <v>45629.496277384256</v>
      </c>
      <c r="B1267" s="7" t="s">
        <v>21</v>
      </c>
      <c r="C1267" s="5" t="str">
        <f>LEFT(Form_Responses1[[#This Row],[問１　あなたは何年生ですか。]],3)</f>
        <v>小学校</v>
      </c>
      <c r="D1267" s="7" t="s">
        <v>24</v>
      </c>
      <c r="E1267" s="7" t="s">
        <v>10</v>
      </c>
      <c r="F1267" s="7" t="s">
        <v>1045</v>
      </c>
    </row>
    <row r="1268" spans="1:6" ht="12.75">
      <c r="A1268" s="6">
        <v>45629.49631180556</v>
      </c>
      <c r="B1268" s="7" t="s">
        <v>21</v>
      </c>
      <c r="C1268" s="5" t="str">
        <f>LEFT(Form_Responses1[[#This Row],[問１　あなたは何年生ですか。]],3)</f>
        <v>小学校</v>
      </c>
      <c r="D1268" s="7" t="s">
        <v>6</v>
      </c>
      <c r="E1268" s="7" t="s">
        <v>7</v>
      </c>
      <c r="F1268" s="8"/>
    </row>
    <row r="1269" spans="1:6" ht="12.75">
      <c r="A1269" s="6">
        <v>45629.496768379628</v>
      </c>
      <c r="B1269" s="7" t="s">
        <v>21</v>
      </c>
      <c r="C1269" s="5" t="str">
        <f>LEFT(Form_Responses1[[#This Row],[問１　あなたは何年生ですか。]],3)</f>
        <v>小学校</v>
      </c>
      <c r="D1269" s="7" t="s">
        <v>6</v>
      </c>
      <c r="E1269" s="7" t="s">
        <v>10</v>
      </c>
      <c r="F1269" s="7" t="s">
        <v>1046</v>
      </c>
    </row>
    <row r="1270" spans="1:6" ht="12.75">
      <c r="A1270" s="6">
        <v>45629.496793796294</v>
      </c>
      <c r="B1270" s="7" t="s">
        <v>21</v>
      </c>
      <c r="C1270" s="5" t="str">
        <f>LEFT(Form_Responses1[[#This Row],[問１　あなたは何年生ですか。]],3)</f>
        <v>小学校</v>
      </c>
      <c r="D1270" s="7" t="s">
        <v>1047</v>
      </c>
      <c r="E1270" s="7" t="s">
        <v>7</v>
      </c>
      <c r="F1270" s="7" t="s">
        <v>56</v>
      </c>
    </row>
    <row r="1271" spans="1:6" ht="12.75">
      <c r="A1271" s="6">
        <v>45629.497264826394</v>
      </c>
      <c r="B1271" s="7" t="s">
        <v>21</v>
      </c>
      <c r="C1271" s="5" t="str">
        <f>LEFT(Form_Responses1[[#This Row],[問１　あなたは何年生ですか。]],3)</f>
        <v>小学校</v>
      </c>
      <c r="D1271" s="7" t="s">
        <v>22</v>
      </c>
      <c r="E1271" s="7" t="s">
        <v>7</v>
      </c>
      <c r="F1271" s="7" t="s">
        <v>1044</v>
      </c>
    </row>
    <row r="1272" spans="1:6" ht="12.75">
      <c r="A1272" s="6">
        <v>45629.497655891202</v>
      </c>
      <c r="B1272" s="7" t="s">
        <v>21</v>
      </c>
      <c r="C1272" s="5" t="str">
        <f>LEFT(Form_Responses1[[#This Row],[問１　あなたは何年生ですか。]],3)</f>
        <v>小学校</v>
      </c>
      <c r="D1272" s="7" t="s">
        <v>9</v>
      </c>
      <c r="E1272" s="7" t="s">
        <v>10</v>
      </c>
      <c r="F1272" s="7" t="s">
        <v>1048</v>
      </c>
    </row>
    <row r="1273" spans="1:6" ht="12.75">
      <c r="A1273" s="6">
        <v>45629.497673194448</v>
      </c>
      <c r="B1273" s="7" t="s">
        <v>21</v>
      </c>
      <c r="C1273" s="5" t="str">
        <f>LEFT(Form_Responses1[[#This Row],[問１　あなたは何年生ですか。]],3)</f>
        <v>小学校</v>
      </c>
      <c r="D1273" s="7" t="s">
        <v>1049</v>
      </c>
      <c r="E1273" s="7" t="s">
        <v>10</v>
      </c>
      <c r="F1273" s="7" t="s">
        <v>1050</v>
      </c>
    </row>
    <row r="1274" spans="1:6" ht="12.75">
      <c r="A1274" s="6">
        <v>45629.498484131946</v>
      </c>
      <c r="B1274" s="7" t="s">
        <v>21</v>
      </c>
      <c r="C1274" s="5" t="str">
        <f>LEFT(Form_Responses1[[#This Row],[問１　あなたは何年生ですか。]],3)</f>
        <v>小学校</v>
      </c>
      <c r="D1274" s="7" t="s">
        <v>6</v>
      </c>
      <c r="E1274" s="7" t="s">
        <v>7</v>
      </c>
      <c r="F1274" s="7" t="s">
        <v>1051</v>
      </c>
    </row>
    <row r="1275" spans="1:6" ht="12.75">
      <c r="A1275" s="6">
        <v>45629.498642696759</v>
      </c>
      <c r="B1275" s="7" t="s">
        <v>21</v>
      </c>
      <c r="C1275" s="5" t="str">
        <f>LEFT(Form_Responses1[[#This Row],[問１　あなたは何年生ですか。]],3)</f>
        <v>小学校</v>
      </c>
      <c r="D1275" s="7" t="s">
        <v>1052</v>
      </c>
      <c r="E1275" s="7" t="s">
        <v>10</v>
      </c>
      <c r="F1275" s="7" t="s">
        <v>1053</v>
      </c>
    </row>
    <row r="1276" spans="1:6" ht="12.75">
      <c r="A1276" s="6">
        <v>45629.499252094909</v>
      </c>
      <c r="B1276" s="7" t="s">
        <v>21</v>
      </c>
      <c r="C1276" s="5" t="str">
        <f>LEFT(Form_Responses1[[#This Row],[問１　あなたは何年生ですか。]],3)</f>
        <v>小学校</v>
      </c>
      <c r="D1276" s="7" t="s">
        <v>1054</v>
      </c>
      <c r="E1276" s="7" t="s">
        <v>10</v>
      </c>
      <c r="F1276" s="7" t="s">
        <v>1055</v>
      </c>
    </row>
    <row r="1277" spans="1:6" ht="12.75">
      <c r="A1277" s="6">
        <v>45629.562401620366</v>
      </c>
      <c r="B1277" s="7" t="s">
        <v>16</v>
      </c>
      <c r="C1277" s="5" t="str">
        <f>LEFT(Form_Responses1[[#This Row],[問１　あなたは何年生ですか。]],3)</f>
        <v>中学校</v>
      </c>
      <c r="D1277" s="7" t="s">
        <v>24</v>
      </c>
      <c r="E1277" s="7" t="s">
        <v>7</v>
      </c>
      <c r="F1277" s="8"/>
    </row>
    <row r="1278" spans="1:6" ht="12.75">
      <c r="A1278" s="6">
        <v>45629.562726851851</v>
      </c>
      <c r="B1278" s="7" t="s">
        <v>16</v>
      </c>
      <c r="C1278" s="5" t="str">
        <f>LEFT(Form_Responses1[[#This Row],[問１　あなたは何年生ですか。]],3)</f>
        <v>中学校</v>
      </c>
      <c r="D1278" s="7" t="s">
        <v>19</v>
      </c>
      <c r="E1278" s="7" t="s">
        <v>7</v>
      </c>
      <c r="F1278" s="8"/>
    </row>
    <row r="1279" spans="1:6" ht="12.75">
      <c r="A1279" s="6">
        <v>45629.569426655093</v>
      </c>
      <c r="B1279" s="7" t="s">
        <v>5</v>
      </c>
      <c r="C1279" s="5" t="str">
        <f>LEFT(Form_Responses1[[#This Row],[問１　あなたは何年生ですか。]],3)</f>
        <v>中学校</v>
      </c>
      <c r="D1279" s="7" t="s">
        <v>19</v>
      </c>
      <c r="E1279" s="7" t="s">
        <v>10</v>
      </c>
      <c r="F1279" s="7" t="s">
        <v>1056</v>
      </c>
    </row>
    <row r="1280" spans="1:6" ht="12.75">
      <c r="A1280" s="6">
        <v>45629.5705628125</v>
      </c>
      <c r="B1280" s="7" t="s">
        <v>13</v>
      </c>
      <c r="C1280" s="5" t="str">
        <f>LEFT(Form_Responses1[[#This Row],[問１　あなたは何年生ですか。]],3)</f>
        <v>小学校</v>
      </c>
      <c r="D1280" s="7" t="s">
        <v>14</v>
      </c>
      <c r="E1280" s="7" t="s">
        <v>10</v>
      </c>
      <c r="F1280" s="8"/>
    </row>
    <row r="1281" spans="1:6" ht="12.75">
      <c r="A1281" s="6">
        <v>45629.572360266204</v>
      </c>
      <c r="B1281" s="7" t="s">
        <v>289</v>
      </c>
      <c r="C1281" s="5" t="str">
        <f>LEFT(Form_Responses1[[#This Row],[問１　あなたは何年生ですか。]],3)</f>
        <v>小学校</v>
      </c>
      <c r="D1281" s="7" t="s">
        <v>22</v>
      </c>
      <c r="E1281" s="7" t="s">
        <v>7</v>
      </c>
      <c r="F1281" s="7" t="s">
        <v>1057</v>
      </c>
    </row>
    <row r="1282" spans="1:6" ht="12.75">
      <c r="A1282" s="6">
        <v>45629.572382094906</v>
      </c>
      <c r="B1282" s="7" t="s">
        <v>289</v>
      </c>
      <c r="C1282" s="5" t="str">
        <f>LEFT(Form_Responses1[[#This Row],[問１　あなたは何年生ですか。]],3)</f>
        <v>小学校</v>
      </c>
      <c r="D1282" s="7" t="s">
        <v>6</v>
      </c>
      <c r="E1282" s="7" t="s">
        <v>7</v>
      </c>
      <c r="F1282" s="8"/>
    </row>
    <row r="1283" spans="1:6" ht="12.75">
      <c r="A1283" s="6">
        <v>45629.572544988427</v>
      </c>
      <c r="B1283" s="7" t="s">
        <v>289</v>
      </c>
      <c r="C1283" s="5" t="str">
        <f>LEFT(Form_Responses1[[#This Row],[問１　あなたは何年生ですか。]],3)</f>
        <v>小学校</v>
      </c>
      <c r="D1283" s="7" t="s">
        <v>14</v>
      </c>
      <c r="E1283" s="7" t="s">
        <v>10</v>
      </c>
      <c r="F1283" s="7" t="s">
        <v>1058</v>
      </c>
    </row>
    <row r="1284" spans="1:6" ht="12.75">
      <c r="A1284" s="6">
        <v>45629.572778865739</v>
      </c>
      <c r="B1284" s="7" t="s">
        <v>289</v>
      </c>
      <c r="C1284" s="5" t="str">
        <f>LEFT(Form_Responses1[[#This Row],[問１　あなたは何年生ですか。]],3)</f>
        <v>小学校</v>
      </c>
      <c r="D1284" s="7" t="s">
        <v>6</v>
      </c>
      <c r="E1284" s="7" t="s">
        <v>10</v>
      </c>
      <c r="F1284" s="7" t="s">
        <v>1059</v>
      </c>
    </row>
    <row r="1285" spans="1:6" ht="12.75">
      <c r="A1285" s="6">
        <v>45629.57301064815</v>
      </c>
      <c r="B1285" s="7" t="s">
        <v>289</v>
      </c>
      <c r="C1285" s="5" t="str">
        <f>LEFT(Form_Responses1[[#This Row],[問１　あなたは何年生ですか。]],3)</f>
        <v>小学校</v>
      </c>
      <c r="D1285" s="7" t="s">
        <v>6</v>
      </c>
      <c r="E1285" s="7" t="s">
        <v>7</v>
      </c>
      <c r="F1285" s="7" t="s">
        <v>466</v>
      </c>
    </row>
    <row r="1286" spans="1:6" ht="12.75">
      <c r="A1286" s="6">
        <v>45629.573396759261</v>
      </c>
      <c r="B1286" s="7" t="s">
        <v>289</v>
      </c>
      <c r="C1286" s="5" t="str">
        <f>LEFT(Form_Responses1[[#This Row],[問１　あなたは何年生ですか。]],3)</f>
        <v>小学校</v>
      </c>
      <c r="D1286" s="7" t="s">
        <v>19</v>
      </c>
      <c r="E1286" s="7" t="s">
        <v>10</v>
      </c>
      <c r="F1286" s="7" t="s">
        <v>1060</v>
      </c>
    </row>
    <row r="1287" spans="1:6" ht="12.75">
      <c r="A1287" s="6">
        <v>45629.573401550922</v>
      </c>
      <c r="B1287" s="7" t="s">
        <v>13</v>
      </c>
      <c r="C1287" s="5" t="str">
        <f>LEFT(Form_Responses1[[#This Row],[問１　あなたは何年生ですか。]],3)</f>
        <v>小学校</v>
      </c>
      <c r="D1287" s="7" t="s">
        <v>6</v>
      </c>
      <c r="E1287" s="7" t="s">
        <v>10</v>
      </c>
      <c r="F1287" s="8"/>
    </row>
    <row r="1288" spans="1:6" ht="12.75">
      <c r="A1288" s="6">
        <v>45629.573413495367</v>
      </c>
      <c r="B1288" s="7" t="s">
        <v>289</v>
      </c>
      <c r="C1288" s="5" t="str">
        <f>LEFT(Form_Responses1[[#This Row],[問１　あなたは何年生ですか。]],3)</f>
        <v>小学校</v>
      </c>
      <c r="D1288" s="7" t="s">
        <v>24</v>
      </c>
      <c r="E1288" s="7" t="s">
        <v>10</v>
      </c>
      <c r="F1288" s="7" t="s">
        <v>1061</v>
      </c>
    </row>
    <row r="1289" spans="1:6" ht="12.75">
      <c r="A1289" s="6">
        <v>45629.57352690972</v>
      </c>
      <c r="B1289" s="7" t="s">
        <v>289</v>
      </c>
      <c r="C1289" s="5" t="str">
        <f>LEFT(Form_Responses1[[#This Row],[問１　あなたは何年生ですか。]],3)</f>
        <v>小学校</v>
      </c>
      <c r="D1289" s="7" t="s">
        <v>1062</v>
      </c>
      <c r="E1289" s="7" t="s">
        <v>10</v>
      </c>
      <c r="F1289" s="7" t="s">
        <v>1063</v>
      </c>
    </row>
    <row r="1290" spans="1:6" ht="12.75">
      <c r="A1290" s="6">
        <v>45629.573570902779</v>
      </c>
      <c r="B1290" s="7" t="s">
        <v>289</v>
      </c>
      <c r="C1290" s="5" t="str">
        <f>LEFT(Form_Responses1[[#This Row],[問１　あなたは何年生ですか。]],3)</f>
        <v>小学校</v>
      </c>
      <c r="D1290" s="7" t="s">
        <v>24</v>
      </c>
      <c r="E1290" s="7" t="s">
        <v>10</v>
      </c>
      <c r="F1290" s="7" t="s">
        <v>1064</v>
      </c>
    </row>
    <row r="1291" spans="1:6" ht="12.75">
      <c r="A1291" s="6">
        <v>45629.573572974536</v>
      </c>
      <c r="B1291" s="7" t="s">
        <v>289</v>
      </c>
      <c r="C1291" s="5" t="str">
        <f>LEFT(Form_Responses1[[#This Row],[問１　あなたは何年生ですか。]],3)</f>
        <v>小学校</v>
      </c>
      <c r="D1291" s="7" t="s">
        <v>30</v>
      </c>
      <c r="E1291" s="7" t="s">
        <v>10</v>
      </c>
      <c r="F1291" s="7" t="s">
        <v>1065</v>
      </c>
    </row>
    <row r="1292" spans="1:6" ht="12.75">
      <c r="A1292" s="6">
        <v>45629.573653067127</v>
      </c>
      <c r="B1292" s="7" t="s">
        <v>289</v>
      </c>
      <c r="C1292" s="5" t="str">
        <f>LEFT(Form_Responses1[[#This Row],[問１　あなたは何年生ですか。]],3)</f>
        <v>小学校</v>
      </c>
      <c r="D1292" s="7" t="s">
        <v>6</v>
      </c>
      <c r="E1292" s="7" t="s">
        <v>10</v>
      </c>
      <c r="F1292" s="8"/>
    </row>
    <row r="1293" spans="1:6" ht="12.75">
      <c r="A1293" s="6">
        <v>45629.573754884259</v>
      </c>
      <c r="B1293" s="7" t="s">
        <v>289</v>
      </c>
      <c r="C1293" s="5" t="str">
        <f>LEFT(Form_Responses1[[#This Row],[問１　あなたは何年生ですか。]],3)</f>
        <v>小学校</v>
      </c>
      <c r="D1293" s="7" t="s">
        <v>6</v>
      </c>
      <c r="E1293" s="7" t="s">
        <v>10</v>
      </c>
      <c r="F1293" s="7" t="s">
        <v>1066</v>
      </c>
    </row>
    <row r="1294" spans="1:6" ht="12.75">
      <c r="A1294" s="6">
        <v>45629.573853368056</v>
      </c>
      <c r="B1294" s="7" t="s">
        <v>289</v>
      </c>
      <c r="C1294" s="5" t="str">
        <f>LEFT(Form_Responses1[[#This Row],[問１　あなたは何年生ですか。]],3)</f>
        <v>小学校</v>
      </c>
      <c r="D1294" s="7" t="s">
        <v>6</v>
      </c>
      <c r="E1294" s="7" t="s">
        <v>10</v>
      </c>
      <c r="F1294" s="8"/>
    </row>
    <row r="1295" spans="1:6" ht="12.75">
      <c r="A1295" s="6">
        <v>45629.573949560188</v>
      </c>
      <c r="B1295" s="7" t="s">
        <v>289</v>
      </c>
      <c r="C1295" s="5" t="str">
        <f>LEFT(Form_Responses1[[#This Row],[問１　あなたは何年生ですか。]],3)</f>
        <v>小学校</v>
      </c>
      <c r="D1295" s="7" t="s">
        <v>6</v>
      </c>
      <c r="E1295" s="7" t="s">
        <v>10</v>
      </c>
      <c r="F1295" s="7" t="s">
        <v>1067</v>
      </c>
    </row>
    <row r="1296" spans="1:6" ht="12.75">
      <c r="A1296" s="6">
        <v>45629.574066898145</v>
      </c>
      <c r="B1296" s="7" t="s">
        <v>289</v>
      </c>
      <c r="C1296" s="5" t="str">
        <f>LEFT(Form_Responses1[[#This Row],[問１　あなたは何年生ですか。]],3)</f>
        <v>小学校</v>
      </c>
      <c r="D1296" s="7" t="s">
        <v>24</v>
      </c>
      <c r="E1296" s="7" t="s">
        <v>10</v>
      </c>
      <c r="F1296" s="7" t="s">
        <v>1068</v>
      </c>
    </row>
    <row r="1297" spans="1:6" ht="12.75">
      <c r="A1297" s="6">
        <v>45629.574184201389</v>
      </c>
      <c r="B1297" s="7" t="s">
        <v>13</v>
      </c>
      <c r="C1297" s="5" t="str">
        <f>LEFT(Form_Responses1[[#This Row],[問１　あなたは何年生ですか。]],3)</f>
        <v>小学校</v>
      </c>
      <c r="D1297" s="7" t="s">
        <v>22</v>
      </c>
      <c r="E1297" s="7" t="s">
        <v>7</v>
      </c>
      <c r="F1297" s="8"/>
    </row>
    <row r="1298" spans="1:6" ht="12.75">
      <c r="A1298" s="6">
        <v>45629.574186689817</v>
      </c>
      <c r="B1298" s="7" t="s">
        <v>13</v>
      </c>
      <c r="C1298" s="5" t="str">
        <f>LEFT(Form_Responses1[[#This Row],[問１　あなたは何年生ですか。]],3)</f>
        <v>小学校</v>
      </c>
      <c r="D1298" s="7" t="s">
        <v>6</v>
      </c>
      <c r="E1298" s="7" t="s">
        <v>10</v>
      </c>
      <c r="F1298" s="8"/>
    </row>
    <row r="1299" spans="1:6" ht="12.75">
      <c r="A1299" s="6">
        <v>45629.574189803243</v>
      </c>
      <c r="B1299" s="7" t="s">
        <v>13</v>
      </c>
      <c r="C1299" s="5" t="str">
        <f>LEFT(Form_Responses1[[#This Row],[問１　あなたは何年生ですか。]],3)</f>
        <v>小学校</v>
      </c>
      <c r="D1299" s="7" t="s">
        <v>22</v>
      </c>
      <c r="E1299" s="7" t="s">
        <v>10</v>
      </c>
      <c r="F1299" s="8"/>
    </row>
    <row r="1300" spans="1:6" ht="12.75">
      <c r="A1300" s="6">
        <v>45629.574194502318</v>
      </c>
      <c r="B1300" s="7" t="s">
        <v>13</v>
      </c>
      <c r="C1300" s="5" t="str">
        <f>LEFT(Form_Responses1[[#This Row],[問１　あなたは何年生ですか。]],3)</f>
        <v>小学校</v>
      </c>
      <c r="D1300" s="7" t="s">
        <v>24</v>
      </c>
      <c r="E1300" s="7" t="s">
        <v>10</v>
      </c>
      <c r="F1300" s="8"/>
    </row>
    <row r="1301" spans="1:6" ht="12.75">
      <c r="A1301" s="6">
        <v>45629.574199421295</v>
      </c>
      <c r="B1301" s="7" t="s">
        <v>13</v>
      </c>
      <c r="C1301" s="5" t="str">
        <f>LEFT(Form_Responses1[[#This Row],[問１　あなたは何年生ですか。]],3)</f>
        <v>小学校</v>
      </c>
      <c r="D1301" s="7" t="s">
        <v>17</v>
      </c>
      <c r="E1301" s="7" t="s">
        <v>10</v>
      </c>
      <c r="F1301" s="8"/>
    </row>
    <row r="1302" spans="1:6" ht="12.75">
      <c r="A1302" s="6">
        <v>45629.574196504633</v>
      </c>
      <c r="B1302" s="7" t="s">
        <v>13</v>
      </c>
      <c r="C1302" s="5" t="str">
        <f>LEFT(Form_Responses1[[#This Row],[問１　あなたは何年生ですか。]],3)</f>
        <v>小学校</v>
      </c>
      <c r="D1302" s="7" t="s">
        <v>6</v>
      </c>
      <c r="E1302" s="7" t="s">
        <v>10</v>
      </c>
      <c r="F1302" s="8"/>
    </row>
    <row r="1303" spans="1:6" ht="12.75">
      <c r="A1303" s="6">
        <v>45629.574204004632</v>
      </c>
      <c r="B1303" s="7" t="s">
        <v>13</v>
      </c>
      <c r="C1303" s="5" t="str">
        <f>LEFT(Form_Responses1[[#This Row],[問１　あなたは何年生ですか。]],3)</f>
        <v>小学校</v>
      </c>
      <c r="D1303" s="7" t="s">
        <v>6</v>
      </c>
      <c r="E1303" s="7" t="s">
        <v>10</v>
      </c>
      <c r="F1303" s="8"/>
    </row>
    <row r="1304" spans="1:6" ht="12.75">
      <c r="A1304" s="6">
        <v>45629.574205324076</v>
      </c>
      <c r="B1304" s="7" t="s">
        <v>13</v>
      </c>
      <c r="C1304" s="5" t="str">
        <f>LEFT(Form_Responses1[[#This Row],[問１　あなたは何年生ですか。]],3)</f>
        <v>小学校</v>
      </c>
      <c r="D1304" s="7" t="s">
        <v>22</v>
      </c>
      <c r="E1304" s="7" t="s">
        <v>10</v>
      </c>
      <c r="F1304" s="8"/>
    </row>
    <row r="1305" spans="1:6" ht="12.75">
      <c r="A1305" s="6">
        <v>45629.574206273144</v>
      </c>
      <c r="B1305" s="7" t="s">
        <v>13</v>
      </c>
      <c r="C1305" s="5" t="str">
        <f>LEFT(Form_Responses1[[#This Row],[問１　あなたは何年生ですか。]],3)</f>
        <v>小学校</v>
      </c>
      <c r="D1305" s="7" t="s">
        <v>6</v>
      </c>
      <c r="E1305" s="7" t="s">
        <v>10</v>
      </c>
      <c r="F1305" s="8"/>
    </row>
    <row r="1306" spans="1:6" ht="12.75">
      <c r="A1306" s="6">
        <v>45629.57421097222</v>
      </c>
      <c r="B1306" s="7" t="s">
        <v>13</v>
      </c>
      <c r="C1306" s="5" t="str">
        <f>LEFT(Form_Responses1[[#This Row],[問１　あなたは何年生ですか。]],3)</f>
        <v>小学校</v>
      </c>
      <c r="D1306" s="7" t="s">
        <v>6</v>
      </c>
      <c r="E1306" s="7" t="s">
        <v>10</v>
      </c>
      <c r="F1306" s="8"/>
    </row>
    <row r="1307" spans="1:6" ht="12.75">
      <c r="A1307" s="6">
        <v>45629.574213159722</v>
      </c>
      <c r="B1307" s="7" t="s">
        <v>13</v>
      </c>
      <c r="C1307" s="5" t="str">
        <f>LEFT(Form_Responses1[[#This Row],[問１　あなたは何年生ですか。]],3)</f>
        <v>小学校</v>
      </c>
      <c r="D1307" s="7" t="s">
        <v>22</v>
      </c>
      <c r="E1307" s="7" t="s">
        <v>10</v>
      </c>
      <c r="F1307" s="8"/>
    </row>
    <row r="1308" spans="1:6" ht="12.75">
      <c r="A1308" s="6">
        <v>45629.574219502319</v>
      </c>
      <c r="B1308" s="7" t="s">
        <v>13</v>
      </c>
      <c r="C1308" s="5" t="str">
        <f>LEFT(Form_Responses1[[#This Row],[問１　あなたは何年生ですか。]],3)</f>
        <v>小学校</v>
      </c>
      <c r="D1308" s="7" t="s">
        <v>22</v>
      </c>
      <c r="E1308" s="7" t="s">
        <v>10</v>
      </c>
      <c r="F1308" s="8"/>
    </row>
    <row r="1309" spans="1:6" ht="12.75">
      <c r="A1309" s="6">
        <v>45629.574225023149</v>
      </c>
      <c r="B1309" s="7" t="s">
        <v>13</v>
      </c>
      <c r="C1309" s="5" t="str">
        <f>LEFT(Form_Responses1[[#This Row],[問１　あなたは何年生ですか。]],3)</f>
        <v>小学校</v>
      </c>
      <c r="D1309" s="7" t="s">
        <v>6</v>
      </c>
      <c r="E1309" s="7" t="s">
        <v>10</v>
      </c>
      <c r="F1309" s="8"/>
    </row>
    <row r="1310" spans="1:6" ht="12.75">
      <c r="A1310" s="6">
        <v>45629.574234108797</v>
      </c>
      <c r="B1310" s="7" t="s">
        <v>13</v>
      </c>
      <c r="C1310" s="5" t="str">
        <f>LEFT(Form_Responses1[[#This Row],[問１　あなたは何年生ですか。]],3)</f>
        <v>小学校</v>
      </c>
      <c r="D1310" s="7" t="s">
        <v>12</v>
      </c>
      <c r="E1310" s="7" t="s">
        <v>7</v>
      </c>
      <c r="F1310" s="8"/>
    </row>
    <row r="1311" spans="1:6" ht="12.75">
      <c r="A1311" s="6">
        <v>45629.57423706018</v>
      </c>
      <c r="B1311" s="7" t="s">
        <v>13</v>
      </c>
      <c r="C1311" s="5" t="str">
        <f>LEFT(Form_Responses1[[#This Row],[問１　あなたは何年生ですか。]],3)</f>
        <v>小学校</v>
      </c>
      <c r="D1311" s="7" t="s">
        <v>12</v>
      </c>
      <c r="E1311" s="7" t="s">
        <v>10</v>
      </c>
      <c r="F1311" s="8"/>
    </row>
    <row r="1312" spans="1:6" ht="12.75">
      <c r="A1312" s="6">
        <v>45629.5742450463</v>
      </c>
      <c r="B1312" s="7" t="s">
        <v>13</v>
      </c>
      <c r="C1312" s="5" t="str">
        <f>LEFT(Form_Responses1[[#This Row],[問１　あなたは何年生ですか。]],3)</f>
        <v>小学校</v>
      </c>
      <c r="D1312" s="7" t="s">
        <v>12</v>
      </c>
      <c r="E1312" s="7" t="s">
        <v>7</v>
      </c>
      <c r="F1312" s="8"/>
    </row>
    <row r="1313" spans="1:6" ht="12.75">
      <c r="A1313" s="6">
        <v>45629.574251111109</v>
      </c>
      <c r="B1313" s="7" t="s">
        <v>13</v>
      </c>
      <c r="C1313" s="5" t="str">
        <f>LEFT(Form_Responses1[[#This Row],[問１　あなたは何年生ですか。]],3)</f>
        <v>小学校</v>
      </c>
      <c r="D1313" s="7" t="s">
        <v>22</v>
      </c>
      <c r="E1313" s="7" t="s">
        <v>10</v>
      </c>
      <c r="F1313" s="8"/>
    </row>
    <row r="1314" spans="1:6" ht="12.75">
      <c r="A1314" s="6">
        <v>45629.574257037035</v>
      </c>
      <c r="B1314" s="7" t="s">
        <v>13</v>
      </c>
      <c r="C1314" s="5" t="str">
        <f>LEFT(Form_Responses1[[#This Row],[問１　あなたは何年生ですか。]],3)</f>
        <v>小学校</v>
      </c>
      <c r="D1314" s="7" t="s">
        <v>6</v>
      </c>
      <c r="E1314" s="7" t="s">
        <v>10</v>
      </c>
      <c r="F1314" s="8"/>
    </row>
    <row r="1315" spans="1:6" ht="12.75">
      <c r="A1315" s="6">
        <v>45629.574261388887</v>
      </c>
      <c r="B1315" s="7" t="s">
        <v>289</v>
      </c>
      <c r="C1315" s="5" t="str">
        <f>LEFT(Form_Responses1[[#This Row],[問１　あなたは何年生ですか。]],3)</f>
        <v>小学校</v>
      </c>
      <c r="D1315" s="7" t="s">
        <v>9</v>
      </c>
      <c r="E1315" s="7" t="s">
        <v>10</v>
      </c>
      <c r="F1315" s="7" t="s">
        <v>1069</v>
      </c>
    </row>
    <row r="1316" spans="1:6" ht="12.75">
      <c r="A1316" s="6">
        <v>45629.574277604166</v>
      </c>
      <c r="B1316" s="7" t="s">
        <v>13</v>
      </c>
      <c r="C1316" s="5" t="str">
        <f>LEFT(Form_Responses1[[#This Row],[問１　あなたは何年生ですか。]],3)</f>
        <v>小学校</v>
      </c>
      <c r="D1316" s="7" t="s">
        <v>12</v>
      </c>
      <c r="E1316" s="7" t="s">
        <v>10</v>
      </c>
      <c r="F1316" s="8"/>
    </row>
    <row r="1317" spans="1:6" ht="12.75">
      <c r="A1317" s="6">
        <v>45629.574267118056</v>
      </c>
      <c r="B1317" s="7" t="s">
        <v>13</v>
      </c>
      <c r="C1317" s="5" t="str">
        <f>LEFT(Form_Responses1[[#This Row],[問１　あなたは何年生ですか。]],3)</f>
        <v>小学校</v>
      </c>
      <c r="D1317" s="7" t="s">
        <v>6</v>
      </c>
      <c r="E1317" s="7" t="s">
        <v>10</v>
      </c>
      <c r="F1317" s="8"/>
    </row>
    <row r="1318" spans="1:6" ht="12.75">
      <c r="A1318" s="6">
        <v>45629.574379293983</v>
      </c>
      <c r="B1318" s="7" t="s">
        <v>289</v>
      </c>
      <c r="C1318" s="5" t="str">
        <f>LEFT(Form_Responses1[[#This Row],[問１　あなたは何年生ですか。]],3)</f>
        <v>小学校</v>
      </c>
      <c r="D1318" s="7" t="s">
        <v>9</v>
      </c>
      <c r="E1318" s="7" t="s">
        <v>10</v>
      </c>
      <c r="F1318" s="7" t="s">
        <v>1070</v>
      </c>
    </row>
    <row r="1319" spans="1:6" ht="12.75">
      <c r="A1319" s="6">
        <v>45629.574435578703</v>
      </c>
      <c r="B1319" s="7" t="s">
        <v>13</v>
      </c>
      <c r="C1319" s="5" t="str">
        <f>LEFT(Form_Responses1[[#This Row],[問１　あなたは何年生ですか。]],3)</f>
        <v>小学校</v>
      </c>
      <c r="D1319" s="7" t="s">
        <v>6</v>
      </c>
      <c r="E1319" s="7" t="s">
        <v>10</v>
      </c>
      <c r="F1319" s="8"/>
    </row>
    <row r="1320" spans="1:6" ht="12.75">
      <c r="A1320" s="6">
        <v>45629.574478900468</v>
      </c>
      <c r="B1320" s="7" t="s">
        <v>289</v>
      </c>
      <c r="C1320" s="5" t="str">
        <f>LEFT(Form_Responses1[[#This Row],[問１　あなたは何年生ですか。]],3)</f>
        <v>小学校</v>
      </c>
      <c r="D1320" s="7" t="s">
        <v>6</v>
      </c>
      <c r="E1320" s="7" t="s">
        <v>7</v>
      </c>
      <c r="F1320" s="7" t="s">
        <v>1071</v>
      </c>
    </row>
    <row r="1321" spans="1:6" ht="12.75">
      <c r="A1321" s="6">
        <v>45629.574529999998</v>
      </c>
      <c r="B1321" s="7" t="s">
        <v>289</v>
      </c>
      <c r="C1321" s="5" t="str">
        <f>LEFT(Form_Responses1[[#This Row],[問１　あなたは何年生ですか。]],3)</f>
        <v>小学校</v>
      </c>
      <c r="D1321" s="7" t="s">
        <v>6</v>
      </c>
      <c r="E1321" s="7" t="s">
        <v>10</v>
      </c>
      <c r="F1321" s="7" t="s">
        <v>1072</v>
      </c>
    </row>
    <row r="1322" spans="1:6" ht="12.75">
      <c r="A1322" s="6">
        <v>45629.574815034721</v>
      </c>
      <c r="B1322" s="7" t="s">
        <v>289</v>
      </c>
      <c r="C1322" s="5" t="str">
        <f>LEFT(Form_Responses1[[#This Row],[問１　あなたは何年生ですか。]],3)</f>
        <v>小学校</v>
      </c>
      <c r="D1322" s="7" t="s">
        <v>1073</v>
      </c>
      <c r="E1322" s="7" t="s">
        <v>10</v>
      </c>
      <c r="F1322" s="7" t="s">
        <v>1074</v>
      </c>
    </row>
    <row r="1323" spans="1:6" ht="12.75">
      <c r="A1323" s="6">
        <v>45629.574882569446</v>
      </c>
      <c r="B1323" s="7" t="s">
        <v>13</v>
      </c>
      <c r="C1323" s="5" t="str">
        <f>LEFT(Form_Responses1[[#This Row],[問１　あなたは何年生ですか。]],3)</f>
        <v>小学校</v>
      </c>
      <c r="D1323" s="7" t="s">
        <v>19</v>
      </c>
      <c r="E1323" s="7" t="s">
        <v>10</v>
      </c>
      <c r="F1323" s="8"/>
    </row>
    <row r="1324" spans="1:6" ht="12.75">
      <c r="A1324" s="6">
        <v>45629.57495480324</v>
      </c>
      <c r="B1324" s="7" t="s">
        <v>289</v>
      </c>
      <c r="C1324" s="5" t="str">
        <f>LEFT(Form_Responses1[[#This Row],[問１　あなたは何年生ですか。]],3)</f>
        <v>小学校</v>
      </c>
      <c r="D1324" s="7" t="s">
        <v>1075</v>
      </c>
      <c r="E1324" s="7" t="s">
        <v>10</v>
      </c>
      <c r="F1324" s="7" t="s">
        <v>1076</v>
      </c>
    </row>
    <row r="1325" spans="1:6" ht="12.75">
      <c r="A1325" s="6">
        <v>45629.574958877318</v>
      </c>
      <c r="B1325" s="7" t="s">
        <v>289</v>
      </c>
      <c r="C1325" s="5" t="str">
        <f>LEFT(Form_Responses1[[#This Row],[問１　あなたは何年生ですか。]],3)</f>
        <v>小学校</v>
      </c>
      <c r="D1325" s="7" t="s">
        <v>1077</v>
      </c>
      <c r="E1325" s="7" t="s">
        <v>10</v>
      </c>
      <c r="F1325" s="7" t="s">
        <v>1078</v>
      </c>
    </row>
    <row r="1326" spans="1:6" ht="12.75">
      <c r="A1326" s="6">
        <v>45629.575078287038</v>
      </c>
      <c r="B1326" s="7" t="s">
        <v>289</v>
      </c>
      <c r="C1326" s="5" t="str">
        <f>LEFT(Form_Responses1[[#This Row],[問１　あなたは何年生ですか。]],3)</f>
        <v>小学校</v>
      </c>
      <c r="D1326" s="7" t="s">
        <v>6</v>
      </c>
      <c r="E1326" s="7" t="s">
        <v>10</v>
      </c>
      <c r="F1326" s="8"/>
    </row>
    <row r="1327" spans="1:6" ht="12.75">
      <c r="A1327" s="6">
        <v>45629.575160775465</v>
      </c>
      <c r="B1327" s="7" t="s">
        <v>289</v>
      </c>
      <c r="C1327" s="5" t="str">
        <f>LEFT(Form_Responses1[[#This Row],[問１　あなたは何年生ですか。]],3)</f>
        <v>小学校</v>
      </c>
      <c r="D1327" s="7" t="s">
        <v>6</v>
      </c>
      <c r="E1327" s="7" t="s">
        <v>7</v>
      </c>
      <c r="F1327" s="7" t="s">
        <v>1079</v>
      </c>
    </row>
    <row r="1328" spans="1:6" ht="12.75">
      <c r="A1328" s="6">
        <v>45629.575295162038</v>
      </c>
      <c r="B1328" s="7" t="s">
        <v>13</v>
      </c>
      <c r="C1328" s="5" t="str">
        <f>LEFT(Form_Responses1[[#This Row],[問１　あなたは何年生ですか。]],3)</f>
        <v>小学校</v>
      </c>
      <c r="D1328" s="7" t="s">
        <v>22</v>
      </c>
      <c r="E1328" s="7" t="s">
        <v>15</v>
      </c>
      <c r="F1328" s="8"/>
    </row>
    <row r="1329" spans="1:6" ht="12.75">
      <c r="A1329" s="6">
        <v>45629.575477824073</v>
      </c>
      <c r="B1329" s="7" t="s">
        <v>13</v>
      </c>
      <c r="C1329" s="5" t="str">
        <f>LEFT(Form_Responses1[[#This Row],[問１　あなたは何年生ですか。]],3)</f>
        <v>小学校</v>
      </c>
      <c r="D1329" s="7" t="s">
        <v>6</v>
      </c>
      <c r="E1329" s="7" t="s">
        <v>10</v>
      </c>
      <c r="F1329" s="8"/>
    </row>
    <row r="1330" spans="1:6" ht="12.75">
      <c r="A1330" s="6">
        <v>45629.575567685184</v>
      </c>
      <c r="B1330" s="7" t="s">
        <v>13</v>
      </c>
      <c r="C1330" s="5" t="str">
        <f>LEFT(Form_Responses1[[#This Row],[問１　あなたは何年生ですか。]],3)</f>
        <v>小学校</v>
      </c>
      <c r="D1330" s="7" t="s">
        <v>6</v>
      </c>
      <c r="E1330" s="7" t="s">
        <v>10</v>
      </c>
      <c r="F1330" s="8"/>
    </row>
    <row r="1331" spans="1:6" ht="12.75">
      <c r="A1331" s="6">
        <v>45629.575633495369</v>
      </c>
      <c r="B1331" s="7" t="s">
        <v>289</v>
      </c>
      <c r="C1331" s="5" t="str">
        <f>LEFT(Form_Responses1[[#This Row],[問１　あなたは何年生ですか。]],3)</f>
        <v>小学校</v>
      </c>
      <c r="D1331" s="7" t="s">
        <v>1080</v>
      </c>
      <c r="E1331" s="7" t="s">
        <v>10</v>
      </c>
      <c r="F1331" s="7" t="s">
        <v>244</v>
      </c>
    </row>
    <row r="1332" spans="1:6" ht="12.75">
      <c r="A1332" s="6">
        <v>45629.576061956017</v>
      </c>
      <c r="B1332" s="7" t="s">
        <v>289</v>
      </c>
      <c r="C1332" s="5" t="str">
        <f>LEFT(Form_Responses1[[#This Row],[問１　あなたは何年生ですか。]],3)</f>
        <v>小学校</v>
      </c>
      <c r="D1332" s="7" t="s">
        <v>1081</v>
      </c>
      <c r="E1332" s="7" t="s">
        <v>10</v>
      </c>
      <c r="F1332" s="7" t="s">
        <v>1082</v>
      </c>
    </row>
    <row r="1333" spans="1:6" ht="12.75">
      <c r="A1333" s="6">
        <v>45629.576292256941</v>
      </c>
      <c r="B1333" s="7" t="s">
        <v>13</v>
      </c>
      <c r="C1333" s="5" t="str">
        <f>LEFT(Form_Responses1[[#This Row],[問１　あなたは何年生ですか。]],3)</f>
        <v>小学校</v>
      </c>
      <c r="D1333" s="7" t="s">
        <v>6</v>
      </c>
      <c r="E1333" s="7" t="s">
        <v>10</v>
      </c>
      <c r="F1333" s="8"/>
    </row>
    <row r="1334" spans="1:6" ht="12.75">
      <c r="A1334" s="6">
        <v>45629.576684409723</v>
      </c>
      <c r="B1334" s="7" t="s">
        <v>289</v>
      </c>
      <c r="C1334" s="5" t="str">
        <f>LEFT(Form_Responses1[[#This Row],[問１　あなたは何年生ですか。]],3)</f>
        <v>小学校</v>
      </c>
      <c r="D1334" s="7" t="s">
        <v>24</v>
      </c>
      <c r="E1334" s="7" t="s">
        <v>10</v>
      </c>
      <c r="F1334" s="7" t="s">
        <v>1083</v>
      </c>
    </row>
    <row r="1335" spans="1:6" ht="12.75">
      <c r="A1335" s="6">
        <v>45629.576808634258</v>
      </c>
      <c r="B1335" s="7" t="s">
        <v>13</v>
      </c>
      <c r="C1335" s="5" t="str">
        <f>LEFT(Form_Responses1[[#This Row],[問１　あなたは何年生ですか。]],3)</f>
        <v>小学校</v>
      </c>
      <c r="D1335" s="7" t="s">
        <v>19</v>
      </c>
      <c r="E1335" s="7" t="s">
        <v>7</v>
      </c>
      <c r="F1335" s="8"/>
    </row>
    <row r="1336" spans="1:6" ht="12.75">
      <c r="A1336" s="6">
        <v>45629.576928935188</v>
      </c>
      <c r="B1336" s="7" t="s">
        <v>13</v>
      </c>
      <c r="C1336" s="5" t="str">
        <f>LEFT(Form_Responses1[[#This Row],[問１　あなたは何年生ですか。]],3)</f>
        <v>小学校</v>
      </c>
      <c r="D1336" s="7" t="s">
        <v>6</v>
      </c>
      <c r="E1336" s="7" t="s">
        <v>10</v>
      </c>
      <c r="F1336" s="8"/>
    </row>
    <row r="1337" spans="1:6" ht="12.75">
      <c r="A1337" s="6">
        <v>45629.578012754631</v>
      </c>
      <c r="B1337" s="7" t="s">
        <v>289</v>
      </c>
      <c r="C1337" s="5" t="str">
        <f>LEFT(Form_Responses1[[#This Row],[問１　あなたは何年生ですか。]],3)</f>
        <v>小学校</v>
      </c>
      <c r="D1337" s="7" t="s">
        <v>6</v>
      </c>
      <c r="E1337" s="7" t="s">
        <v>10</v>
      </c>
      <c r="F1337" s="8"/>
    </row>
    <row r="1338" spans="1:6" ht="12.75">
      <c r="A1338" s="6">
        <v>45629.578038344909</v>
      </c>
      <c r="B1338" s="7" t="s">
        <v>8</v>
      </c>
      <c r="C1338" s="5" t="str">
        <f>LEFT(Form_Responses1[[#This Row],[問１　あなたは何年生ですか。]],3)</f>
        <v>小学校</v>
      </c>
      <c r="D1338" s="7" t="s">
        <v>14</v>
      </c>
      <c r="E1338" s="7" t="s">
        <v>10</v>
      </c>
      <c r="F1338" s="7" t="s">
        <v>1084</v>
      </c>
    </row>
    <row r="1339" spans="1:6" ht="12.75">
      <c r="A1339" s="6">
        <v>45629.578191898152</v>
      </c>
      <c r="B1339" s="7" t="s">
        <v>8</v>
      </c>
      <c r="C1339" s="5" t="str">
        <f>LEFT(Form_Responses1[[#This Row],[問１　あなたは何年生ですか。]],3)</f>
        <v>小学校</v>
      </c>
      <c r="D1339" s="7" t="s">
        <v>9</v>
      </c>
      <c r="E1339" s="7" t="s">
        <v>7</v>
      </c>
      <c r="F1339" s="7" t="s">
        <v>1085</v>
      </c>
    </row>
    <row r="1340" spans="1:6" ht="12.75">
      <c r="A1340" s="6">
        <v>45629.579057731476</v>
      </c>
      <c r="B1340" s="7" t="s">
        <v>8</v>
      </c>
      <c r="C1340" s="5" t="str">
        <f>LEFT(Form_Responses1[[#This Row],[問１　あなたは何年生ですか。]],3)</f>
        <v>小学校</v>
      </c>
      <c r="D1340" s="7" t="s">
        <v>12</v>
      </c>
      <c r="E1340" s="7" t="s">
        <v>10</v>
      </c>
      <c r="F1340" s="7" t="s">
        <v>1086</v>
      </c>
    </row>
    <row r="1341" spans="1:6" ht="12.75">
      <c r="A1341" s="6">
        <v>45629.579417581015</v>
      </c>
      <c r="B1341" s="7" t="s">
        <v>21</v>
      </c>
      <c r="C1341" s="5" t="str">
        <f>LEFT(Form_Responses1[[#This Row],[問１　あなたは何年生ですか。]],3)</f>
        <v>小学校</v>
      </c>
      <c r="D1341" s="7" t="s">
        <v>30</v>
      </c>
      <c r="E1341" s="7" t="s">
        <v>10</v>
      </c>
      <c r="F1341" s="7" t="s">
        <v>1087</v>
      </c>
    </row>
    <row r="1342" spans="1:6" ht="12.75">
      <c r="A1342" s="6">
        <v>45629.579732500002</v>
      </c>
      <c r="B1342" s="7" t="s">
        <v>8</v>
      </c>
      <c r="C1342" s="5" t="str">
        <f>LEFT(Form_Responses1[[#This Row],[問１　あなたは何年生ですか。]],3)</f>
        <v>小学校</v>
      </c>
      <c r="D1342" s="7" t="s">
        <v>22</v>
      </c>
      <c r="E1342" s="7" t="s">
        <v>10</v>
      </c>
      <c r="F1342" s="7" t="s">
        <v>1088</v>
      </c>
    </row>
    <row r="1343" spans="1:6" ht="12.75">
      <c r="A1343" s="6">
        <v>45629.580497604169</v>
      </c>
      <c r="B1343" s="7" t="s">
        <v>8</v>
      </c>
      <c r="C1343" s="5" t="str">
        <f>LEFT(Form_Responses1[[#This Row],[問１　あなたは何年生ですか。]],3)</f>
        <v>小学校</v>
      </c>
      <c r="D1343" s="7" t="s">
        <v>24</v>
      </c>
      <c r="E1343" s="7" t="s">
        <v>10</v>
      </c>
      <c r="F1343" s="7" t="s">
        <v>1089</v>
      </c>
    </row>
    <row r="1344" spans="1:6" ht="12.75">
      <c r="A1344" s="6">
        <v>45629.580515775466</v>
      </c>
      <c r="B1344" s="7" t="s">
        <v>8</v>
      </c>
      <c r="C1344" s="5" t="str">
        <f>LEFT(Form_Responses1[[#This Row],[問１　あなたは何年生ですか。]],3)</f>
        <v>小学校</v>
      </c>
      <c r="D1344" s="7" t="s">
        <v>12</v>
      </c>
      <c r="E1344" s="7" t="s">
        <v>10</v>
      </c>
      <c r="F1344" s="7" t="s">
        <v>1090</v>
      </c>
    </row>
    <row r="1345" spans="1:6" ht="12.75">
      <c r="A1345" s="6">
        <v>45629.580718935184</v>
      </c>
      <c r="B1345" s="7" t="s">
        <v>8</v>
      </c>
      <c r="C1345" s="5" t="str">
        <f>LEFT(Form_Responses1[[#This Row],[問１　あなたは何年生ですか。]],3)</f>
        <v>小学校</v>
      </c>
      <c r="D1345" s="7" t="s">
        <v>14</v>
      </c>
      <c r="E1345" s="7" t="s">
        <v>10</v>
      </c>
      <c r="F1345" s="7" t="s">
        <v>1091</v>
      </c>
    </row>
    <row r="1346" spans="1:6" ht="12.75">
      <c r="A1346" s="6">
        <v>45629.581120208335</v>
      </c>
      <c r="B1346" s="7" t="s">
        <v>8</v>
      </c>
      <c r="C1346" s="5" t="str">
        <f>LEFT(Form_Responses1[[#This Row],[問１　あなたは何年生ですか。]],3)</f>
        <v>小学校</v>
      </c>
      <c r="D1346" s="7" t="s">
        <v>24</v>
      </c>
      <c r="E1346" s="7" t="s">
        <v>10</v>
      </c>
      <c r="F1346" s="7" t="s">
        <v>1092</v>
      </c>
    </row>
    <row r="1347" spans="1:6" ht="12.75">
      <c r="A1347" s="6">
        <v>45629.581508310184</v>
      </c>
      <c r="B1347" s="7" t="s">
        <v>8</v>
      </c>
      <c r="C1347" s="5" t="str">
        <f>LEFT(Form_Responses1[[#This Row],[問１　あなたは何年生ですか。]],3)</f>
        <v>小学校</v>
      </c>
      <c r="D1347" s="7" t="s">
        <v>22</v>
      </c>
      <c r="E1347" s="7" t="s">
        <v>7</v>
      </c>
      <c r="F1347" s="7" t="s">
        <v>1093</v>
      </c>
    </row>
    <row r="1348" spans="1:6" ht="12.75">
      <c r="A1348" s="6">
        <v>45629.581745000003</v>
      </c>
      <c r="B1348" s="7" t="s">
        <v>8</v>
      </c>
      <c r="C1348" s="5" t="str">
        <f>LEFT(Form_Responses1[[#This Row],[問１　あなたは何年生ですか。]],3)</f>
        <v>小学校</v>
      </c>
      <c r="D1348" s="7" t="s">
        <v>12</v>
      </c>
      <c r="E1348" s="7" t="s">
        <v>10</v>
      </c>
      <c r="F1348" s="7" t="s">
        <v>1094</v>
      </c>
    </row>
    <row r="1349" spans="1:6" ht="12.75">
      <c r="A1349" s="6">
        <v>45629.582062650465</v>
      </c>
      <c r="B1349" s="7" t="s">
        <v>8</v>
      </c>
      <c r="C1349" s="5" t="str">
        <f>LEFT(Form_Responses1[[#This Row],[問１　あなたは何年生ですか。]],3)</f>
        <v>小学校</v>
      </c>
      <c r="D1349" s="7" t="s">
        <v>24</v>
      </c>
      <c r="E1349" s="7" t="s">
        <v>10</v>
      </c>
      <c r="F1349" s="7" t="s">
        <v>1095</v>
      </c>
    </row>
    <row r="1350" spans="1:6" ht="12.75">
      <c r="A1350" s="6">
        <v>45629.592852789356</v>
      </c>
      <c r="B1350" s="7" t="s">
        <v>5</v>
      </c>
      <c r="C1350" s="5" t="str">
        <f>LEFT(Form_Responses1[[#This Row],[問１　あなたは何年生ですか。]],3)</f>
        <v>中学校</v>
      </c>
      <c r="D1350" s="7" t="s">
        <v>17</v>
      </c>
      <c r="E1350" s="7" t="s">
        <v>10</v>
      </c>
      <c r="F1350" s="8"/>
    </row>
    <row r="1351" spans="1:6" ht="12.75">
      <c r="A1351" s="6">
        <v>45629.592898009258</v>
      </c>
      <c r="B1351" s="7" t="s">
        <v>11</v>
      </c>
      <c r="C1351" s="5" t="str">
        <f>LEFT(Form_Responses1[[#This Row],[問１　あなたは何年生ですか。]],3)</f>
        <v>小学校</v>
      </c>
      <c r="D1351" s="7" t="s">
        <v>6</v>
      </c>
      <c r="E1351" s="7" t="s">
        <v>10</v>
      </c>
      <c r="F1351" s="7" t="s">
        <v>1096</v>
      </c>
    </row>
    <row r="1352" spans="1:6" ht="12.75">
      <c r="A1352" s="6">
        <v>45629.625173310182</v>
      </c>
      <c r="B1352" s="7" t="s">
        <v>13</v>
      </c>
      <c r="C1352" s="5" t="str">
        <f>LEFT(Form_Responses1[[#This Row],[問１　あなたは何年生ですか。]],3)</f>
        <v>小学校</v>
      </c>
      <c r="D1352" s="7" t="s">
        <v>6</v>
      </c>
      <c r="E1352" s="7" t="s">
        <v>7</v>
      </c>
      <c r="F1352" s="8"/>
    </row>
    <row r="1353" spans="1:6" ht="12.75">
      <c r="A1353" s="6">
        <v>45629.643726354167</v>
      </c>
      <c r="B1353" s="7" t="s">
        <v>16</v>
      </c>
      <c r="C1353" s="5" t="str">
        <f>LEFT(Form_Responses1[[#This Row],[問１　あなたは何年生ですか。]],3)</f>
        <v>中学校</v>
      </c>
      <c r="D1353" s="7" t="s">
        <v>24</v>
      </c>
      <c r="E1353" s="7" t="s">
        <v>7</v>
      </c>
      <c r="F1353" s="7" t="s">
        <v>128</v>
      </c>
    </row>
    <row r="1354" spans="1:6" ht="12.75">
      <c r="A1354" s="6">
        <v>45629.64453917824</v>
      </c>
      <c r="B1354" s="7" t="s">
        <v>16</v>
      </c>
      <c r="C1354" s="5" t="str">
        <f>LEFT(Form_Responses1[[#This Row],[問１　あなたは何年生ですか。]],3)</f>
        <v>中学校</v>
      </c>
      <c r="D1354" s="7" t="s">
        <v>6</v>
      </c>
      <c r="E1354" s="7" t="s">
        <v>10</v>
      </c>
      <c r="F1354" s="7" t="s">
        <v>1097</v>
      </c>
    </row>
    <row r="1355" spans="1:6" ht="12.75">
      <c r="A1355" s="6">
        <v>45629.644548310185</v>
      </c>
      <c r="B1355" s="7" t="s">
        <v>16</v>
      </c>
      <c r="C1355" s="5" t="str">
        <f>LEFT(Form_Responses1[[#This Row],[問１　あなたは何年生ですか。]],3)</f>
        <v>中学校</v>
      </c>
      <c r="D1355" s="7" t="s">
        <v>6</v>
      </c>
      <c r="E1355" s="7" t="s">
        <v>7</v>
      </c>
      <c r="F1355" s="8"/>
    </row>
    <row r="1356" spans="1:6" ht="12.75">
      <c r="A1356" s="6">
        <v>45629.644672604161</v>
      </c>
      <c r="B1356" s="7" t="s">
        <v>16</v>
      </c>
      <c r="C1356" s="5" t="str">
        <f>LEFT(Form_Responses1[[#This Row],[問１　あなたは何年生ですか。]],3)</f>
        <v>中学校</v>
      </c>
      <c r="D1356" s="7" t="s">
        <v>24</v>
      </c>
      <c r="E1356" s="7" t="s">
        <v>10</v>
      </c>
      <c r="F1356" s="7" t="s">
        <v>1098</v>
      </c>
    </row>
    <row r="1357" spans="1:6" ht="12.75">
      <c r="A1357" s="6">
        <v>45629.644693668983</v>
      </c>
      <c r="B1357" s="7" t="s">
        <v>16</v>
      </c>
      <c r="C1357" s="5" t="str">
        <f>LEFT(Form_Responses1[[#This Row],[問１　あなたは何年生ですか。]],3)</f>
        <v>中学校</v>
      </c>
      <c r="D1357" s="7" t="s">
        <v>6</v>
      </c>
      <c r="E1357" s="7" t="s">
        <v>7</v>
      </c>
      <c r="F1357" s="7" t="s">
        <v>1099</v>
      </c>
    </row>
    <row r="1358" spans="1:6" ht="12.75">
      <c r="A1358" s="6">
        <v>45629.644741261574</v>
      </c>
      <c r="B1358" s="7" t="s">
        <v>16</v>
      </c>
      <c r="C1358" s="5" t="str">
        <f>LEFT(Form_Responses1[[#This Row],[問１　あなたは何年生ですか。]],3)</f>
        <v>中学校</v>
      </c>
      <c r="D1358" s="7" t="s">
        <v>6</v>
      </c>
      <c r="E1358" s="7" t="s">
        <v>7</v>
      </c>
      <c r="F1358" s="8"/>
    </row>
    <row r="1359" spans="1:6" ht="12.75">
      <c r="A1359" s="6">
        <v>45629.644849004631</v>
      </c>
      <c r="B1359" s="7" t="s">
        <v>16</v>
      </c>
      <c r="C1359" s="5" t="str">
        <f>LEFT(Form_Responses1[[#This Row],[問１　あなたは何年生ですか。]],3)</f>
        <v>中学校</v>
      </c>
      <c r="D1359" s="7" t="s">
        <v>6</v>
      </c>
      <c r="E1359" s="7" t="s">
        <v>7</v>
      </c>
      <c r="F1359" s="8"/>
    </row>
    <row r="1360" spans="1:6" ht="12.75">
      <c r="A1360" s="6">
        <v>45629.64485055556</v>
      </c>
      <c r="B1360" s="7" t="s">
        <v>16</v>
      </c>
      <c r="C1360" s="5" t="str">
        <f>LEFT(Form_Responses1[[#This Row],[問１　あなたは何年生ですか。]],3)</f>
        <v>中学校</v>
      </c>
      <c r="D1360" s="7" t="s">
        <v>6</v>
      </c>
      <c r="E1360" s="7" t="s">
        <v>10</v>
      </c>
      <c r="F1360" s="7" t="s">
        <v>480</v>
      </c>
    </row>
    <row r="1361" spans="1:6" ht="12.75">
      <c r="A1361" s="6">
        <v>45629.644946458335</v>
      </c>
      <c r="B1361" s="7" t="s">
        <v>16</v>
      </c>
      <c r="C1361" s="5" t="str">
        <f>LEFT(Form_Responses1[[#This Row],[問１　あなたは何年生ですか。]],3)</f>
        <v>中学校</v>
      </c>
      <c r="D1361" s="7" t="s">
        <v>6</v>
      </c>
      <c r="E1361" s="7" t="s">
        <v>10</v>
      </c>
      <c r="F1361" s="7" t="s">
        <v>1100</v>
      </c>
    </row>
    <row r="1362" spans="1:6" ht="12.75">
      <c r="A1362" s="6">
        <v>45629.645019374999</v>
      </c>
      <c r="B1362" s="7" t="s">
        <v>16</v>
      </c>
      <c r="C1362" s="5" t="str">
        <f>LEFT(Form_Responses1[[#This Row],[問１　あなたは何年生ですか。]],3)</f>
        <v>中学校</v>
      </c>
      <c r="D1362" s="7" t="s">
        <v>19</v>
      </c>
      <c r="E1362" s="7" t="s">
        <v>7</v>
      </c>
      <c r="F1362" s="7" t="s">
        <v>1101</v>
      </c>
    </row>
    <row r="1363" spans="1:6" ht="12.75">
      <c r="A1363" s="6">
        <v>45629.64506545139</v>
      </c>
      <c r="B1363" s="7" t="s">
        <v>16</v>
      </c>
      <c r="C1363" s="5" t="str">
        <f>LEFT(Form_Responses1[[#This Row],[問１　あなたは何年生ですか。]],3)</f>
        <v>中学校</v>
      </c>
      <c r="D1363" s="7" t="s">
        <v>6</v>
      </c>
      <c r="E1363" s="7" t="s">
        <v>10</v>
      </c>
      <c r="F1363" s="7" t="s">
        <v>72</v>
      </c>
    </row>
    <row r="1364" spans="1:6" ht="12.75">
      <c r="A1364" s="6">
        <v>45629.645094224536</v>
      </c>
      <c r="B1364" s="7" t="s">
        <v>16</v>
      </c>
      <c r="C1364" s="5" t="str">
        <f>LEFT(Form_Responses1[[#This Row],[問１　あなたは何年生ですか。]],3)</f>
        <v>中学校</v>
      </c>
      <c r="D1364" s="7" t="s">
        <v>1102</v>
      </c>
      <c r="E1364" s="7" t="s">
        <v>7</v>
      </c>
      <c r="F1364" s="8"/>
    </row>
    <row r="1365" spans="1:6" ht="12.75">
      <c r="A1365" s="6">
        <v>45629.645101863425</v>
      </c>
      <c r="B1365" s="7" t="s">
        <v>16</v>
      </c>
      <c r="C1365" s="5" t="str">
        <f>LEFT(Form_Responses1[[#This Row],[問１　あなたは何年生ですか。]],3)</f>
        <v>中学校</v>
      </c>
      <c r="D1365" s="7" t="s">
        <v>6</v>
      </c>
      <c r="E1365" s="7" t="s">
        <v>10</v>
      </c>
      <c r="F1365" s="7" t="s">
        <v>112</v>
      </c>
    </row>
    <row r="1366" spans="1:6" ht="12.75">
      <c r="A1366" s="6">
        <v>45629.645215729164</v>
      </c>
      <c r="B1366" s="7" t="s">
        <v>16</v>
      </c>
      <c r="C1366" s="5" t="str">
        <f>LEFT(Form_Responses1[[#This Row],[問１　あなたは何年生ですか。]],3)</f>
        <v>中学校</v>
      </c>
      <c r="D1366" s="7" t="s">
        <v>6</v>
      </c>
      <c r="E1366" s="7" t="s">
        <v>10</v>
      </c>
      <c r="F1366" s="7" t="s">
        <v>1103</v>
      </c>
    </row>
    <row r="1367" spans="1:6" ht="12.75">
      <c r="A1367" s="6">
        <v>45629.645269502318</v>
      </c>
      <c r="B1367" s="7" t="s">
        <v>16</v>
      </c>
      <c r="C1367" s="5" t="str">
        <f>LEFT(Form_Responses1[[#This Row],[問１　あなたは何年生ですか。]],3)</f>
        <v>中学校</v>
      </c>
      <c r="D1367" s="7" t="s">
        <v>17</v>
      </c>
      <c r="E1367" s="7" t="s">
        <v>10</v>
      </c>
      <c r="F1367" s="7" t="s">
        <v>1104</v>
      </c>
    </row>
    <row r="1368" spans="1:6" ht="12.75">
      <c r="A1368" s="6">
        <v>45629.645394444444</v>
      </c>
      <c r="B1368" s="7" t="s">
        <v>16</v>
      </c>
      <c r="C1368" s="5" t="str">
        <f>LEFT(Form_Responses1[[#This Row],[問１　あなたは何年生ですか。]],3)</f>
        <v>中学校</v>
      </c>
      <c r="D1368" s="7" t="s">
        <v>6</v>
      </c>
      <c r="E1368" s="7" t="s">
        <v>10</v>
      </c>
      <c r="F1368" s="7" t="s">
        <v>1105</v>
      </c>
    </row>
    <row r="1369" spans="1:6" ht="12.75">
      <c r="A1369" s="6">
        <v>45629.645433807869</v>
      </c>
      <c r="B1369" s="7" t="s">
        <v>16</v>
      </c>
      <c r="C1369" s="5" t="str">
        <f>LEFT(Form_Responses1[[#This Row],[問１　あなたは何年生ですか。]],3)</f>
        <v>中学校</v>
      </c>
      <c r="D1369" s="7" t="s">
        <v>24</v>
      </c>
      <c r="E1369" s="7" t="s">
        <v>10</v>
      </c>
      <c r="F1369" s="7" t="s">
        <v>1106</v>
      </c>
    </row>
    <row r="1370" spans="1:6" ht="12.75">
      <c r="A1370" s="6">
        <v>45629.645444861111</v>
      </c>
      <c r="B1370" s="7" t="s">
        <v>16</v>
      </c>
      <c r="C1370" s="5" t="str">
        <f>LEFT(Form_Responses1[[#This Row],[問１　あなたは何年生ですか。]],3)</f>
        <v>中学校</v>
      </c>
      <c r="D1370" s="7" t="s">
        <v>6</v>
      </c>
      <c r="E1370" s="7" t="s">
        <v>10</v>
      </c>
      <c r="F1370" s="7" t="s">
        <v>1107</v>
      </c>
    </row>
    <row r="1371" spans="1:6" ht="12.75">
      <c r="A1371" s="6">
        <v>45629.645462326385</v>
      </c>
      <c r="B1371" s="7" t="s">
        <v>16</v>
      </c>
      <c r="C1371" s="5" t="str">
        <f>LEFT(Form_Responses1[[#This Row],[問１　あなたは何年生ですか。]],3)</f>
        <v>中学校</v>
      </c>
      <c r="D1371" s="7" t="s">
        <v>22</v>
      </c>
      <c r="E1371" s="7" t="s">
        <v>15</v>
      </c>
      <c r="F1371" s="7" t="s">
        <v>1108</v>
      </c>
    </row>
    <row r="1372" spans="1:6" ht="12.75">
      <c r="A1372" s="6">
        <v>45629.645465787034</v>
      </c>
      <c r="B1372" s="7" t="s">
        <v>16</v>
      </c>
      <c r="C1372" s="5" t="str">
        <f>LEFT(Form_Responses1[[#This Row],[問１　あなたは何年生ですか。]],3)</f>
        <v>中学校</v>
      </c>
      <c r="D1372" s="7" t="s">
        <v>6</v>
      </c>
      <c r="E1372" s="7" t="s">
        <v>10</v>
      </c>
      <c r="F1372" s="7" t="s">
        <v>1109</v>
      </c>
    </row>
    <row r="1373" spans="1:6" ht="12.75">
      <c r="A1373" s="6">
        <v>45629.645468206014</v>
      </c>
      <c r="B1373" s="7" t="s">
        <v>16</v>
      </c>
      <c r="C1373" s="5" t="str">
        <f>LEFT(Form_Responses1[[#This Row],[問１　あなたは何年生ですか。]],3)</f>
        <v>中学校</v>
      </c>
      <c r="D1373" s="7" t="s">
        <v>6</v>
      </c>
      <c r="E1373" s="7" t="s">
        <v>7</v>
      </c>
      <c r="F1373" s="7" t="s">
        <v>817</v>
      </c>
    </row>
    <row r="1374" spans="1:6" ht="12.75">
      <c r="A1374" s="6">
        <v>45629.645482291671</v>
      </c>
      <c r="B1374" s="7" t="s">
        <v>16</v>
      </c>
      <c r="C1374" s="5" t="str">
        <f>LEFT(Form_Responses1[[#This Row],[問１　あなたは何年生ですか。]],3)</f>
        <v>中学校</v>
      </c>
      <c r="D1374" s="7" t="s">
        <v>6</v>
      </c>
      <c r="E1374" s="7" t="s">
        <v>7</v>
      </c>
      <c r="F1374" s="8"/>
    </row>
    <row r="1375" spans="1:6" ht="12.75">
      <c r="A1375" s="6">
        <v>45629.645498692131</v>
      </c>
      <c r="B1375" s="7" t="s">
        <v>16</v>
      </c>
      <c r="C1375" s="5" t="str">
        <f>LEFT(Form_Responses1[[#This Row],[問１　あなたは何年生ですか。]],3)</f>
        <v>中学校</v>
      </c>
      <c r="D1375" s="7" t="s">
        <v>19</v>
      </c>
      <c r="E1375" s="7" t="s">
        <v>10</v>
      </c>
      <c r="F1375" s="7" t="s">
        <v>376</v>
      </c>
    </row>
    <row r="1376" spans="1:6" ht="12.75">
      <c r="A1376" s="6">
        <v>45629.645516817131</v>
      </c>
      <c r="B1376" s="7" t="s">
        <v>16</v>
      </c>
      <c r="C1376" s="5" t="str">
        <f>LEFT(Form_Responses1[[#This Row],[問１　あなたは何年生ですか。]],3)</f>
        <v>中学校</v>
      </c>
      <c r="D1376" s="7" t="s">
        <v>6</v>
      </c>
      <c r="E1376" s="7" t="s">
        <v>7</v>
      </c>
      <c r="F1376" s="7" t="s">
        <v>1110</v>
      </c>
    </row>
    <row r="1377" spans="1:6" ht="12.75">
      <c r="A1377" s="6">
        <v>45629.645567361113</v>
      </c>
      <c r="B1377" s="7" t="s">
        <v>16</v>
      </c>
      <c r="C1377" s="5" t="str">
        <f>LEFT(Form_Responses1[[#This Row],[問１　あなたは何年生ですか。]],3)</f>
        <v>中学校</v>
      </c>
      <c r="D1377" s="7" t="s">
        <v>6</v>
      </c>
      <c r="E1377" s="7" t="s">
        <v>10</v>
      </c>
      <c r="F1377" s="7" t="s">
        <v>1111</v>
      </c>
    </row>
    <row r="1378" spans="1:6" ht="12.75">
      <c r="A1378" s="6">
        <v>45629.645587581021</v>
      </c>
      <c r="B1378" s="7" t="s">
        <v>16</v>
      </c>
      <c r="C1378" s="5" t="str">
        <f>LEFT(Form_Responses1[[#This Row],[問１　あなたは何年生ですか。]],3)</f>
        <v>中学校</v>
      </c>
      <c r="D1378" s="7" t="s">
        <v>6</v>
      </c>
      <c r="E1378" s="7" t="s">
        <v>10</v>
      </c>
      <c r="F1378" s="7" t="s">
        <v>1112</v>
      </c>
    </row>
    <row r="1379" spans="1:6" ht="12.75">
      <c r="A1379" s="6">
        <v>45629.645592569446</v>
      </c>
      <c r="B1379" s="7" t="s">
        <v>16</v>
      </c>
      <c r="C1379" s="5" t="str">
        <f>LEFT(Form_Responses1[[#This Row],[問１　あなたは何年生ですか。]],3)</f>
        <v>中学校</v>
      </c>
      <c r="D1379" s="7" t="s">
        <v>17</v>
      </c>
      <c r="E1379" s="7" t="s">
        <v>10</v>
      </c>
      <c r="F1379" s="7" t="s">
        <v>1113</v>
      </c>
    </row>
    <row r="1380" spans="1:6" ht="12.75">
      <c r="A1380" s="6">
        <v>45629.645595706017</v>
      </c>
      <c r="B1380" s="7" t="s">
        <v>16</v>
      </c>
      <c r="C1380" s="5" t="str">
        <f>LEFT(Form_Responses1[[#This Row],[問１　あなたは何年生ですか。]],3)</f>
        <v>中学校</v>
      </c>
      <c r="D1380" s="7" t="s">
        <v>17</v>
      </c>
      <c r="E1380" s="7" t="s">
        <v>7</v>
      </c>
      <c r="F1380" s="7" t="s">
        <v>235</v>
      </c>
    </row>
    <row r="1381" spans="1:6" ht="12.75">
      <c r="A1381" s="6">
        <v>45629.645596250004</v>
      </c>
      <c r="B1381" s="7" t="s">
        <v>16</v>
      </c>
      <c r="C1381" s="5" t="str">
        <f>LEFT(Form_Responses1[[#This Row],[問１　あなたは何年生ですか。]],3)</f>
        <v>中学校</v>
      </c>
      <c r="D1381" s="7" t="s">
        <v>6</v>
      </c>
      <c r="E1381" s="7" t="s">
        <v>10</v>
      </c>
      <c r="F1381" s="7" t="s">
        <v>1114</v>
      </c>
    </row>
    <row r="1382" spans="1:6" ht="12.75">
      <c r="A1382" s="6">
        <v>45629.645603506942</v>
      </c>
      <c r="B1382" s="7" t="s">
        <v>16</v>
      </c>
      <c r="C1382" s="5" t="str">
        <f>LEFT(Form_Responses1[[#This Row],[問１　あなたは何年生ですか。]],3)</f>
        <v>中学校</v>
      </c>
      <c r="D1382" s="7" t="s">
        <v>19</v>
      </c>
      <c r="E1382" s="7" t="s">
        <v>10</v>
      </c>
      <c r="F1382" s="7" t="s">
        <v>705</v>
      </c>
    </row>
    <row r="1383" spans="1:6" ht="12.75">
      <c r="A1383" s="6">
        <v>45629.64561712963</v>
      </c>
      <c r="B1383" s="7" t="s">
        <v>16</v>
      </c>
      <c r="C1383" s="5" t="str">
        <f>LEFT(Form_Responses1[[#This Row],[問１　あなたは何年生ですか。]],3)</f>
        <v>中学校</v>
      </c>
      <c r="D1383" s="7" t="s">
        <v>24</v>
      </c>
      <c r="E1383" s="7" t="s">
        <v>7</v>
      </c>
      <c r="F1383" s="7" t="s">
        <v>112</v>
      </c>
    </row>
    <row r="1384" spans="1:6" ht="12.75">
      <c r="A1384" s="6">
        <v>45629.645645682875</v>
      </c>
      <c r="B1384" s="7" t="s">
        <v>16</v>
      </c>
      <c r="C1384" s="5" t="str">
        <f>LEFT(Form_Responses1[[#This Row],[問１　あなたは何年生ですか。]],3)</f>
        <v>中学校</v>
      </c>
      <c r="D1384" s="7" t="s">
        <v>19</v>
      </c>
      <c r="E1384" s="7" t="s">
        <v>7</v>
      </c>
      <c r="F1384" s="7" t="s">
        <v>1115</v>
      </c>
    </row>
    <row r="1385" spans="1:6" ht="12.75">
      <c r="A1385" s="6">
        <v>45629.645713136575</v>
      </c>
      <c r="B1385" s="7" t="s">
        <v>16</v>
      </c>
      <c r="C1385" s="5" t="str">
        <f>LEFT(Form_Responses1[[#This Row],[問１　あなたは何年生ですか。]],3)</f>
        <v>中学校</v>
      </c>
      <c r="D1385" s="7" t="s">
        <v>6</v>
      </c>
      <c r="E1385" s="7" t="s">
        <v>10</v>
      </c>
      <c r="F1385" s="7" t="s">
        <v>1116</v>
      </c>
    </row>
    <row r="1386" spans="1:6" ht="12.75">
      <c r="A1386" s="6">
        <v>45629.645732280092</v>
      </c>
      <c r="B1386" s="7" t="s">
        <v>16</v>
      </c>
      <c r="C1386" s="5" t="str">
        <f>LEFT(Form_Responses1[[#This Row],[問１　あなたは何年生ですか。]],3)</f>
        <v>中学校</v>
      </c>
      <c r="D1386" s="7" t="s">
        <v>6</v>
      </c>
      <c r="E1386" s="7" t="s">
        <v>10</v>
      </c>
      <c r="F1386" s="7" t="s">
        <v>1117</v>
      </c>
    </row>
    <row r="1387" spans="1:6" ht="12.75">
      <c r="A1387" s="6">
        <v>45629.645732870369</v>
      </c>
      <c r="B1387" s="7" t="s">
        <v>16</v>
      </c>
      <c r="C1387" s="5" t="str">
        <f>LEFT(Form_Responses1[[#This Row],[問１　あなたは何年生ですか。]],3)</f>
        <v>中学校</v>
      </c>
      <c r="D1387" s="7" t="s">
        <v>19</v>
      </c>
      <c r="E1387" s="7" t="s">
        <v>10</v>
      </c>
      <c r="F1387" s="7" t="s">
        <v>235</v>
      </c>
    </row>
    <row r="1388" spans="1:6" ht="12.75">
      <c r="A1388" s="6">
        <v>45629.645793773147</v>
      </c>
      <c r="B1388" s="7" t="s">
        <v>16</v>
      </c>
      <c r="C1388" s="5" t="str">
        <f>LEFT(Form_Responses1[[#This Row],[問１　あなたは何年生ですか。]],3)</f>
        <v>中学校</v>
      </c>
      <c r="D1388" s="7" t="s">
        <v>6</v>
      </c>
      <c r="E1388" s="7" t="s">
        <v>7</v>
      </c>
      <c r="F1388" s="7" t="s">
        <v>1118</v>
      </c>
    </row>
    <row r="1389" spans="1:6" ht="12.75">
      <c r="A1389" s="6">
        <v>45629.645797708334</v>
      </c>
      <c r="B1389" s="7" t="s">
        <v>16</v>
      </c>
      <c r="C1389" s="5" t="str">
        <f>LEFT(Form_Responses1[[#This Row],[問１　あなたは何年生ですか。]],3)</f>
        <v>中学校</v>
      </c>
      <c r="D1389" s="7" t="s">
        <v>6</v>
      </c>
      <c r="E1389" s="7" t="s">
        <v>10</v>
      </c>
      <c r="F1389" s="7" t="s">
        <v>1119</v>
      </c>
    </row>
    <row r="1390" spans="1:6" ht="12.75">
      <c r="A1390" s="6">
        <v>45629.645803333333</v>
      </c>
      <c r="B1390" s="7" t="s">
        <v>16</v>
      </c>
      <c r="C1390" s="5" t="str">
        <f>LEFT(Form_Responses1[[#This Row],[問１　あなたは何年生ですか。]],3)</f>
        <v>中学校</v>
      </c>
      <c r="D1390" s="7" t="s">
        <v>19</v>
      </c>
      <c r="E1390" s="7" t="s">
        <v>10</v>
      </c>
      <c r="F1390" s="7" t="s">
        <v>1120</v>
      </c>
    </row>
    <row r="1391" spans="1:6" ht="12.75">
      <c r="A1391" s="6">
        <v>45629.645826145832</v>
      </c>
      <c r="B1391" s="7" t="s">
        <v>16</v>
      </c>
      <c r="C1391" s="5" t="str">
        <f>LEFT(Form_Responses1[[#This Row],[問１　あなたは何年生ですか。]],3)</f>
        <v>中学校</v>
      </c>
      <c r="D1391" s="7" t="s">
        <v>24</v>
      </c>
      <c r="E1391" s="7" t="s">
        <v>10</v>
      </c>
      <c r="F1391" s="7" t="s">
        <v>1121</v>
      </c>
    </row>
    <row r="1392" spans="1:6" ht="12.75">
      <c r="A1392" s="6">
        <v>45629.645831400463</v>
      </c>
      <c r="B1392" s="7" t="s">
        <v>16</v>
      </c>
      <c r="C1392" s="5" t="str">
        <f>LEFT(Form_Responses1[[#This Row],[問１　あなたは何年生ですか。]],3)</f>
        <v>中学校</v>
      </c>
      <c r="D1392" s="7" t="s">
        <v>6</v>
      </c>
      <c r="E1392" s="7" t="s">
        <v>7</v>
      </c>
      <c r="F1392" s="7" t="s">
        <v>1122</v>
      </c>
    </row>
    <row r="1393" spans="1:6" ht="12.75">
      <c r="A1393" s="6">
        <v>45629.645942754629</v>
      </c>
      <c r="B1393" s="7" t="s">
        <v>16</v>
      </c>
      <c r="C1393" s="5" t="str">
        <f>LEFT(Form_Responses1[[#This Row],[問１　あなたは何年生ですか。]],3)</f>
        <v>中学校</v>
      </c>
      <c r="D1393" s="7" t="s">
        <v>24</v>
      </c>
      <c r="E1393" s="7" t="s">
        <v>10</v>
      </c>
      <c r="F1393" s="7" t="s">
        <v>1123</v>
      </c>
    </row>
    <row r="1394" spans="1:6" ht="12.75">
      <c r="A1394" s="6">
        <v>45629.646020127315</v>
      </c>
      <c r="B1394" s="7" t="s">
        <v>16</v>
      </c>
      <c r="C1394" s="5" t="str">
        <f>LEFT(Form_Responses1[[#This Row],[問１　あなたは何年生ですか。]],3)</f>
        <v>中学校</v>
      </c>
      <c r="D1394" s="7" t="s">
        <v>6</v>
      </c>
      <c r="E1394" s="7" t="s">
        <v>10</v>
      </c>
      <c r="F1394" s="7" t="s">
        <v>52</v>
      </c>
    </row>
    <row r="1395" spans="1:6" ht="12.75">
      <c r="A1395" s="6">
        <v>45629.64603275463</v>
      </c>
      <c r="B1395" s="7" t="s">
        <v>16</v>
      </c>
      <c r="C1395" s="5" t="str">
        <f>LEFT(Form_Responses1[[#This Row],[問１　あなたは何年生ですか。]],3)</f>
        <v>中学校</v>
      </c>
      <c r="D1395" s="7" t="s">
        <v>6</v>
      </c>
      <c r="E1395" s="7" t="s">
        <v>10</v>
      </c>
      <c r="F1395" s="7" t="s">
        <v>838</v>
      </c>
    </row>
    <row r="1396" spans="1:6" ht="12.75">
      <c r="A1396" s="6">
        <v>45629.646103807871</v>
      </c>
      <c r="B1396" s="7" t="s">
        <v>16</v>
      </c>
      <c r="C1396" s="5" t="str">
        <f>LEFT(Form_Responses1[[#This Row],[問１　あなたは何年生ですか。]],3)</f>
        <v>中学校</v>
      </c>
      <c r="D1396" s="7" t="s">
        <v>1124</v>
      </c>
      <c r="E1396" s="7" t="s">
        <v>15</v>
      </c>
      <c r="F1396" s="7" t="s">
        <v>1123</v>
      </c>
    </row>
    <row r="1397" spans="1:6" ht="12.75">
      <c r="A1397" s="6">
        <v>45629.646159212964</v>
      </c>
      <c r="B1397" s="7" t="s">
        <v>16</v>
      </c>
      <c r="C1397" s="5" t="str">
        <f>LEFT(Form_Responses1[[#This Row],[問１　あなたは何年生ですか。]],3)</f>
        <v>中学校</v>
      </c>
      <c r="D1397" s="7" t="s">
        <v>6</v>
      </c>
      <c r="E1397" s="7" t="s">
        <v>10</v>
      </c>
      <c r="F1397" s="7" t="s">
        <v>1125</v>
      </c>
    </row>
    <row r="1398" spans="1:6" ht="12.75">
      <c r="A1398" s="6">
        <v>45629.646162534722</v>
      </c>
      <c r="B1398" s="7" t="s">
        <v>16</v>
      </c>
      <c r="C1398" s="5" t="str">
        <f>LEFT(Form_Responses1[[#This Row],[問１　あなたは何年生ですか。]],3)</f>
        <v>中学校</v>
      </c>
      <c r="D1398" s="7" t="s">
        <v>6</v>
      </c>
      <c r="E1398" s="7" t="s">
        <v>10</v>
      </c>
      <c r="F1398" s="7" t="s">
        <v>1126</v>
      </c>
    </row>
    <row r="1399" spans="1:6" ht="12.75">
      <c r="A1399" s="6">
        <v>45629.646220972223</v>
      </c>
      <c r="B1399" s="7" t="s">
        <v>16</v>
      </c>
      <c r="C1399" s="5" t="str">
        <f>LEFT(Form_Responses1[[#This Row],[問１　あなたは何年生ですか。]],3)</f>
        <v>中学校</v>
      </c>
      <c r="D1399" s="7" t="s">
        <v>6</v>
      </c>
      <c r="E1399" s="7" t="s">
        <v>10</v>
      </c>
      <c r="F1399" s="7" t="s">
        <v>1127</v>
      </c>
    </row>
    <row r="1400" spans="1:6" ht="12.75">
      <c r="A1400" s="6">
        <v>45629.646260347217</v>
      </c>
      <c r="B1400" s="7" t="s">
        <v>16</v>
      </c>
      <c r="C1400" s="5" t="str">
        <f>LEFT(Form_Responses1[[#This Row],[問１　あなたは何年生ですか。]],3)</f>
        <v>中学校</v>
      </c>
      <c r="D1400" s="7" t="s">
        <v>12</v>
      </c>
      <c r="E1400" s="7" t="s">
        <v>10</v>
      </c>
      <c r="F1400" s="7" t="s">
        <v>1128</v>
      </c>
    </row>
    <row r="1401" spans="1:6" ht="12.75">
      <c r="A1401" s="6">
        <v>45629.646290810182</v>
      </c>
      <c r="B1401" s="7" t="s">
        <v>16</v>
      </c>
      <c r="C1401" s="5" t="str">
        <f>LEFT(Form_Responses1[[#This Row],[問１　あなたは何年生ですか。]],3)</f>
        <v>中学校</v>
      </c>
      <c r="D1401" s="7" t="s">
        <v>6</v>
      </c>
      <c r="E1401" s="7" t="s">
        <v>7</v>
      </c>
      <c r="F1401" s="8"/>
    </row>
    <row r="1402" spans="1:6" ht="12.75">
      <c r="A1402" s="6">
        <v>45629.646292638892</v>
      </c>
      <c r="B1402" s="7" t="s">
        <v>16</v>
      </c>
      <c r="C1402" s="5" t="str">
        <f>LEFT(Form_Responses1[[#This Row],[問１　あなたは何年生ですか。]],3)</f>
        <v>中学校</v>
      </c>
      <c r="D1402" s="7" t="s">
        <v>24</v>
      </c>
      <c r="E1402" s="7" t="s">
        <v>10</v>
      </c>
      <c r="F1402" s="7" t="s">
        <v>1129</v>
      </c>
    </row>
    <row r="1403" spans="1:6" ht="12.75">
      <c r="A1403" s="6">
        <v>45629.646373067131</v>
      </c>
      <c r="B1403" s="7" t="s">
        <v>16</v>
      </c>
      <c r="C1403" s="5" t="str">
        <f>LEFT(Form_Responses1[[#This Row],[問１　あなたは何年生ですか。]],3)</f>
        <v>中学校</v>
      </c>
      <c r="D1403" s="7" t="s">
        <v>6</v>
      </c>
      <c r="E1403" s="7" t="s">
        <v>10</v>
      </c>
      <c r="F1403" s="7" t="s">
        <v>112</v>
      </c>
    </row>
    <row r="1404" spans="1:6" ht="12.75">
      <c r="A1404" s="6">
        <v>45629.64638711806</v>
      </c>
      <c r="B1404" s="7" t="s">
        <v>16</v>
      </c>
      <c r="C1404" s="5" t="str">
        <f>LEFT(Form_Responses1[[#This Row],[問１　あなたは何年生ですか。]],3)</f>
        <v>中学校</v>
      </c>
      <c r="D1404" s="7" t="s">
        <v>6</v>
      </c>
      <c r="E1404" s="7" t="s">
        <v>10</v>
      </c>
      <c r="F1404" s="7" t="s">
        <v>1130</v>
      </c>
    </row>
    <row r="1405" spans="1:6" ht="12.75">
      <c r="A1405" s="6">
        <v>45629.646487916667</v>
      </c>
      <c r="B1405" s="7" t="s">
        <v>16</v>
      </c>
      <c r="C1405" s="5" t="str">
        <f>LEFT(Form_Responses1[[#This Row],[問１　あなたは何年生ですか。]],3)</f>
        <v>中学校</v>
      </c>
      <c r="D1405" s="7" t="s">
        <v>6</v>
      </c>
      <c r="E1405" s="7" t="s">
        <v>7</v>
      </c>
      <c r="F1405" s="7" t="s">
        <v>1131</v>
      </c>
    </row>
    <row r="1406" spans="1:6" ht="12.75">
      <c r="A1406" s="6">
        <v>45629.646568113429</v>
      </c>
      <c r="B1406" s="7" t="s">
        <v>16</v>
      </c>
      <c r="C1406" s="5" t="str">
        <f>LEFT(Form_Responses1[[#This Row],[問１　あなたは何年生ですか。]],3)</f>
        <v>中学校</v>
      </c>
      <c r="D1406" s="7" t="s">
        <v>19</v>
      </c>
      <c r="E1406" s="7" t="s">
        <v>7</v>
      </c>
      <c r="F1406" s="7" t="s">
        <v>1132</v>
      </c>
    </row>
    <row r="1407" spans="1:6" ht="12.75">
      <c r="A1407" s="6">
        <v>45629.646741030097</v>
      </c>
      <c r="B1407" s="7" t="s">
        <v>16</v>
      </c>
      <c r="C1407" s="5" t="str">
        <f>LEFT(Form_Responses1[[#This Row],[問１　あなたは何年生ですか。]],3)</f>
        <v>中学校</v>
      </c>
      <c r="D1407" s="7" t="s">
        <v>24</v>
      </c>
      <c r="E1407" s="7" t="s">
        <v>10</v>
      </c>
      <c r="F1407" s="7" t="s">
        <v>1133</v>
      </c>
    </row>
    <row r="1408" spans="1:6" ht="12.75">
      <c r="A1408" s="6">
        <v>45629.646806157412</v>
      </c>
      <c r="B1408" s="7" t="s">
        <v>16</v>
      </c>
      <c r="C1408" s="5" t="str">
        <f>LEFT(Form_Responses1[[#This Row],[問１　あなたは何年生ですか。]],3)</f>
        <v>中学校</v>
      </c>
      <c r="D1408" s="7" t="s">
        <v>6</v>
      </c>
      <c r="E1408" s="7" t="s">
        <v>10</v>
      </c>
      <c r="F1408" s="8"/>
    </row>
    <row r="1409" spans="1:6" ht="12.75">
      <c r="A1409" s="6">
        <v>45629.646850254634</v>
      </c>
      <c r="B1409" s="7" t="s">
        <v>16</v>
      </c>
      <c r="C1409" s="5" t="str">
        <f>LEFT(Form_Responses1[[#This Row],[問１　あなたは何年生ですか。]],3)</f>
        <v>中学校</v>
      </c>
      <c r="D1409" s="7" t="s">
        <v>6</v>
      </c>
      <c r="E1409" s="7" t="s">
        <v>15</v>
      </c>
      <c r="F1409" s="7" t="s">
        <v>1134</v>
      </c>
    </row>
    <row r="1410" spans="1:6" ht="12.75">
      <c r="A1410" s="6">
        <v>45629.646896921295</v>
      </c>
      <c r="B1410" s="7" t="s">
        <v>16</v>
      </c>
      <c r="C1410" s="5" t="str">
        <f>LEFT(Form_Responses1[[#This Row],[問１　あなたは何年生ですか。]],3)</f>
        <v>中学校</v>
      </c>
      <c r="D1410" s="7" t="s">
        <v>6</v>
      </c>
      <c r="E1410" s="7" t="s">
        <v>7</v>
      </c>
      <c r="F1410" s="7" t="s">
        <v>1135</v>
      </c>
    </row>
    <row r="1411" spans="1:6" ht="12.75">
      <c r="A1411" s="6">
        <v>45629.647215023149</v>
      </c>
      <c r="B1411" s="7" t="s">
        <v>16</v>
      </c>
      <c r="C1411" s="5" t="str">
        <f>LEFT(Form_Responses1[[#This Row],[問１　あなたは何年生ですか。]],3)</f>
        <v>中学校</v>
      </c>
      <c r="D1411" s="7" t="s">
        <v>6</v>
      </c>
      <c r="E1411" s="7" t="s">
        <v>7</v>
      </c>
      <c r="F1411" s="8"/>
    </row>
    <row r="1412" spans="1:6" ht="12.75">
      <c r="A1412" s="6">
        <v>45629.647322002318</v>
      </c>
      <c r="B1412" s="7" t="s">
        <v>16</v>
      </c>
      <c r="C1412" s="5" t="str">
        <f>LEFT(Form_Responses1[[#This Row],[問１　あなたは何年生ですか。]],3)</f>
        <v>中学校</v>
      </c>
      <c r="D1412" s="7" t="s">
        <v>6</v>
      </c>
      <c r="E1412" s="7" t="s">
        <v>67</v>
      </c>
      <c r="F1412" s="7" t="s">
        <v>1136</v>
      </c>
    </row>
    <row r="1413" spans="1:6" ht="12.75">
      <c r="A1413" s="6">
        <v>45629.647381932868</v>
      </c>
      <c r="B1413" s="7" t="s">
        <v>16</v>
      </c>
      <c r="C1413" s="5" t="str">
        <f>LEFT(Form_Responses1[[#This Row],[問１　あなたは何年生ですか。]],3)</f>
        <v>中学校</v>
      </c>
      <c r="D1413" s="7" t="s">
        <v>6</v>
      </c>
      <c r="E1413" s="7" t="s">
        <v>7</v>
      </c>
      <c r="F1413" s="7" t="s">
        <v>1137</v>
      </c>
    </row>
    <row r="1414" spans="1:6" ht="12.75">
      <c r="A1414" s="6">
        <v>45629.647417523149</v>
      </c>
      <c r="B1414" s="7" t="s">
        <v>16</v>
      </c>
      <c r="C1414" s="5" t="str">
        <f>LEFT(Form_Responses1[[#This Row],[問１　あなたは何年生ですか。]],3)</f>
        <v>中学校</v>
      </c>
      <c r="D1414" s="7" t="s">
        <v>12</v>
      </c>
      <c r="E1414" s="7" t="s">
        <v>10</v>
      </c>
      <c r="F1414" s="8"/>
    </row>
    <row r="1415" spans="1:6" ht="12.75">
      <c r="A1415" s="6">
        <v>45629.647485439811</v>
      </c>
      <c r="B1415" s="7" t="s">
        <v>16</v>
      </c>
      <c r="C1415" s="5" t="str">
        <f>LEFT(Form_Responses1[[#This Row],[問１　あなたは何年生ですか。]],3)</f>
        <v>中学校</v>
      </c>
      <c r="D1415" s="7" t="s">
        <v>17</v>
      </c>
      <c r="E1415" s="7" t="s">
        <v>10</v>
      </c>
      <c r="F1415" s="7" t="s">
        <v>1138</v>
      </c>
    </row>
    <row r="1416" spans="1:6" ht="12.75">
      <c r="A1416" s="6">
        <v>45629.647584004633</v>
      </c>
      <c r="B1416" s="7" t="s">
        <v>16</v>
      </c>
      <c r="C1416" s="5" t="str">
        <f>LEFT(Form_Responses1[[#This Row],[問１　あなたは何年生ですか。]],3)</f>
        <v>中学校</v>
      </c>
      <c r="D1416" s="7" t="s">
        <v>19</v>
      </c>
      <c r="E1416" s="7" t="s">
        <v>10</v>
      </c>
      <c r="F1416" s="7" t="s">
        <v>1139</v>
      </c>
    </row>
    <row r="1417" spans="1:6" ht="12.75">
      <c r="A1417" s="6">
        <v>45629.647729756944</v>
      </c>
      <c r="B1417" s="7" t="s">
        <v>16</v>
      </c>
      <c r="C1417" s="5" t="str">
        <f>LEFT(Form_Responses1[[#This Row],[問１　あなたは何年生ですか。]],3)</f>
        <v>中学校</v>
      </c>
      <c r="D1417" s="7" t="s">
        <v>6</v>
      </c>
      <c r="E1417" s="7" t="s">
        <v>10</v>
      </c>
      <c r="F1417" s="7" t="s">
        <v>1140</v>
      </c>
    </row>
    <row r="1418" spans="1:6" ht="12.75">
      <c r="A1418" s="6">
        <v>45629.648020000001</v>
      </c>
      <c r="B1418" s="7" t="s">
        <v>16</v>
      </c>
      <c r="C1418" s="5" t="str">
        <f>LEFT(Form_Responses1[[#This Row],[問１　あなたは何年生ですか。]],3)</f>
        <v>中学校</v>
      </c>
      <c r="D1418" s="7" t="s">
        <v>19</v>
      </c>
      <c r="E1418" s="7" t="s">
        <v>7</v>
      </c>
      <c r="F1418" s="8"/>
    </row>
    <row r="1419" spans="1:6" ht="12.75">
      <c r="A1419" s="6">
        <v>45629.648058379629</v>
      </c>
      <c r="B1419" s="7" t="s">
        <v>16</v>
      </c>
      <c r="C1419" s="5" t="str">
        <f>LEFT(Form_Responses1[[#This Row],[問１　あなたは何年生ですか。]],3)</f>
        <v>中学校</v>
      </c>
      <c r="D1419" s="7" t="s">
        <v>6</v>
      </c>
      <c r="E1419" s="7" t="s">
        <v>7</v>
      </c>
      <c r="F1419" s="7" t="s">
        <v>1141</v>
      </c>
    </row>
    <row r="1420" spans="1:6" ht="12.75">
      <c r="A1420" s="6">
        <v>45629.648121319449</v>
      </c>
      <c r="B1420" s="7" t="s">
        <v>16</v>
      </c>
      <c r="C1420" s="5" t="str">
        <f>LEFT(Form_Responses1[[#This Row],[問１　あなたは何年生ですか。]],3)</f>
        <v>中学校</v>
      </c>
      <c r="D1420" s="7" t="s">
        <v>6</v>
      </c>
      <c r="E1420" s="7" t="s">
        <v>10</v>
      </c>
      <c r="F1420" s="7" t="s">
        <v>1142</v>
      </c>
    </row>
    <row r="1421" spans="1:6" ht="12.75">
      <c r="A1421" s="6">
        <v>45629.648186666665</v>
      </c>
      <c r="B1421" s="7" t="s">
        <v>16</v>
      </c>
      <c r="C1421" s="5" t="str">
        <f>LEFT(Form_Responses1[[#This Row],[問１　あなたは何年生ですか。]],3)</f>
        <v>中学校</v>
      </c>
      <c r="D1421" s="7" t="s">
        <v>6</v>
      </c>
      <c r="E1421" s="7" t="s">
        <v>7</v>
      </c>
      <c r="F1421" s="8"/>
    </row>
    <row r="1422" spans="1:6" ht="12.75">
      <c r="A1422" s="6">
        <v>45629.648338136569</v>
      </c>
      <c r="B1422" s="7" t="s">
        <v>16</v>
      </c>
      <c r="C1422" s="5" t="str">
        <f>LEFT(Form_Responses1[[#This Row],[問１　あなたは何年生ですか。]],3)</f>
        <v>中学校</v>
      </c>
      <c r="D1422" s="7" t="s">
        <v>17</v>
      </c>
      <c r="E1422" s="7" t="s">
        <v>7</v>
      </c>
      <c r="F1422" s="7" t="s">
        <v>1143</v>
      </c>
    </row>
    <row r="1423" spans="1:6" ht="12.75">
      <c r="A1423" s="6">
        <v>45629.648376030091</v>
      </c>
      <c r="B1423" s="7" t="s">
        <v>16</v>
      </c>
      <c r="C1423" s="5" t="str">
        <f>LEFT(Form_Responses1[[#This Row],[問１　あなたは何年生ですか。]],3)</f>
        <v>中学校</v>
      </c>
      <c r="D1423" s="7" t="s">
        <v>19</v>
      </c>
      <c r="E1423" s="7" t="s">
        <v>7</v>
      </c>
      <c r="F1423" s="7" t="s">
        <v>244</v>
      </c>
    </row>
    <row r="1424" spans="1:6" ht="12.75">
      <c r="A1424" s="6">
        <v>45629.648514618057</v>
      </c>
      <c r="B1424" s="7" t="s">
        <v>16</v>
      </c>
      <c r="C1424" s="5" t="str">
        <f>LEFT(Form_Responses1[[#This Row],[問１　あなたは何年生ですか。]],3)</f>
        <v>中学校</v>
      </c>
      <c r="D1424" s="7" t="s">
        <v>6</v>
      </c>
      <c r="E1424" s="7" t="s">
        <v>7</v>
      </c>
      <c r="F1424" s="8"/>
    </row>
    <row r="1425" spans="1:6" ht="12.75">
      <c r="A1425" s="6">
        <v>45629.648705405096</v>
      </c>
      <c r="B1425" s="7" t="s">
        <v>16</v>
      </c>
      <c r="C1425" s="5" t="str">
        <f>LEFT(Form_Responses1[[#This Row],[問１　あなたは何年生ですか。]],3)</f>
        <v>中学校</v>
      </c>
      <c r="D1425" s="7" t="s">
        <v>6</v>
      </c>
      <c r="E1425" s="7" t="s">
        <v>7</v>
      </c>
      <c r="F1425" s="7" t="s">
        <v>7</v>
      </c>
    </row>
    <row r="1426" spans="1:6" ht="12.75">
      <c r="A1426" s="6">
        <v>45629.648747893516</v>
      </c>
      <c r="B1426" s="7" t="s">
        <v>16</v>
      </c>
      <c r="C1426" s="5" t="str">
        <f>LEFT(Form_Responses1[[#This Row],[問１　あなたは何年生ですか。]],3)</f>
        <v>中学校</v>
      </c>
      <c r="D1426" s="7" t="s">
        <v>6</v>
      </c>
      <c r="E1426" s="7" t="s">
        <v>7</v>
      </c>
      <c r="F1426" s="8"/>
    </row>
    <row r="1427" spans="1:6" ht="12.75">
      <c r="A1427" s="6">
        <v>45629.648975694443</v>
      </c>
      <c r="B1427" s="7" t="s">
        <v>16</v>
      </c>
      <c r="C1427" s="5" t="str">
        <f>LEFT(Form_Responses1[[#This Row],[問１　あなたは何年生ですか。]],3)</f>
        <v>中学校</v>
      </c>
      <c r="D1427" s="7" t="s">
        <v>19</v>
      </c>
      <c r="E1427" s="7" t="s">
        <v>10</v>
      </c>
      <c r="F1427" s="7" t="s">
        <v>1107</v>
      </c>
    </row>
    <row r="1428" spans="1:6" ht="12.75">
      <c r="A1428" s="6">
        <v>45629.649084976852</v>
      </c>
      <c r="B1428" s="7" t="s">
        <v>16</v>
      </c>
      <c r="C1428" s="5" t="str">
        <f>LEFT(Form_Responses1[[#This Row],[問１　あなたは何年生ですか。]],3)</f>
        <v>中学校</v>
      </c>
      <c r="D1428" s="7" t="s">
        <v>6</v>
      </c>
      <c r="E1428" s="7" t="s">
        <v>10</v>
      </c>
      <c r="F1428" s="7" t="s">
        <v>112</v>
      </c>
    </row>
    <row r="1429" spans="1:6" ht="12.75">
      <c r="A1429" s="6">
        <v>45629.649181550922</v>
      </c>
      <c r="B1429" s="7" t="s">
        <v>16</v>
      </c>
      <c r="C1429" s="5" t="str">
        <f>LEFT(Form_Responses1[[#This Row],[問１　あなたは何年生ですか。]],3)</f>
        <v>中学校</v>
      </c>
      <c r="D1429" s="7" t="s">
        <v>24</v>
      </c>
      <c r="E1429" s="7" t="s">
        <v>7</v>
      </c>
      <c r="F1429" s="7" t="s">
        <v>1144</v>
      </c>
    </row>
    <row r="1430" spans="1:6" ht="12.75">
      <c r="A1430" s="6">
        <v>45629.64960532407</v>
      </c>
      <c r="B1430" s="7" t="s">
        <v>16</v>
      </c>
      <c r="C1430" s="5" t="str">
        <f>LEFT(Form_Responses1[[#This Row],[問１　あなたは何年生ですか。]],3)</f>
        <v>中学校</v>
      </c>
      <c r="D1430" s="7" t="s">
        <v>1145</v>
      </c>
      <c r="E1430" s="7" t="s">
        <v>10</v>
      </c>
      <c r="F1430" s="7" t="s">
        <v>1146</v>
      </c>
    </row>
    <row r="1431" spans="1:6" ht="12.75">
      <c r="A1431" s="6">
        <v>45629.649731238431</v>
      </c>
      <c r="B1431" s="7" t="s">
        <v>16</v>
      </c>
      <c r="C1431" s="5" t="str">
        <f>LEFT(Form_Responses1[[#This Row],[問１　あなたは何年生ですか。]],3)</f>
        <v>中学校</v>
      </c>
      <c r="D1431" s="7" t="s">
        <v>6</v>
      </c>
      <c r="E1431" s="7" t="s">
        <v>7</v>
      </c>
      <c r="F1431" s="7" t="s">
        <v>1147</v>
      </c>
    </row>
    <row r="1432" spans="1:6" ht="12.75">
      <c r="A1432" s="6">
        <v>45629.649810798612</v>
      </c>
      <c r="B1432" s="7" t="s">
        <v>16</v>
      </c>
      <c r="C1432" s="5" t="str">
        <f>LEFT(Form_Responses1[[#This Row],[問１　あなたは何年生ですか。]],3)</f>
        <v>中学校</v>
      </c>
      <c r="D1432" s="7" t="s">
        <v>6</v>
      </c>
      <c r="E1432" s="7" t="s">
        <v>10</v>
      </c>
      <c r="F1432" s="7" t="s">
        <v>1148</v>
      </c>
    </row>
    <row r="1433" spans="1:6" ht="12.75">
      <c r="A1433" s="6">
        <v>45629.649956319445</v>
      </c>
      <c r="B1433" s="7" t="s">
        <v>16</v>
      </c>
      <c r="C1433" s="5" t="str">
        <f>LEFT(Form_Responses1[[#This Row],[問１　あなたは何年生ですか。]],3)</f>
        <v>中学校</v>
      </c>
      <c r="D1433" s="7" t="s">
        <v>6</v>
      </c>
      <c r="E1433" s="7" t="s">
        <v>7</v>
      </c>
      <c r="F1433" s="8"/>
    </row>
    <row r="1434" spans="1:6" ht="12.75">
      <c r="A1434" s="6">
        <v>45629.650184085651</v>
      </c>
      <c r="B1434" s="7" t="s">
        <v>16</v>
      </c>
      <c r="C1434" s="5" t="str">
        <f>LEFT(Form_Responses1[[#This Row],[問１　あなたは何年生ですか。]],3)</f>
        <v>中学校</v>
      </c>
      <c r="D1434" s="7" t="s">
        <v>19</v>
      </c>
      <c r="E1434" s="7" t="s">
        <v>10</v>
      </c>
      <c r="F1434" s="8"/>
    </row>
    <row r="1435" spans="1:6" ht="12.75">
      <c r="A1435" s="6">
        <v>45629.650868460652</v>
      </c>
      <c r="B1435" s="7" t="s">
        <v>16</v>
      </c>
      <c r="C1435" s="5" t="str">
        <f>LEFT(Form_Responses1[[#This Row],[問１　あなたは何年生ですか。]],3)</f>
        <v>中学校</v>
      </c>
      <c r="D1435" s="7" t="s">
        <v>12</v>
      </c>
      <c r="E1435" s="7" t="s">
        <v>7</v>
      </c>
      <c r="F1435" s="8"/>
    </row>
    <row r="1436" spans="1:6" ht="12.75">
      <c r="A1436" s="6">
        <v>45629.651529733797</v>
      </c>
      <c r="B1436" s="7" t="s">
        <v>16</v>
      </c>
      <c r="C1436" s="5" t="str">
        <f>LEFT(Form_Responses1[[#This Row],[問１　あなたは何年生ですか。]],3)</f>
        <v>中学校</v>
      </c>
      <c r="D1436" s="7" t="s">
        <v>6</v>
      </c>
      <c r="E1436" s="7" t="s">
        <v>10</v>
      </c>
      <c r="F1436" s="8"/>
    </row>
    <row r="1437" spans="1:6" ht="12.75">
      <c r="A1437" s="6">
        <v>45629.653252777774</v>
      </c>
      <c r="B1437" s="7" t="s">
        <v>16</v>
      </c>
      <c r="C1437" s="5" t="str">
        <f>LEFT(Form_Responses1[[#This Row],[問１　あなたは何年生ですか。]],3)</f>
        <v>中学校</v>
      </c>
      <c r="D1437" s="7" t="s">
        <v>6</v>
      </c>
      <c r="E1437" s="7" t="s">
        <v>7</v>
      </c>
      <c r="F1437" s="8"/>
    </row>
    <row r="1438" spans="1:6" ht="12.75">
      <c r="A1438" s="6">
        <v>45629.653301562503</v>
      </c>
      <c r="B1438" s="7" t="s">
        <v>16</v>
      </c>
      <c r="C1438" s="5" t="str">
        <f>LEFT(Form_Responses1[[#This Row],[問１　あなたは何年生ですか。]],3)</f>
        <v>中学校</v>
      </c>
      <c r="D1438" s="7" t="s">
        <v>6</v>
      </c>
      <c r="E1438" s="7" t="s">
        <v>10</v>
      </c>
      <c r="F1438" s="7" t="s">
        <v>1149</v>
      </c>
    </row>
    <row r="1439" spans="1:6" ht="12.75">
      <c r="A1439" s="6">
        <v>45629.653903009261</v>
      </c>
      <c r="B1439" s="7" t="s">
        <v>5</v>
      </c>
      <c r="C1439" s="5" t="str">
        <f>LEFT(Form_Responses1[[#This Row],[問１　あなたは何年生ですか。]],3)</f>
        <v>中学校</v>
      </c>
      <c r="D1439" s="7" t="s">
        <v>19</v>
      </c>
      <c r="E1439" s="7" t="s">
        <v>7</v>
      </c>
      <c r="F1439" s="8"/>
    </row>
    <row r="1440" spans="1:6" ht="12.75">
      <c r="A1440" s="6">
        <v>45629.655019583333</v>
      </c>
      <c r="B1440" s="7" t="s">
        <v>5</v>
      </c>
      <c r="C1440" s="5" t="str">
        <f>LEFT(Form_Responses1[[#This Row],[問１　あなたは何年生ですか。]],3)</f>
        <v>中学校</v>
      </c>
      <c r="D1440" s="7" t="s">
        <v>6</v>
      </c>
      <c r="E1440" s="7" t="s">
        <v>10</v>
      </c>
      <c r="F1440" s="7" t="s">
        <v>838</v>
      </c>
    </row>
    <row r="1441" spans="1:6" ht="12.75">
      <c r="A1441" s="6">
        <v>45629.655267337963</v>
      </c>
      <c r="B1441" s="7" t="s">
        <v>5</v>
      </c>
      <c r="C1441" s="5" t="str">
        <f>LEFT(Form_Responses1[[#This Row],[問１　あなたは何年生ですか。]],3)</f>
        <v>中学校</v>
      </c>
      <c r="D1441" s="7" t="s">
        <v>33</v>
      </c>
      <c r="E1441" s="7" t="s">
        <v>7</v>
      </c>
      <c r="F1441" s="8"/>
    </row>
    <row r="1442" spans="1:6" ht="12.75">
      <c r="A1442" s="6">
        <v>45629.655341944446</v>
      </c>
      <c r="B1442" s="7" t="s">
        <v>5</v>
      </c>
      <c r="C1442" s="5" t="str">
        <f>LEFT(Form_Responses1[[#This Row],[問１　あなたは何年生ですか。]],3)</f>
        <v>中学校</v>
      </c>
      <c r="D1442" s="7" t="s">
        <v>12</v>
      </c>
      <c r="E1442" s="7" t="s">
        <v>7</v>
      </c>
      <c r="F1442" s="8"/>
    </row>
    <row r="1443" spans="1:6" ht="12.75">
      <c r="A1443" s="6">
        <v>45629.65552122685</v>
      </c>
      <c r="B1443" s="7" t="s">
        <v>18</v>
      </c>
      <c r="C1443" s="5" t="str">
        <f>LEFT(Form_Responses1[[#This Row],[問１　あなたは何年生ですか。]],3)</f>
        <v>中学校</v>
      </c>
      <c r="D1443" s="7" t="s">
        <v>19</v>
      </c>
      <c r="E1443" s="7" t="s">
        <v>7</v>
      </c>
      <c r="F1443" s="8"/>
    </row>
    <row r="1444" spans="1:6" ht="12.75">
      <c r="A1444" s="6">
        <v>45629.655571863426</v>
      </c>
      <c r="B1444" s="7" t="s">
        <v>5</v>
      </c>
      <c r="C1444" s="5" t="str">
        <f>LEFT(Form_Responses1[[#This Row],[問１　あなたは何年生ですか。]],3)</f>
        <v>中学校</v>
      </c>
      <c r="D1444" s="7" t="s">
        <v>19</v>
      </c>
      <c r="E1444" s="7" t="s">
        <v>10</v>
      </c>
      <c r="F1444" s="7" t="s">
        <v>112</v>
      </c>
    </row>
    <row r="1445" spans="1:6" ht="12.75">
      <c r="A1445" s="6">
        <v>45629.65564607639</v>
      </c>
      <c r="B1445" s="7" t="s">
        <v>18</v>
      </c>
      <c r="C1445" s="5" t="str">
        <f>LEFT(Form_Responses1[[#This Row],[問１　あなたは何年生ですか。]],3)</f>
        <v>中学校</v>
      </c>
      <c r="D1445" s="7" t="s">
        <v>6</v>
      </c>
      <c r="E1445" s="7" t="s">
        <v>7</v>
      </c>
      <c r="F1445" s="8"/>
    </row>
    <row r="1446" spans="1:6" ht="12.75">
      <c r="A1446" s="6">
        <v>45629.655711157407</v>
      </c>
      <c r="B1446" s="7" t="s">
        <v>18</v>
      </c>
      <c r="C1446" s="5" t="str">
        <f>LEFT(Form_Responses1[[#This Row],[問１　あなたは何年生ですか。]],3)</f>
        <v>中学校</v>
      </c>
      <c r="D1446" s="7" t="s">
        <v>6</v>
      </c>
      <c r="E1446" s="7" t="s">
        <v>10</v>
      </c>
      <c r="F1446" s="7" t="s">
        <v>52</v>
      </c>
    </row>
    <row r="1447" spans="1:6" ht="12.75">
      <c r="A1447" s="6">
        <v>45629.655718240741</v>
      </c>
      <c r="B1447" s="7" t="s">
        <v>5</v>
      </c>
      <c r="C1447" s="5" t="str">
        <f>LEFT(Form_Responses1[[#This Row],[問１　あなたは何年生ですか。]],3)</f>
        <v>中学校</v>
      </c>
      <c r="D1447" s="7" t="s">
        <v>6</v>
      </c>
      <c r="E1447" s="7" t="s">
        <v>7</v>
      </c>
      <c r="F1447" s="8"/>
    </row>
    <row r="1448" spans="1:6" ht="12.75">
      <c r="A1448" s="6">
        <v>45629.655767581018</v>
      </c>
      <c r="B1448" s="7" t="s">
        <v>18</v>
      </c>
      <c r="C1448" s="5" t="str">
        <f>LEFT(Form_Responses1[[#This Row],[問１　あなたは何年生ですか。]],3)</f>
        <v>中学校</v>
      </c>
      <c r="D1448" s="7" t="s">
        <v>19</v>
      </c>
      <c r="E1448" s="7" t="s">
        <v>10</v>
      </c>
      <c r="F1448" s="7" t="s">
        <v>1150</v>
      </c>
    </row>
    <row r="1449" spans="1:6" ht="12.75">
      <c r="A1449" s="6">
        <v>45629.655957453702</v>
      </c>
      <c r="B1449" s="7" t="s">
        <v>5</v>
      </c>
      <c r="C1449" s="5" t="str">
        <f>LEFT(Form_Responses1[[#This Row],[問１　あなたは何年生ですか。]],3)</f>
        <v>中学校</v>
      </c>
      <c r="D1449" s="7" t="s">
        <v>22</v>
      </c>
      <c r="E1449" s="7" t="s">
        <v>10</v>
      </c>
      <c r="F1449" s="7" t="s">
        <v>1151</v>
      </c>
    </row>
    <row r="1450" spans="1:6" ht="12.75">
      <c r="A1450" s="6">
        <v>45629.656016273148</v>
      </c>
      <c r="B1450" s="7" t="s">
        <v>5</v>
      </c>
      <c r="C1450" s="5" t="str">
        <f>LEFT(Form_Responses1[[#This Row],[問１　あなたは何年生ですか。]],3)</f>
        <v>中学校</v>
      </c>
      <c r="D1450" s="7" t="s">
        <v>6</v>
      </c>
      <c r="E1450" s="7" t="s">
        <v>10</v>
      </c>
      <c r="F1450" s="7" t="s">
        <v>239</v>
      </c>
    </row>
    <row r="1451" spans="1:6" ht="12.75">
      <c r="A1451" s="6">
        <v>45629.656220416669</v>
      </c>
      <c r="B1451" s="7" t="s">
        <v>18</v>
      </c>
      <c r="C1451" s="5" t="str">
        <f>LEFT(Form_Responses1[[#This Row],[問１　あなたは何年生ですか。]],3)</f>
        <v>中学校</v>
      </c>
      <c r="D1451" s="7" t="s">
        <v>19</v>
      </c>
      <c r="E1451" s="7" t="s">
        <v>10</v>
      </c>
      <c r="F1451" s="7" t="s">
        <v>1152</v>
      </c>
    </row>
    <row r="1452" spans="1:6" ht="12.75">
      <c r="A1452" s="6">
        <v>45629.656298287038</v>
      </c>
      <c r="B1452" s="7" t="s">
        <v>18</v>
      </c>
      <c r="C1452" s="5" t="str">
        <f>LEFT(Form_Responses1[[#This Row],[問１　あなたは何年生ですか。]],3)</f>
        <v>中学校</v>
      </c>
      <c r="D1452" s="7" t="s">
        <v>12</v>
      </c>
      <c r="E1452" s="7" t="s">
        <v>10</v>
      </c>
      <c r="F1452" s="7" t="s">
        <v>1153</v>
      </c>
    </row>
    <row r="1453" spans="1:6" ht="12.75">
      <c r="A1453" s="6">
        <v>45629.656307835648</v>
      </c>
      <c r="B1453" s="7" t="s">
        <v>5</v>
      </c>
      <c r="C1453" s="5" t="str">
        <f>LEFT(Form_Responses1[[#This Row],[問１　あなたは何年生ですか。]],3)</f>
        <v>中学校</v>
      </c>
      <c r="D1453" s="7" t="s">
        <v>19</v>
      </c>
      <c r="E1453" s="7" t="s">
        <v>10</v>
      </c>
      <c r="F1453" s="7" t="s">
        <v>1154</v>
      </c>
    </row>
    <row r="1454" spans="1:6" ht="12.75">
      <c r="A1454" s="6">
        <v>45629.656381145833</v>
      </c>
      <c r="B1454" s="7" t="s">
        <v>16</v>
      </c>
      <c r="C1454" s="5" t="str">
        <f>LEFT(Form_Responses1[[#This Row],[問１　あなたは何年生ですか。]],3)</f>
        <v>中学校</v>
      </c>
      <c r="D1454" s="7" t="s">
        <v>19</v>
      </c>
      <c r="E1454" s="7" t="s">
        <v>7</v>
      </c>
      <c r="F1454" s="8"/>
    </row>
    <row r="1455" spans="1:6" ht="12.75">
      <c r="A1455" s="6">
        <v>45629.65639606482</v>
      </c>
      <c r="B1455" s="7" t="s">
        <v>16</v>
      </c>
      <c r="C1455" s="5" t="str">
        <f>LEFT(Form_Responses1[[#This Row],[問１　あなたは何年生ですか。]],3)</f>
        <v>中学校</v>
      </c>
      <c r="D1455" s="7" t="s">
        <v>14</v>
      </c>
      <c r="E1455" s="7" t="s">
        <v>10</v>
      </c>
      <c r="F1455" s="7" t="s">
        <v>1155</v>
      </c>
    </row>
    <row r="1456" spans="1:6" ht="12.75">
      <c r="A1456" s="6">
        <v>45629.656404479167</v>
      </c>
      <c r="B1456" s="7" t="s">
        <v>16</v>
      </c>
      <c r="C1456" s="5" t="str">
        <f>LEFT(Form_Responses1[[#This Row],[問１　あなたは何年生ですか。]],3)</f>
        <v>中学校</v>
      </c>
      <c r="D1456" s="7" t="s">
        <v>24</v>
      </c>
      <c r="E1456" s="7" t="s">
        <v>7</v>
      </c>
      <c r="F1456" s="8"/>
    </row>
    <row r="1457" spans="1:6" ht="12.75">
      <c r="A1457" s="6">
        <v>45629.656511828704</v>
      </c>
      <c r="B1457" s="7" t="s">
        <v>16</v>
      </c>
      <c r="C1457" s="5" t="str">
        <f>LEFT(Form_Responses1[[#This Row],[問１　あなたは何年生ですか。]],3)</f>
        <v>中学校</v>
      </c>
      <c r="D1457" s="7" t="s">
        <v>14</v>
      </c>
      <c r="E1457" s="7" t="s">
        <v>10</v>
      </c>
      <c r="F1457" s="7" t="s">
        <v>964</v>
      </c>
    </row>
    <row r="1458" spans="1:6" ht="12.75">
      <c r="A1458" s="6">
        <v>45629.656519826385</v>
      </c>
      <c r="B1458" s="7" t="s">
        <v>5</v>
      </c>
      <c r="C1458" s="5" t="str">
        <f>LEFT(Form_Responses1[[#This Row],[問１　あなたは何年生ですか。]],3)</f>
        <v>中学校</v>
      </c>
      <c r="D1458" s="7" t="s">
        <v>19</v>
      </c>
      <c r="E1458" s="7" t="s">
        <v>10</v>
      </c>
      <c r="F1458" s="8"/>
    </row>
    <row r="1459" spans="1:6" ht="12.75">
      <c r="A1459" s="6">
        <v>45629.656601087961</v>
      </c>
      <c r="B1459" s="7" t="s">
        <v>16</v>
      </c>
      <c r="C1459" s="5" t="str">
        <f>LEFT(Form_Responses1[[#This Row],[問１　あなたは何年生ですか。]],3)</f>
        <v>中学校</v>
      </c>
      <c r="D1459" s="7" t="s">
        <v>19</v>
      </c>
      <c r="E1459" s="7" t="s">
        <v>10</v>
      </c>
      <c r="F1459" s="8"/>
    </row>
    <row r="1460" spans="1:6" ht="12.75">
      <c r="A1460" s="6">
        <v>45629.65662086806</v>
      </c>
      <c r="B1460" s="7" t="s">
        <v>5</v>
      </c>
      <c r="C1460" s="5" t="str">
        <f>LEFT(Form_Responses1[[#This Row],[問１　あなたは何年生ですか。]],3)</f>
        <v>中学校</v>
      </c>
      <c r="D1460" s="7" t="s">
        <v>14</v>
      </c>
      <c r="E1460" s="7" t="s">
        <v>7</v>
      </c>
      <c r="F1460" s="8"/>
    </row>
    <row r="1461" spans="1:6" ht="12.75">
      <c r="A1461" s="6">
        <v>45629.656662638889</v>
      </c>
      <c r="B1461" s="7" t="s">
        <v>18</v>
      </c>
      <c r="C1461" s="5" t="str">
        <f>LEFT(Form_Responses1[[#This Row],[問１　あなたは何年生ですか。]],3)</f>
        <v>中学校</v>
      </c>
      <c r="D1461" s="7" t="s">
        <v>6</v>
      </c>
      <c r="E1461" s="7" t="s">
        <v>10</v>
      </c>
      <c r="F1461" s="7" t="s">
        <v>862</v>
      </c>
    </row>
    <row r="1462" spans="1:6" ht="12.75">
      <c r="A1462" s="6">
        <v>45629.656678518513</v>
      </c>
      <c r="B1462" s="7" t="s">
        <v>16</v>
      </c>
      <c r="C1462" s="5" t="str">
        <f>LEFT(Form_Responses1[[#This Row],[問１　あなたは何年生ですか。]],3)</f>
        <v>中学校</v>
      </c>
      <c r="D1462" s="7" t="s">
        <v>6</v>
      </c>
      <c r="E1462" s="7" t="s">
        <v>10</v>
      </c>
      <c r="F1462" s="8"/>
    </row>
    <row r="1463" spans="1:6" ht="12.75">
      <c r="A1463" s="6">
        <v>45629.656684606482</v>
      </c>
      <c r="B1463" s="7" t="s">
        <v>5</v>
      </c>
      <c r="C1463" s="5" t="str">
        <f>LEFT(Form_Responses1[[#This Row],[問１　あなたは何年生ですか。]],3)</f>
        <v>中学校</v>
      </c>
      <c r="D1463" s="7" t="s">
        <v>6</v>
      </c>
      <c r="E1463" s="7" t="s">
        <v>7</v>
      </c>
      <c r="F1463" s="7" t="s">
        <v>1156</v>
      </c>
    </row>
    <row r="1464" spans="1:6" ht="12.75">
      <c r="A1464" s="6">
        <v>45629.656718819446</v>
      </c>
      <c r="B1464" s="7" t="s">
        <v>16</v>
      </c>
      <c r="C1464" s="5" t="str">
        <f>LEFT(Form_Responses1[[#This Row],[問１　あなたは何年生ですか。]],3)</f>
        <v>中学校</v>
      </c>
      <c r="D1464" s="7" t="s">
        <v>19</v>
      </c>
      <c r="E1464" s="7" t="s">
        <v>10</v>
      </c>
      <c r="F1464" s="7" t="s">
        <v>1157</v>
      </c>
    </row>
    <row r="1465" spans="1:6" ht="12.75">
      <c r="A1465" s="6">
        <v>45629.656720104162</v>
      </c>
      <c r="B1465" s="7" t="s">
        <v>5</v>
      </c>
      <c r="C1465" s="5" t="str">
        <f>LEFT(Form_Responses1[[#This Row],[問１　あなたは何年生ですか。]],3)</f>
        <v>中学校</v>
      </c>
      <c r="D1465" s="7" t="s">
        <v>6</v>
      </c>
      <c r="E1465" s="7" t="s">
        <v>7</v>
      </c>
      <c r="F1465" s="7" t="s">
        <v>1158</v>
      </c>
    </row>
    <row r="1466" spans="1:6" ht="12.75">
      <c r="A1466" s="6">
        <v>45629.656776886579</v>
      </c>
      <c r="B1466" s="7" t="s">
        <v>5</v>
      </c>
      <c r="C1466" s="5" t="str">
        <f>LEFT(Form_Responses1[[#This Row],[問１　あなたは何年生ですか。]],3)</f>
        <v>中学校</v>
      </c>
      <c r="D1466" s="7" t="s">
        <v>19</v>
      </c>
      <c r="E1466" s="7" t="s">
        <v>10</v>
      </c>
      <c r="F1466" s="8"/>
    </row>
    <row r="1467" spans="1:6" ht="12.75">
      <c r="A1467" s="6">
        <v>45629.656951643519</v>
      </c>
      <c r="B1467" s="7" t="s">
        <v>5</v>
      </c>
      <c r="C1467" s="5" t="str">
        <f>LEFT(Form_Responses1[[#This Row],[問１　あなたは何年生ですか。]],3)</f>
        <v>中学校</v>
      </c>
      <c r="D1467" s="7" t="s">
        <v>19</v>
      </c>
      <c r="E1467" s="7" t="s">
        <v>7</v>
      </c>
      <c r="F1467" s="8"/>
    </row>
    <row r="1468" spans="1:6" ht="12.75">
      <c r="A1468" s="6">
        <v>45629.656953275466</v>
      </c>
      <c r="B1468" s="7" t="s">
        <v>5</v>
      </c>
      <c r="C1468" s="5" t="str">
        <f>LEFT(Form_Responses1[[#This Row],[問１　あなたは何年生ですか。]],3)</f>
        <v>中学校</v>
      </c>
      <c r="D1468" s="7" t="s">
        <v>6</v>
      </c>
      <c r="E1468" s="7" t="s">
        <v>7</v>
      </c>
      <c r="F1468" s="8"/>
    </row>
    <row r="1469" spans="1:6" ht="12.75">
      <c r="A1469" s="6">
        <v>45629.657023171298</v>
      </c>
      <c r="B1469" s="7" t="s">
        <v>18</v>
      </c>
      <c r="C1469" s="5" t="str">
        <f>LEFT(Form_Responses1[[#This Row],[問１　あなたは何年生ですか。]],3)</f>
        <v>中学校</v>
      </c>
      <c r="D1469" s="7" t="s">
        <v>24</v>
      </c>
      <c r="E1469" s="7" t="s">
        <v>10</v>
      </c>
      <c r="F1469" s="7" t="s">
        <v>1159</v>
      </c>
    </row>
    <row r="1470" spans="1:6" ht="12.75">
      <c r="A1470" s="6">
        <v>45629.657035509255</v>
      </c>
      <c r="B1470" s="7" t="s">
        <v>5</v>
      </c>
      <c r="C1470" s="5" t="str">
        <f>LEFT(Form_Responses1[[#This Row],[問１　あなたは何年生ですか。]],3)</f>
        <v>中学校</v>
      </c>
      <c r="D1470" s="7" t="s">
        <v>19</v>
      </c>
      <c r="E1470" s="7" t="s">
        <v>7</v>
      </c>
      <c r="F1470" s="7" t="s">
        <v>239</v>
      </c>
    </row>
    <row r="1471" spans="1:6" ht="12.75">
      <c r="A1471" s="6">
        <v>45629.657071064816</v>
      </c>
      <c r="B1471" s="7" t="s">
        <v>16</v>
      </c>
      <c r="C1471" s="5" t="str">
        <f>LEFT(Form_Responses1[[#This Row],[問１　あなたは何年生ですか。]],3)</f>
        <v>中学校</v>
      </c>
      <c r="D1471" s="7" t="s">
        <v>121</v>
      </c>
      <c r="E1471" s="7" t="s">
        <v>10</v>
      </c>
      <c r="F1471" s="7" t="s">
        <v>747</v>
      </c>
    </row>
    <row r="1472" spans="1:6" ht="12.75">
      <c r="A1472" s="6">
        <v>45629.657098912037</v>
      </c>
      <c r="B1472" s="7" t="s">
        <v>18</v>
      </c>
      <c r="C1472" s="5" t="str">
        <f>LEFT(Form_Responses1[[#This Row],[問１　あなたは何年生ですか。]],3)</f>
        <v>中学校</v>
      </c>
      <c r="D1472" s="7" t="s">
        <v>19</v>
      </c>
      <c r="E1472" s="7" t="s">
        <v>67</v>
      </c>
      <c r="F1472" s="7" t="s">
        <v>1160</v>
      </c>
    </row>
    <row r="1473" spans="1:6" ht="12.75">
      <c r="A1473" s="6">
        <v>45629.657118495372</v>
      </c>
      <c r="B1473" s="7" t="s">
        <v>5</v>
      </c>
      <c r="C1473" s="5" t="str">
        <f>LEFT(Form_Responses1[[#This Row],[問１　あなたは何年生ですか。]],3)</f>
        <v>中学校</v>
      </c>
      <c r="D1473" s="7" t="s">
        <v>12</v>
      </c>
      <c r="E1473" s="7" t="s">
        <v>10</v>
      </c>
      <c r="F1473" s="8"/>
    </row>
    <row r="1474" spans="1:6" ht="12.75">
      <c r="A1474" s="6">
        <v>45629.657125613427</v>
      </c>
      <c r="B1474" s="7" t="s">
        <v>18</v>
      </c>
      <c r="C1474" s="5" t="str">
        <f>LEFT(Form_Responses1[[#This Row],[問１　あなたは何年生ですか。]],3)</f>
        <v>中学校</v>
      </c>
      <c r="D1474" s="7" t="s">
        <v>1161</v>
      </c>
      <c r="E1474" s="7" t="s">
        <v>10</v>
      </c>
      <c r="F1474" s="7" t="s">
        <v>1162</v>
      </c>
    </row>
    <row r="1475" spans="1:6" ht="12.75">
      <c r="A1475" s="6">
        <v>45629.65714325232</v>
      </c>
      <c r="B1475" s="7" t="s">
        <v>5</v>
      </c>
      <c r="C1475" s="5" t="str">
        <f>LEFT(Form_Responses1[[#This Row],[問１　あなたは何年生ですか。]],3)</f>
        <v>中学校</v>
      </c>
      <c r="D1475" s="7" t="s">
        <v>6</v>
      </c>
      <c r="E1475" s="7" t="s">
        <v>7</v>
      </c>
      <c r="F1475" s="7" t="s">
        <v>20</v>
      </c>
    </row>
    <row r="1476" spans="1:6" ht="12.75">
      <c r="A1476" s="6">
        <v>45629.657202060189</v>
      </c>
      <c r="B1476" s="7" t="s">
        <v>5</v>
      </c>
      <c r="C1476" s="5" t="str">
        <f>LEFT(Form_Responses1[[#This Row],[問１　あなたは何年生ですか。]],3)</f>
        <v>中学校</v>
      </c>
      <c r="D1476" s="7" t="s">
        <v>6</v>
      </c>
      <c r="E1476" s="7" t="s">
        <v>10</v>
      </c>
      <c r="F1476" s="7" t="s">
        <v>1163</v>
      </c>
    </row>
    <row r="1477" spans="1:6" ht="12.75">
      <c r="A1477" s="6">
        <v>45629.657221574074</v>
      </c>
      <c r="B1477" s="7" t="s">
        <v>16</v>
      </c>
      <c r="C1477" s="5" t="str">
        <f>LEFT(Form_Responses1[[#This Row],[問１　あなたは何年生ですか。]],3)</f>
        <v>中学校</v>
      </c>
      <c r="D1477" s="7" t="s">
        <v>19</v>
      </c>
      <c r="E1477" s="7" t="s">
        <v>10</v>
      </c>
      <c r="F1477" s="7" t="s">
        <v>7</v>
      </c>
    </row>
    <row r="1478" spans="1:6" ht="12.75">
      <c r="A1478" s="6">
        <v>45629.657326412038</v>
      </c>
      <c r="B1478" s="7" t="s">
        <v>16</v>
      </c>
      <c r="C1478" s="5" t="str">
        <f>LEFT(Form_Responses1[[#This Row],[問１　あなたは何年生ですか。]],3)</f>
        <v>中学校</v>
      </c>
      <c r="D1478" s="7" t="s">
        <v>19</v>
      </c>
      <c r="E1478" s="7" t="s">
        <v>7</v>
      </c>
      <c r="F1478" s="7" t="s">
        <v>1164</v>
      </c>
    </row>
    <row r="1479" spans="1:6" ht="12.75">
      <c r="A1479" s="6">
        <v>45629.657347048611</v>
      </c>
      <c r="B1479" s="7" t="s">
        <v>5</v>
      </c>
      <c r="C1479" s="5" t="str">
        <f>LEFT(Form_Responses1[[#This Row],[問１　あなたは何年生ですか。]],3)</f>
        <v>中学校</v>
      </c>
      <c r="D1479" s="7" t="s">
        <v>19</v>
      </c>
      <c r="E1479" s="7" t="s">
        <v>15</v>
      </c>
      <c r="F1479" s="7" t="s">
        <v>1165</v>
      </c>
    </row>
    <row r="1480" spans="1:6" ht="12.75">
      <c r="A1480" s="6">
        <v>45629.657365891202</v>
      </c>
      <c r="B1480" s="7" t="s">
        <v>16</v>
      </c>
      <c r="C1480" s="5" t="str">
        <f>LEFT(Form_Responses1[[#This Row],[問１　あなたは何年生ですか。]],3)</f>
        <v>中学校</v>
      </c>
      <c r="D1480" s="7" t="s">
        <v>6</v>
      </c>
      <c r="E1480" s="7" t="s">
        <v>10</v>
      </c>
      <c r="F1480" s="7" t="s">
        <v>20</v>
      </c>
    </row>
    <row r="1481" spans="1:6" ht="12.75">
      <c r="A1481" s="6">
        <v>45629.657391377317</v>
      </c>
      <c r="B1481" s="7" t="s">
        <v>16</v>
      </c>
      <c r="C1481" s="5" t="str">
        <f>LEFT(Form_Responses1[[#This Row],[問１　あなたは何年生ですか。]],3)</f>
        <v>中学校</v>
      </c>
      <c r="D1481" s="7" t="s">
        <v>12</v>
      </c>
      <c r="E1481" s="7" t="s">
        <v>7</v>
      </c>
      <c r="F1481" s="7" t="s">
        <v>1166</v>
      </c>
    </row>
    <row r="1482" spans="1:6" ht="12.75">
      <c r="A1482" s="6">
        <v>45629.657392453708</v>
      </c>
      <c r="B1482" s="7" t="s">
        <v>5</v>
      </c>
      <c r="C1482" s="5" t="str">
        <f>LEFT(Form_Responses1[[#This Row],[問１　あなたは何年生ですか。]],3)</f>
        <v>中学校</v>
      </c>
      <c r="D1482" s="7" t="s">
        <v>6</v>
      </c>
      <c r="E1482" s="7" t="s">
        <v>10</v>
      </c>
      <c r="F1482" s="8"/>
    </row>
    <row r="1483" spans="1:6" ht="12.75">
      <c r="A1483" s="6">
        <v>45629.65739320602</v>
      </c>
      <c r="B1483" s="7" t="s">
        <v>5</v>
      </c>
      <c r="C1483" s="5" t="str">
        <f>LEFT(Form_Responses1[[#This Row],[問１　あなたは何年生ですか。]],3)</f>
        <v>中学校</v>
      </c>
      <c r="D1483" s="7" t="s">
        <v>6</v>
      </c>
      <c r="E1483" s="7" t="s">
        <v>7</v>
      </c>
      <c r="F1483" s="8"/>
    </row>
    <row r="1484" spans="1:6" ht="12.75">
      <c r="A1484" s="6">
        <v>45629.657519328699</v>
      </c>
      <c r="B1484" s="7" t="s">
        <v>5</v>
      </c>
      <c r="C1484" s="5" t="str">
        <f>LEFT(Form_Responses1[[#This Row],[問１　あなたは何年生ですか。]],3)</f>
        <v>中学校</v>
      </c>
      <c r="D1484" s="7" t="s">
        <v>6</v>
      </c>
      <c r="E1484" s="7" t="s">
        <v>7</v>
      </c>
      <c r="F1484" s="7" t="s">
        <v>1167</v>
      </c>
    </row>
    <row r="1485" spans="1:6" ht="12.75">
      <c r="A1485" s="6">
        <v>45629.657538946762</v>
      </c>
      <c r="B1485" s="7" t="s">
        <v>16</v>
      </c>
      <c r="C1485" s="5" t="str">
        <f>LEFT(Form_Responses1[[#This Row],[問１　あなたは何年生ですか。]],3)</f>
        <v>中学校</v>
      </c>
      <c r="D1485" s="7" t="s">
        <v>12</v>
      </c>
      <c r="E1485" s="7" t="s">
        <v>7</v>
      </c>
      <c r="F1485" s="7" t="s">
        <v>7</v>
      </c>
    </row>
    <row r="1486" spans="1:6" ht="12.75">
      <c r="A1486" s="6">
        <v>45629.65754811342</v>
      </c>
      <c r="B1486" s="7" t="s">
        <v>16</v>
      </c>
      <c r="C1486" s="5" t="str">
        <f>LEFT(Form_Responses1[[#This Row],[問１　あなたは何年生ですか。]],3)</f>
        <v>中学校</v>
      </c>
      <c r="D1486" s="7" t="s">
        <v>6</v>
      </c>
      <c r="E1486" s="7" t="s">
        <v>7</v>
      </c>
      <c r="F1486" s="7" t="s">
        <v>1168</v>
      </c>
    </row>
    <row r="1487" spans="1:6" ht="12.75">
      <c r="A1487" s="6">
        <v>45629.65759260417</v>
      </c>
      <c r="B1487" s="7" t="s">
        <v>16</v>
      </c>
      <c r="C1487" s="5" t="str">
        <f>LEFT(Form_Responses1[[#This Row],[問１　あなたは何年生ですか。]],3)</f>
        <v>中学校</v>
      </c>
      <c r="D1487" s="7" t="s">
        <v>37</v>
      </c>
      <c r="E1487" s="7" t="s">
        <v>7</v>
      </c>
      <c r="F1487" s="7" t="s">
        <v>817</v>
      </c>
    </row>
    <row r="1488" spans="1:6" ht="12.75">
      <c r="A1488" s="6">
        <v>45629.657649490742</v>
      </c>
      <c r="B1488" s="7" t="s">
        <v>5</v>
      </c>
      <c r="C1488" s="5" t="str">
        <f>LEFT(Form_Responses1[[#This Row],[問１　あなたは何年生ですか。]],3)</f>
        <v>中学校</v>
      </c>
      <c r="D1488" s="7" t="s">
        <v>19</v>
      </c>
      <c r="E1488" s="7" t="s">
        <v>10</v>
      </c>
      <c r="F1488" s="7" t="s">
        <v>1169</v>
      </c>
    </row>
    <row r="1489" spans="1:6" ht="12.75">
      <c r="A1489" s="6">
        <v>45629.657654479168</v>
      </c>
      <c r="B1489" s="7" t="s">
        <v>18</v>
      </c>
      <c r="C1489" s="5" t="str">
        <f>LEFT(Form_Responses1[[#This Row],[問１　あなたは何年生ですか。]],3)</f>
        <v>中学校</v>
      </c>
      <c r="D1489" s="7" t="s">
        <v>24</v>
      </c>
      <c r="E1489" s="7" t="s">
        <v>10</v>
      </c>
      <c r="F1489" s="7" t="s">
        <v>1170</v>
      </c>
    </row>
    <row r="1490" spans="1:6" ht="12.75">
      <c r="A1490" s="6">
        <v>45629.65770575231</v>
      </c>
      <c r="B1490" s="7" t="s">
        <v>5</v>
      </c>
      <c r="C1490" s="5" t="str">
        <f>LEFT(Form_Responses1[[#This Row],[問１　あなたは何年生ですか。]],3)</f>
        <v>中学校</v>
      </c>
      <c r="D1490" s="7" t="s">
        <v>19</v>
      </c>
      <c r="E1490" s="7" t="s">
        <v>7</v>
      </c>
      <c r="F1490" s="8"/>
    </row>
    <row r="1491" spans="1:6" ht="12.75">
      <c r="A1491" s="6">
        <v>45629.65781892361</v>
      </c>
      <c r="B1491" s="7" t="s">
        <v>16</v>
      </c>
      <c r="C1491" s="5" t="str">
        <f>LEFT(Form_Responses1[[#This Row],[問１　あなたは何年生ですか。]],3)</f>
        <v>中学校</v>
      </c>
      <c r="D1491" s="7" t="s">
        <v>6</v>
      </c>
      <c r="E1491" s="7" t="s">
        <v>10</v>
      </c>
      <c r="F1491" s="7" t="s">
        <v>1171</v>
      </c>
    </row>
    <row r="1492" spans="1:6" ht="12.75">
      <c r="A1492" s="6">
        <v>45629.657833680554</v>
      </c>
      <c r="B1492" s="7" t="s">
        <v>16</v>
      </c>
      <c r="C1492" s="5" t="str">
        <f>LEFT(Form_Responses1[[#This Row],[問１　あなたは何年生ですか。]],3)</f>
        <v>中学校</v>
      </c>
      <c r="D1492" s="7" t="s">
        <v>12</v>
      </c>
      <c r="E1492" s="7" t="s">
        <v>7</v>
      </c>
      <c r="F1492" s="7" t="s">
        <v>177</v>
      </c>
    </row>
    <row r="1493" spans="1:6" ht="12.75">
      <c r="A1493" s="6">
        <v>45629.657853344906</v>
      </c>
      <c r="B1493" s="7" t="s">
        <v>16</v>
      </c>
      <c r="C1493" s="5" t="str">
        <f>LEFT(Form_Responses1[[#This Row],[問１　あなたは何年生ですか。]],3)</f>
        <v>中学校</v>
      </c>
      <c r="D1493" s="7" t="s">
        <v>17</v>
      </c>
      <c r="E1493" s="7" t="s">
        <v>7</v>
      </c>
      <c r="F1493" s="8"/>
    </row>
    <row r="1494" spans="1:6" ht="12.75">
      <c r="A1494" s="6">
        <v>45629.657869247691</v>
      </c>
      <c r="B1494" s="7" t="s">
        <v>18</v>
      </c>
      <c r="C1494" s="5" t="str">
        <f>LEFT(Form_Responses1[[#This Row],[問１　あなたは何年生ですか。]],3)</f>
        <v>中学校</v>
      </c>
      <c r="D1494" s="7" t="s">
        <v>12</v>
      </c>
      <c r="E1494" s="7" t="s">
        <v>10</v>
      </c>
      <c r="F1494" s="8"/>
    </row>
    <row r="1495" spans="1:6" ht="12.75">
      <c r="A1495" s="6">
        <v>45629.657883703709</v>
      </c>
      <c r="B1495" s="7" t="s">
        <v>16</v>
      </c>
      <c r="C1495" s="5" t="str">
        <f>LEFT(Form_Responses1[[#This Row],[問１　あなたは何年生ですか。]],3)</f>
        <v>中学校</v>
      </c>
      <c r="D1495" s="7" t="s">
        <v>9</v>
      </c>
      <c r="E1495" s="7" t="s">
        <v>15</v>
      </c>
      <c r="F1495" s="7" t="s">
        <v>1172</v>
      </c>
    </row>
    <row r="1496" spans="1:6" ht="12.75">
      <c r="A1496" s="6">
        <v>45629.65801806713</v>
      </c>
      <c r="B1496" s="7" t="s">
        <v>16</v>
      </c>
      <c r="C1496" s="5" t="str">
        <f>LEFT(Form_Responses1[[#This Row],[問１　あなたは何年生ですか。]],3)</f>
        <v>中学校</v>
      </c>
      <c r="D1496" s="7" t="s">
        <v>6</v>
      </c>
      <c r="E1496" s="7" t="s">
        <v>10</v>
      </c>
      <c r="F1496" s="7" t="s">
        <v>1173</v>
      </c>
    </row>
    <row r="1497" spans="1:6" ht="12.75">
      <c r="A1497" s="6">
        <v>45629.658077106476</v>
      </c>
      <c r="B1497" s="7" t="s">
        <v>16</v>
      </c>
      <c r="C1497" s="5" t="str">
        <f>LEFT(Form_Responses1[[#This Row],[問１　あなたは何年生ですか。]],3)</f>
        <v>中学校</v>
      </c>
      <c r="D1497" s="7" t="s">
        <v>1174</v>
      </c>
      <c r="E1497" s="7" t="s">
        <v>15</v>
      </c>
      <c r="F1497" s="7" t="s">
        <v>1175</v>
      </c>
    </row>
    <row r="1498" spans="1:6" ht="12.75">
      <c r="A1498" s="6">
        <v>45629.658126412032</v>
      </c>
      <c r="B1498" s="7" t="s">
        <v>16</v>
      </c>
      <c r="C1498" s="5" t="str">
        <f>LEFT(Form_Responses1[[#This Row],[問１　あなたは何年生ですか。]],3)</f>
        <v>中学校</v>
      </c>
      <c r="D1498" s="7" t="s">
        <v>19</v>
      </c>
      <c r="E1498" s="7" t="s">
        <v>15</v>
      </c>
      <c r="F1498" s="7" t="s">
        <v>1176</v>
      </c>
    </row>
    <row r="1499" spans="1:6" ht="12.75">
      <c r="A1499" s="6">
        <v>45629.658134895828</v>
      </c>
      <c r="B1499" s="7" t="s">
        <v>16</v>
      </c>
      <c r="C1499" s="5" t="str">
        <f>LEFT(Form_Responses1[[#This Row],[問１　あなたは何年生ですか。]],3)</f>
        <v>中学校</v>
      </c>
      <c r="D1499" s="7" t="s">
        <v>24</v>
      </c>
      <c r="E1499" s="7" t="s">
        <v>10</v>
      </c>
      <c r="F1499" s="7" t="s">
        <v>1177</v>
      </c>
    </row>
    <row r="1500" spans="1:6" ht="12.75">
      <c r="A1500" s="6">
        <v>45629.6581390625</v>
      </c>
      <c r="B1500" s="7" t="s">
        <v>5</v>
      </c>
      <c r="C1500" s="5" t="str">
        <f>LEFT(Form_Responses1[[#This Row],[問１　あなたは何年生ですか。]],3)</f>
        <v>中学校</v>
      </c>
      <c r="D1500" s="7" t="s">
        <v>19</v>
      </c>
      <c r="E1500" s="7" t="s">
        <v>10</v>
      </c>
      <c r="F1500" s="7" t="s">
        <v>1178</v>
      </c>
    </row>
    <row r="1501" spans="1:6" ht="12.75">
      <c r="A1501" s="6">
        <v>45629.65814832176</v>
      </c>
      <c r="B1501" s="7" t="s">
        <v>18</v>
      </c>
      <c r="C1501" s="5" t="str">
        <f>LEFT(Form_Responses1[[#This Row],[問１　あなたは何年生ですか。]],3)</f>
        <v>中学校</v>
      </c>
      <c r="D1501" s="7" t="s">
        <v>19</v>
      </c>
      <c r="E1501" s="7" t="s">
        <v>10</v>
      </c>
      <c r="F1501" s="7" t="s">
        <v>1179</v>
      </c>
    </row>
    <row r="1502" spans="1:6" ht="12.75">
      <c r="A1502" s="6">
        <v>45629.658198055557</v>
      </c>
      <c r="B1502" s="7" t="s">
        <v>16</v>
      </c>
      <c r="C1502" s="5" t="str">
        <f>LEFT(Form_Responses1[[#This Row],[問１　あなたは何年生ですか。]],3)</f>
        <v>中学校</v>
      </c>
      <c r="D1502" s="7" t="s">
        <v>19</v>
      </c>
      <c r="E1502" s="7" t="s">
        <v>10</v>
      </c>
      <c r="F1502" s="7" t="s">
        <v>1180</v>
      </c>
    </row>
    <row r="1503" spans="1:6" ht="12.75">
      <c r="A1503" s="6">
        <v>45629.658204895837</v>
      </c>
      <c r="B1503" s="7" t="s">
        <v>5</v>
      </c>
      <c r="C1503" s="5" t="str">
        <f>LEFT(Form_Responses1[[#This Row],[問１　あなたは何年生ですか。]],3)</f>
        <v>中学校</v>
      </c>
      <c r="D1503" s="7" t="s">
        <v>24</v>
      </c>
      <c r="E1503" s="7" t="s">
        <v>10</v>
      </c>
      <c r="F1503" s="8"/>
    </row>
    <row r="1504" spans="1:6" ht="12.75">
      <c r="A1504" s="6">
        <v>45629.658220775462</v>
      </c>
      <c r="B1504" s="7" t="s">
        <v>5</v>
      </c>
      <c r="C1504" s="5" t="str">
        <f>LEFT(Form_Responses1[[#This Row],[問１　あなたは何年生ですか。]],3)</f>
        <v>中学校</v>
      </c>
      <c r="D1504" s="7" t="s">
        <v>6</v>
      </c>
      <c r="E1504" s="7" t="s">
        <v>10</v>
      </c>
      <c r="F1504" s="7" t="s">
        <v>793</v>
      </c>
    </row>
    <row r="1505" spans="1:6" ht="12.75">
      <c r="A1505" s="6">
        <v>45629.658252534718</v>
      </c>
      <c r="B1505" s="7" t="s">
        <v>18</v>
      </c>
      <c r="C1505" s="5" t="str">
        <f>LEFT(Form_Responses1[[#This Row],[問１　あなたは何年生ですか。]],3)</f>
        <v>中学校</v>
      </c>
      <c r="D1505" s="7" t="s">
        <v>14</v>
      </c>
      <c r="E1505" s="7" t="s">
        <v>10</v>
      </c>
      <c r="F1505" s="7" t="s">
        <v>61</v>
      </c>
    </row>
    <row r="1506" spans="1:6" ht="12.75">
      <c r="A1506" s="6">
        <v>45629.658260682874</v>
      </c>
      <c r="B1506" s="7" t="s">
        <v>16</v>
      </c>
      <c r="C1506" s="5" t="str">
        <f>LEFT(Form_Responses1[[#This Row],[問１　あなたは何年生ですか。]],3)</f>
        <v>中学校</v>
      </c>
      <c r="D1506" s="7" t="s">
        <v>6</v>
      </c>
      <c r="E1506" s="7" t="s">
        <v>7</v>
      </c>
      <c r="F1506" s="7" t="s">
        <v>1181</v>
      </c>
    </row>
    <row r="1507" spans="1:6" ht="12.75">
      <c r="A1507" s="6">
        <v>45629.658272442131</v>
      </c>
      <c r="B1507" s="7" t="s">
        <v>18</v>
      </c>
      <c r="C1507" s="5" t="str">
        <f>LEFT(Form_Responses1[[#This Row],[問１　あなたは何年生ですか。]],3)</f>
        <v>中学校</v>
      </c>
      <c r="D1507" s="7" t="s">
        <v>19</v>
      </c>
      <c r="E1507" s="7" t="s">
        <v>10</v>
      </c>
      <c r="F1507" s="7" t="s">
        <v>259</v>
      </c>
    </row>
    <row r="1508" spans="1:6" ht="12.75">
      <c r="A1508" s="6">
        <v>45629.658409791664</v>
      </c>
      <c r="B1508" s="7" t="s">
        <v>16</v>
      </c>
      <c r="C1508" s="5" t="str">
        <f>LEFT(Form_Responses1[[#This Row],[問１　あなたは何年生ですか。]],3)</f>
        <v>中学校</v>
      </c>
      <c r="D1508" s="7" t="s">
        <v>119</v>
      </c>
      <c r="E1508" s="7" t="s">
        <v>7</v>
      </c>
      <c r="F1508" s="8"/>
    </row>
    <row r="1509" spans="1:6" ht="12.75">
      <c r="A1509" s="6">
        <v>45629.65841447917</v>
      </c>
      <c r="B1509" s="7" t="s">
        <v>5</v>
      </c>
      <c r="C1509" s="5" t="str">
        <f>LEFT(Form_Responses1[[#This Row],[問１　あなたは何年生ですか。]],3)</f>
        <v>中学校</v>
      </c>
      <c r="D1509" s="7" t="s">
        <v>19</v>
      </c>
      <c r="E1509" s="7" t="s">
        <v>10</v>
      </c>
      <c r="F1509" s="7" t="s">
        <v>480</v>
      </c>
    </row>
    <row r="1510" spans="1:6" ht="12.75">
      <c r="A1510" s="6">
        <v>45629.65843200231</v>
      </c>
      <c r="B1510" s="7" t="s">
        <v>18</v>
      </c>
      <c r="C1510" s="5" t="str">
        <f>LEFT(Form_Responses1[[#This Row],[問１　あなたは何年生ですか。]],3)</f>
        <v>中学校</v>
      </c>
      <c r="D1510" s="7" t="s">
        <v>6</v>
      </c>
      <c r="E1510" s="7" t="s">
        <v>10</v>
      </c>
      <c r="F1510" s="8"/>
    </row>
    <row r="1511" spans="1:6" ht="12.75">
      <c r="A1511" s="6">
        <v>45629.658455486111</v>
      </c>
      <c r="B1511" s="7" t="s">
        <v>18</v>
      </c>
      <c r="C1511" s="5" t="str">
        <f>LEFT(Form_Responses1[[#This Row],[問１　あなたは何年生ですか。]],3)</f>
        <v>中学校</v>
      </c>
      <c r="D1511" s="7" t="s">
        <v>6</v>
      </c>
      <c r="E1511" s="7" t="s">
        <v>10</v>
      </c>
      <c r="F1511" s="7" t="s">
        <v>1182</v>
      </c>
    </row>
    <row r="1512" spans="1:6" ht="12.75">
      <c r="A1512" s="6">
        <v>45629.658496828706</v>
      </c>
      <c r="B1512" s="7" t="s">
        <v>16</v>
      </c>
      <c r="C1512" s="5" t="str">
        <f>LEFT(Form_Responses1[[#This Row],[問１　あなたは何年生ですか。]],3)</f>
        <v>中学校</v>
      </c>
      <c r="D1512" s="7" t="s">
        <v>30</v>
      </c>
      <c r="E1512" s="7" t="s">
        <v>10</v>
      </c>
      <c r="F1512" s="7" t="s">
        <v>1183</v>
      </c>
    </row>
    <row r="1513" spans="1:6" ht="12.75">
      <c r="A1513" s="6">
        <v>45629.658559537042</v>
      </c>
      <c r="B1513" s="7" t="s">
        <v>5</v>
      </c>
      <c r="C1513" s="5" t="str">
        <f>LEFT(Form_Responses1[[#This Row],[問１　あなたは何年生ですか。]],3)</f>
        <v>中学校</v>
      </c>
      <c r="D1513" s="7" t="s">
        <v>24</v>
      </c>
      <c r="E1513" s="7" t="s">
        <v>7</v>
      </c>
      <c r="F1513" s="7" t="s">
        <v>1184</v>
      </c>
    </row>
    <row r="1514" spans="1:6" ht="12.75">
      <c r="A1514" s="6">
        <v>45629.658577962968</v>
      </c>
      <c r="B1514" s="7" t="s">
        <v>5</v>
      </c>
      <c r="C1514" s="5" t="str">
        <f>LEFT(Form_Responses1[[#This Row],[問１　あなたは何年生ですか。]],3)</f>
        <v>中学校</v>
      </c>
      <c r="D1514" s="7" t="s">
        <v>6</v>
      </c>
      <c r="E1514" s="7" t="s">
        <v>7</v>
      </c>
      <c r="F1514" s="8"/>
    </row>
    <row r="1515" spans="1:6" ht="12.75">
      <c r="A1515" s="6">
        <v>45629.658585648147</v>
      </c>
      <c r="B1515" s="7" t="s">
        <v>5</v>
      </c>
      <c r="C1515" s="5" t="str">
        <f>LEFT(Form_Responses1[[#This Row],[問１　あなたは何年生ですか。]],3)</f>
        <v>中学校</v>
      </c>
      <c r="D1515" s="7" t="s">
        <v>19</v>
      </c>
      <c r="E1515" s="7" t="s">
        <v>10</v>
      </c>
      <c r="F1515" s="7" t="s">
        <v>1185</v>
      </c>
    </row>
    <row r="1516" spans="1:6" ht="12.75">
      <c r="A1516" s="6">
        <v>45629.658616840279</v>
      </c>
      <c r="B1516" s="7" t="s">
        <v>16</v>
      </c>
      <c r="C1516" s="5" t="str">
        <f>LEFT(Form_Responses1[[#This Row],[問１　あなたは何年生ですか。]],3)</f>
        <v>中学校</v>
      </c>
      <c r="D1516" s="7" t="s">
        <v>14</v>
      </c>
      <c r="E1516" s="7" t="s">
        <v>10</v>
      </c>
      <c r="F1516" s="7" t="s">
        <v>1186</v>
      </c>
    </row>
    <row r="1517" spans="1:6" ht="12.75">
      <c r="A1517" s="6">
        <v>45629.658800347221</v>
      </c>
      <c r="B1517" s="7" t="s">
        <v>16</v>
      </c>
      <c r="C1517" s="5" t="str">
        <f>LEFT(Form_Responses1[[#This Row],[問１　あなたは何年生ですか。]],3)</f>
        <v>中学校</v>
      </c>
      <c r="D1517" s="7" t="s">
        <v>6</v>
      </c>
      <c r="E1517" s="7" t="s">
        <v>10</v>
      </c>
      <c r="F1517" s="7" t="s">
        <v>1187</v>
      </c>
    </row>
    <row r="1518" spans="1:6" ht="12.75">
      <c r="A1518" s="6">
        <v>45629.658807650463</v>
      </c>
      <c r="B1518" s="7" t="s">
        <v>18</v>
      </c>
      <c r="C1518" s="5" t="str">
        <f>LEFT(Form_Responses1[[#This Row],[問１　あなたは何年生ですか。]],3)</f>
        <v>中学校</v>
      </c>
      <c r="D1518" s="7" t="s">
        <v>19</v>
      </c>
      <c r="E1518" s="7" t="s">
        <v>10</v>
      </c>
      <c r="F1518" s="7" t="s">
        <v>1188</v>
      </c>
    </row>
    <row r="1519" spans="1:6" ht="12.75">
      <c r="A1519" s="6">
        <v>45629.658840925928</v>
      </c>
      <c r="B1519" s="7" t="s">
        <v>16</v>
      </c>
      <c r="C1519" s="5" t="str">
        <f>LEFT(Form_Responses1[[#This Row],[問１　あなたは何年生ですか。]],3)</f>
        <v>中学校</v>
      </c>
      <c r="D1519" s="7" t="s">
        <v>1189</v>
      </c>
      <c r="E1519" s="7" t="s">
        <v>7</v>
      </c>
      <c r="F1519" s="7" t="s">
        <v>1190</v>
      </c>
    </row>
    <row r="1520" spans="1:6" ht="12.75">
      <c r="A1520" s="6">
        <v>45629.65885983796</v>
      </c>
      <c r="B1520" s="7" t="s">
        <v>16</v>
      </c>
      <c r="C1520" s="5" t="str">
        <f>LEFT(Form_Responses1[[#This Row],[問１　あなたは何年生ですか。]],3)</f>
        <v>中学校</v>
      </c>
      <c r="D1520" s="7" t="s">
        <v>6</v>
      </c>
      <c r="E1520" s="7" t="s">
        <v>10</v>
      </c>
      <c r="F1520" s="7" t="s">
        <v>1191</v>
      </c>
    </row>
    <row r="1521" spans="1:6" ht="12.75">
      <c r="A1521" s="6">
        <v>45629.658860763884</v>
      </c>
      <c r="B1521" s="7" t="s">
        <v>16</v>
      </c>
      <c r="C1521" s="5" t="str">
        <f>LEFT(Form_Responses1[[#This Row],[問１　あなたは何年生ですか。]],3)</f>
        <v>中学校</v>
      </c>
      <c r="D1521" s="7" t="s">
        <v>6</v>
      </c>
      <c r="E1521" s="7" t="s">
        <v>7</v>
      </c>
      <c r="F1521" s="7" t="s">
        <v>1192</v>
      </c>
    </row>
    <row r="1522" spans="1:6" ht="12.75">
      <c r="A1522" s="6">
        <v>45629.658861747681</v>
      </c>
      <c r="B1522" s="7" t="s">
        <v>16</v>
      </c>
      <c r="C1522" s="5" t="str">
        <f>LEFT(Form_Responses1[[#This Row],[問１　あなたは何年生ですか。]],3)</f>
        <v>中学校</v>
      </c>
      <c r="D1522" s="7" t="s">
        <v>6</v>
      </c>
      <c r="E1522" s="7" t="s">
        <v>10</v>
      </c>
      <c r="F1522" s="8"/>
    </row>
    <row r="1523" spans="1:6" ht="12.75">
      <c r="A1523" s="6">
        <v>45629.658865543985</v>
      </c>
      <c r="B1523" s="7" t="s">
        <v>16</v>
      </c>
      <c r="C1523" s="5" t="str">
        <f>LEFT(Form_Responses1[[#This Row],[問１　あなたは何年生ですか。]],3)</f>
        <v>中学校</v>
      </c>
      <c r="D1523" s="7" t="s">
        <v>19</v>
      </c>
      <c r="E1523" s="7" t="s">
        <v>10</v>
      </c>
      <c r="F1523" s="7" t="s">
        <v>244</v>
      </c>
    </row>
    <row r="1524" spans="1:6" ht="12.75">
      <c r="A1524" s="6">
        <v>45629.658870775464</v>
      </c>
      <c r="B1524" s="7" t="s">
        <v>16</v>
      </c>
      <c r="C1524" s="5" t="str">
        <f>LEFT(Form_Responses1[[#This Row],[問１　あなたは何年生ですか。]],3)</f>
        <v>中学校</v>
      </c>
      <c r="D1524" s="7" t="s">
        <v>1193</v>
      </c>
      <c r="E1524" s="7" t="s">
        <v>10</v>
      </c>
      <c r="F1524" s="7" t="s">
        <v>1194</v>
      </c>
    </row>
    <row r="1525" spans="1:6" ht="12.75">
      <c r="A1525" s="6">
        <v>45629.65891006944</v>
      </c>
      <c r="B1525" s="7" t="s">
        <v>5</v>
      </c>
      <c r="C1525" s="5" t="str">
        <f>LEFT(Form_Responses1[[#This Row],[問１　あなたは何年生ですか。]],3)</f>
        <v>中学校</v>
      </c>
      <c r="D1525" s="7" t="s">
        <v>19</v>
      </c>
      <c r="E1525" s="7" t="s">
        <v>10</v>
      </c>
      <c r="F1525" s="7" t="s">
        <v>1195</v>
      </c>
    </row>
    <row r="1526" spans="1:6" ht="12.75">
      <c r="A1526" s="6">
        <v>45629.658919062502</v>
      </c>
      <c r="B1526" s="7" t="s">
        <v>18</v>
      </c>
      <c r="C1526" s="5" t="str">
        <f>LEFT(Form_Responses1[[#This Row],[問１　あなたは何年生ですか。]],3)</f>
        <v>中学校</v>
      </c>
      <c r="D1526" s="7" t="s">
        <v>17</v>
      </c>
      <c r="E1526" s="7" t="s">
        <v>10</v>
      </c>
      <c r="F1526" s="7" t="s">
        <v>1196</v>
      </c>
    </row>
    <row r="1527" spans="1:6" ht="12.75">
      <c r="A1527" s="6">
        <v>45629.658952951388</v>
      </c>
      <c r="B1527" s="7" t="s">
        <v>5</v>
      </c>
      <c r="C1527" s="5" t="str">
        <f>LEFT(Form_Responses1[[#This Row],[問１　あなたは何年生ですか。]],3)</f>
        <v>中学校</v>
      </c>
      <c r="D1527" s="7" t="s">
        <v>19</v>
      </c>
      <c r="E1527" s="7" t="s">
        <v>10</v>
      </c>
      <c r="F1527" s="7" t="s">
        <v>1197</v>
      </c>
    </row>
    <row r="1528" spans="1:6" ht="12.75">
      <c r="A1528" s="6">
        <v>45629.658971608791</v>
      </c>
      <c r="B1528" s="7" t="s">
        <v>5</v>
      </c>
      <c r="C1528" s="5" t="str">
        <f>LEFT(Form_Responses1[[#This Row],[問１　あなたは何年生ですか。]],3)</f>
        <v>中学校</v>
      </c>
      <c r="D1528" s="7" t="s">
        <v>1198</v>
      </c>
      <c r="E1528" s="7" t="s">
        <v>10</v>
      </c>
      <c r="F1528" s="8"/>
    </row>
    <row r="1529" spans="1:6" ht="12.75">
      <c r="A1529" s="6">
        <v>45629.659031898147</v>
      </c>
      <c r="B1529" s="7" t="s">
        <v>18</v>
      </c>
      <c r="C1529" s="5" t="str">
        <f>LEFT(Form_Responses1[[#This Row],[問１　あなたは何年生ですか。]],3)</f>
        <v>中学校</v>
      </c>
      <c r="D1529" s="7" t="s">
        <v>19</v>
      </c>
      <c r="E1529" s="7" t="s">
        <v>7</v>
      </c>
      <c r="F1529" s="7" t="s">
        <v>1199</v>
      </c>
    </row>
    <row r="1530" spans="1:6" ht="12.75">
      <c r="A1530" s="6">
        <v>45629.659041122686</v>
      </c>
      <c r="B1530" s="7" t="s">
        <v>18</v>
      </c>
      <c r="C1530" s="5" t="str">
        <f>LEFT(Form_Responses1[[#This Row],[問１　あなたは何年生ですか。]],3)</f>
        <v>中学校</v>
      </c>
      <c r="D1530" s="7" t="s">
        <v>1200</v>
      </c>
      <c r="E1530" s="7" t="s">
        <v>10</v>
      </c>
      <c r="F1530" s="7" t="s">
        <v>7</v>
      </c>
    </row>
    <row r="1531" spans="1:6" ht="12.75">
      <c r="A1531" s="6">
        <v>45629.659053171301</v>
      </c>
      <c r="B1531" s="7" t="s">
        <v>16</v>
      </c>
      <c r="C1531" s="5" t="str">
        <f>LEFT(Form_Responses1[[#This Row],[問１　あなたは何年生ですか。]],3)</f>
        <v>中学校</v>
      </c>
      <c r="D1531" s="7" t="s">
        <v>91</v>
      </c>
      <c r="E1531" s="7" t="s">
        <v>10</v>
      </c>
      <c r="F1531" s="7" t="s">
        <v>1201</v>
      </c>
    </row>
    <row r="1532" spans="1:6" ht="12.75">
      <c r="A1532" s="6">
        <v>45629.659096678239</v>
      </c>
      <c r="B1532" s="7" t="s">
        <v>16</v>
      </c>
      <c r="C1532" s="5" t="str">
        <f>LEFT(Form_Responses1[[#This Row],[問１　あなたは何年生ですか。]],3)</f>
        <v>中学校</v>
      </c>
      <c r="D1532" s="7" t="s">
        <v>6</v>
      </c>
      <c r="E1532" s="7" t="s">
        <v>10</v>
      </c>
      <c r="F1532" s="7" t="s">
        <v>1202</v>
      </c>
    </row>
    <row r="1533" spans="1:6" ht="12.75">
      <c r="A1533" s="6">
        <v>45629.659163449076</v>
      </c>
      <c r="B1533" s="7" t="s">
        <v>5</v>
      </c>
      <c r="C1533" s="5" t="str">
        <f>LEFT(Form_Responses1[[#This Row],[問１　あなたは何年生ですか。]],3)</f>
        <v>中学校</v>
      </c>
      <c r="D1533" s="7" t="s">
        <v>24</v>
      </c>
      <c r="E1533" s="7" t="s">
        <v>10</v>
      </c>
      <c r="F1533" s="8"/>
    </row>
    <row r="1534" spans="1:6" ht="12.75">
      <c r="A1534" s="6">
        <v>45629.659171979161</v>
      </c>
      <c r="B1534" s="7" t="s">
        <v>5</v>
      </c>
      <c r="C1534" s="5" t="str">
        <f>LEFT(Form_Responses1[[#This Row],[問１　あなたは何年生ですか。]],3)</f>
        <v>中学校</v>
      </c>
      <c r="D1534" s="7" t="s">
        <v>6</v>
      </c>
      <c r="E1534" s="7" t="s">
        <v>10</v>
      </c>
      <c r="F1534" s="7" t="s">
        <v>1203</v>
      </c>
    </row>
    <row r="1535" spans="1:6" ht="12.75">
      <c r="A1535" s="6">
        <v>45629.659198090274</v>
      </c>
      <c r="B1535" s="7" t="s">
        <v>18</v>
      </c>
      <c r="C1535" s="5" t="str">
        <f>LEFT(Form_Responses1[[#This Row],[問１　あなたは何年生ですか。]],3)</f>
        <v>中学校</v>
      </c>
      <c r="D1535" s="7" t="s">
        <v>19</v>
      </c>
      <c r="E1535" s="7" t="s">
        <v>10</v>
      </c>
      <c r="F1535" s="7" t="s">
        <v>1204</v>
      </c>
    </row>
    <row r="1536" spans="1:6" ht="12.75">
      <c r="A1536" s="6">
        <v>45629.659229710647</v>
      </c>
      <c r="B1536" s="7" t="s">
        <v>5</v>
      </c>
      <c r="C1536" s="5" t="str">
        <f>LEFT(Form_Responses1[[#This Row],[問１　あなたは何年生ですか。]],3)</f>
        <v>中学校</v>
      </c>
      <c r="D1536" s="7" t="s">
        <v>19</v>
      </c>
      <c r="E1536" s="7" t="s">
        <v>10</v>
      </c>
      <c r="F1536" s="7" t="s">
        <v>1205</v>
      </c>
    </row>
    <row r="1537" spans="1:6" ht="12.75">
      <c r="A1537" s="6">
        <v>45629.659254432874</v>
      </c>
      <c r="B1537" s="7" t="s">
        <v>16</v>
      </c>
      <c r="C1537" s="5" t="str">
        <f>LEFT(Form_Responses1[[#This Row],[問１　あなたは何年生ですか。]],3)</f>
        <v>中学校</v>
      </c>
      <c r="D1537" s="7" t="s">
        <v>1206</v>
      </c>
      <c r="E1537" s="7" t="s">
        <v>7</v>
      </c>
      <c r="F1537" s="7" t="s">
        <v>1207</v>
      </c>
    </row>
    <row r="1538" spans="1:6" ht="12.75">
      <c r="A1538" s="6">
        <v>45629.659297314814</v>
      </c>
      <c r="B1538" s="7" t="s">
        <v>18</v>
      </c>
      <c r="C1538" s="5" t="str">
        <f>LEFT(Form_Responses1[[#This Row],[問１　あなたは何年生ですか。]],3)</f>
        <v>中学校</v>
      </c>
      <c r="D1538" s="7" t="s">
        <v>19</v>
      </c>
      <c r="E1538" s="7" t="s">
        <v>67</v>
      </c>
      <c r="F1538" s="7" t="s">
        <v>1208</v>
      </c>
    </row>
    <row r="1539" spans="1:6" ht="12.75">
      <c r="A1539" s="6">
        <v>45629.65938675926</v>
      </c>
      <c r="B1539" s="7" t="s">
        <v>18</v>
      </c>
      <c r="C1539" s="5" t="str">
        <f>LEFT(Form_Responses1[[#This Row],[問１　あなたは何年生ですか。]],3)</f>
        <v>中学校</v>
      </c>
      <c r="D1539" s="7" t="s">
        <v>6</v>
      </c>
      <c r="E1539" s="7" t="s">
        <v>7</v>
      </c>
      <c r="F1539" s="7" t="s">
        <v>1209</v>
      </c>
    </row>
    <row r="1540" spans="1:6" ht="12.75">
      <c r="A1540" s="6">
        <v>45629.65939453704</v>
      </c>
      <c r="B1540" s="7" t="s">
        <v>18</v>
      </c>
      <c r="C1540" s="5" t="str">
        <f>LEFT(Form_Responses1[[#This Row],[問１　あなたは何年生ですか。]],3)</f>
        <v>中学校</v>
      </c>
      <c r="D1540" s="7" t="s">
        <v>24</v>
      </c>
      <c r="E1540" s="7" t="s">
        <v>10</v>
      </c>
      <c r="F1540" s="7" t="s">
        <v>1210</v>
      </c>
    </row>
    <row r="1541" spans="1:6" ht="12.75">
      <c r="A1541" s="6">
        <v>45629.659426296297</v>
      </c>
      <c r="B1541" s="7" t="s">
        <v>16</v>
      </c>
      <c r="C1541" s="5" t="str">
        <f>LEFT(Form_Responses1[[#This Row],[問１　あなたは何年生ですか。]],3)</f>
        <v>中学校</v>
      </c>
      <c r="D1541" s="7" t="s">
        <v>12</v>
      </c>
      <c r="E1541" s="7" t="s">
        <v>10</v>
      </c>
      <c r="F1541" s="8"/>
    </row>
    <row r="1542" spans="1:6" ht="12.75">
      <c r="A1542" s="6">
        <v>45629.659454328706</v>
      </c>
      <c r="B1542" s="7" t="s">
        <v>18</v>
      </c>
      <c r="C1542" s="5" t="str">
        <f>LEFT(Form_Responses1[[#This Row],[問１　あなたは何年生ですか。]],3)</f>
        <v>中学校</v>
      </c>
      <c r="D1542" s="7" t="s">
        <v>24</v>
      </c>
      <c r="E1542" s="7" t="s">
        <v>10</v>
      </c>
      <c r="F1542" s="7" t="s">
        <v>1211</v>
      </c>
    </row>
    <row r="1543" spans="1:6" ht="12.75">
      <c r="A1543" s="6">
        <v>45629.659487002311</v>
      </c>
      <c r="B1543" s="7" t="s">
        <v>16</v>
      </c>
      <c r="C1543" s="5" t="str">
        <f>LEFT(Form_Responses1[[#This Row],[問１　あなたは何年生ですか。]],3)</f>
        <v>中学校</v>
      </c>
      <c r="D1543" s="7" t="s">
        <v>6</v>
      </c>
      <c r="E1543" s="7" t="s">
        <v>10</v>
      </c>
      <c r="F1543" s="8"/>
    </row>
    <row r="1544" spans="1:6" ht="12.75">
      <c r="A1544" s="6">
        <v>45629.659528171294</v>
      </c>
      <c r="B1544" s="7" t="s">
        <v>16</v>
      </c>
      <c r="C1544" s="5" t="str">
        <f>LEFT(Form_Responses1[[#This Row],[問１　あなたは何年生ですか。]],3)</f>
        <v>中学校</v>
      </c>
      <c r="D1544" s="7" t="s">
        <v>6</v>
      </c>
      <c r="E1544" s="7" t="s">
        <v>10</v>
      </c>
      <c r="F1544" s="7" t="s">
        <v>1212</v>
      </c>
    </row>
    <row r="1545" spans="1:6" ht="12.75">
      <c r="A1545" s="6">
        <v>45629.659541064815</v>
      </c>
      <c r="B1545" s="7" t="s">
        <v>18</v>
      </c>
      <c r="C1545" s="5" t="str">
        <f>LEFT(Form_Responses1[[#This Row],[問１　あなたは何年生ですか。]],3)</f>
        <v>中学校</v>
      </c>
      <c r="D1545" s="7" t="s">
        <v>24</v>
      </c>
      <c r="E1545" s="7" t="s">
        <v>10</v>
      </c>
      <c r="F1545" s="7" t="s">
        <v>1213</v>
      </c>
    </row>
    <row r="1546" spans="1:6" ht="12.75">
      <c r="A1546" s="6">
        <v>45629.659557118051</v>
      </c>
      <c r="B1546" s="7" t="s">
        <v>18</v>
      </c>
      <c r="C1546" s="5" t="str">
        <f>LEFT(Form_Responses1[[#This Row],[問１　あなたは何年生ですか。]],3)</f>
        <v>中学校</v>
      </c>
      <c r="D1546" s="7" t="s">
        <v>24</v>
      </c>
      <c r="E1546" s="7" t="s">
        <v>10</v>
      </c>
      <c r="F1546" s="7" t="s">
        <v>1214</v>
      </c>
    </row>
    <row r="1547" spans="1:6" ht="12.75">
      <c r="A1547" s="6">
        <v>45629.659567696755</v>
      </c>
      <c r="B1547" s="7" t="s">
        <v>16</v>
      </c>
      <c r="C1547" s="5" t="str">
        <f>LEFT(Form_Responses1[[#This Row],[問１　あなたは何年生ですか。]],3)</f>
        <v>中学校</v>
      </c>
      <c r="D1547" s="7" t="s">
        <v>6</v>
      </c>
      <c r="E1547" s="7" t="s">
        <v>7</v>
      </c>
      <c r="F1547" s="7" t="s">
        <v>1215</v>
      </c>
    </row>
    <row r="1548" spans="1:6" ht="12.75">
      <c r="A1548" s="6">
        <v>45629.659669293978</v>
      </c>
      <c r="B1548" s="7" t="s">
        <v>18</v>
      </c>
      <c r="C1548" s="5" t="str">
        <f>LEFT(Form_Responses1[[#This Row],[問１　あなたは何年生ですか。]],3)</f>
        <v>中学校</v>
      </c>
      <c r="D1548" s="7" t="s">
        <v>6</v>
      </c>
      <c r="E1548" s="7" t="s">
        <v>10</v>
      </c>
      <c r="F1548" s="7" t="s">
        <v>245</v>
      </c>
    </row>
    <row r="1549" spans="1:6" ht="12.75">
      <c r="A1549" s="6">
        <v>45629.659693865746</v>
      </c>
      <c r="B1549" s="7" t="s">
        <v>5</v>
      </c>
      <c r="C1549" s="5" t="str">
        <f>LEFT(Form_Responses1[[#This Row],[問１　あなたは何年生ですか。]],3)</f>
        <v>中学校</v>
      </c>
      <c r="D1549" s="7" t="s">
        <v>6</v>
      </c>
      <c r="E1549" s="7" t="s">
        <v>10</v>
      </c>
      <c r="F1549" s="7" t="s">
        <v>1216</v>
      </c>
    </row>
    <row r="1550" spans="1:6" ht="12.75">
      <c r="A1550" s="6">
        <v>45629.659767314814</v>
      </c>
      <c r="B1550" s="7" t="s">
        <v>5</v>
      </c>
      <c r="C1550" s="5" t="str">
        <f>LEFT(Form_Responses1[[#This Row],[問１　あなたは何年生ですか。]],3)</f>
        <v>中学校</v>
      </c>
      <c r="D1550" s="7" t="s">
        <v>6</v>
      </c>
      <c r="E1550" s="7" t="s">
        <v>10</v>
      </c>
      <c r="F1550" s="7" t="s">
        <v>1217</v>
      </c>
    </row>
    <row r="1551" spans="1:6" ht="12.75">
      <c r="A1551" s="6">
        <v>45629.659779131944</v>
      </c>
      <c r="B1551" s="7" t="s">
        <v>16</v>
      </c>
      <c r="C1551" s="5" t="str">
        <f>LEFT(Form_Responses1[[#This Row],[問１　あなたは何年生ですか。]],3)</f>
        <v>中学校</v>
      </c>
      <c r="D1551" s="7" t="s">
        <v>6</v>
      </c>
      <c r="E1551" s="7" t="s">
        <v>7</v>
      </c>
      <c r="F1551" s="8"/>
    </row>
    <row r="1552" spans="1:6" ht="12.75">
      <c r="A1552" s="6">
        <v>45629.659790104168</v>
      </c>
      <c r="B1552" s="7" t="s">
        <v>5</v>
      </c>
      <c r="C1552" s="5" t="str">
        <f>LEFT(Form_Responses1[[#This Row],[問１　あなたは何年生ですか。]],3)</f>
        <v>中学校</v>
      </c>
      <c r="D1552" s="7" t="s">
        <v>121</v>
      </c>
      <c r="E1552" s="7" t="s">
        <v>10</v>
      </c>
      <c r="F1552" s="7" t="s">
        <v>1218</v>
      </c>
    </row>
    <row r="1553" spans="1:6" ht="12.75">
      <c r="A1553" s="6">
        <v>45629.65982079861</v>
      </c>
      <c r="B1553" s="7" t="s">
        <v>16</v>
      </c>
      <c r="C1553" s="5" t="str">
        <f>LEFT(Form_Responses1[[#This Row],[問１　あなたは何年生ですか。]],3)</f>
        <v>中学校</v>
      </c>
      <c r="D1553" s="7" t="s">
        <v>14</v>
      </c>
      <c r="E1553" s="7" t="s">
        <v>10</v>
      </c>
      <c r="F1553" s="7" t="s">
        <v>488</v>
      </c>
    </row>
    <row r="1554" spans="1:6" ht="12.75">
      <c r="A1554" s="6">
        <v>45629.659984398153</v>
      </c>
      <c r="B1554" s="7" t="s">
        <v>18</v>
      </c>
      <c r="C1554" s="5" t="str">
        <f>LEFT(Form_Responses1[[#This Row],[問１　あなたは何年生ですか。]],3)</f>
        <v>中学校</v>
      </c>
      <c r="D1554" s="7" t="s">
        <v>6</v>
      </c>
      <c r="E1554" s="7" t="s">
        <v>10</v>
      </c>
      <c r="F1554" s="7" t="s">
        <v>1219</v>
      </c>
    </row>
    <row r="1555" spans="1:6" ht="12.75">
      <c r="A1555" s="6">
        <v>45629.660007962964</v>
      </c>
      <c r="B1555" s="7" t="s">
        <v>18</v>
      </c>
      <c r="C1555" s="5" t="str">
        <f>LEFT(Form_Responses1[[#This Row],[問１　あなたは何年生ですか。]],3)</f>
        <v>中学校</v>
      </c>
      <c r="D1555" s="7" t="s">
        <v>19</v>
      </c>
      <c r="E1555" s="7" t="s">
        <v>10</v>
      </c>
      <c r="F1555" s="8"/>
    </row>
    <row r="1556" spans="1:6" ht="12.75">
      <c r="A1556" s="6">
        <v>45629.66026527778</v>
      </c>
      <c r="B1556" s="7" t="s">
        <v>16</v>
      </c>
      <c r="C1556" s="5" t="str">
        <f>LEFT(Form_Responses1[[#This Row],[問１　あなたは何年生ですか。]],3)</f>
        <v>中学校</v>
      </c>
      <c r="D1556" s="7" t="s">
        <v>17</v>
      </c>
      <c r="E1556" s="7" t="s">
        <v>7</v>
      </c>
      <c r="F1556" s="7" t="s">
        <v>1220</v>
      </c>
    </row>
    <row r="1557" spans="1:6" ht="12.75">
      <c r="A1557" s="6">
        <v>45629.66027842593</v>
      </c>
      <c r="B1557" s="7" t="s">
        <v>16</v>
      </c>
      <c r="C1557" s="5" t="str">
        <f>LEFT(Form_Responses1[[#This Row],[問１　あなたは何年生ですか。]],3)</f>
        <v>中学校</v>
      </c>
      <c r="D1557" s="7" t="s">
        <v>6</v>
      </c>
      <c r="E1557" s="7" t="s">
        <v>10</v>
      </c>
      <c r="F1557" s="7" t="s">
        <v>1221</v>
      </c>
    </row>
    <row r="1558" spans="1:6" ht="12.75">
      <c r="A1558" s="6">
        <v>45629.660318877315</v>
      </c>
      <c r="B1558" s="7" t="s">
        <v>16</v>
      </c>
      <c r="C1558" s="5" t="str">
        <f>LEFT(Form_Responses1[[#This Row],[問１　あなたは何年生ですか。]],3)</f>
        <v>中学校</v>
      </c>
      <c r="D1558" s="7" t="s">
        <v>19</v>
      </c>
      <c r="E1558" s="7" t="s">
        <v>7</v>
      </c>
      <c r="F1558" s="8"/>
    </row>
    <row r="1559" spans="1:6" ht="12.75">
      <c r="A1559" s="6">
        <v>45629.660357083332</v>
      </c>
      <c r="B1559" s="7" t="s">
        <v>5</v>
      </c>
      <c r="C1559" s="5" t="str">
        <f>LEFT(Form_Responses1[[#This Row],[問１　あなたは何年生ですか。]],3)</f>
        <v>中学校</v>
      </c>
      <c r="D1559" s="7" t="s">
        <v>19</v>
      </c>
      <c r="E1559" s="7" t="s">
        <v>7</v>
      </c>
      <c r="F1559" s="7" t="s">
        <v>1222</v>
      </c>
    </row>
    <row r="1560" spans="1:6" ht="12.75">
      <c r="A1560" s="6">
        <v>45629.660433576384</v>
      </c>
      <c r="B1560" s="7" t="s">
        <v>18</v>
      </c>
      <c r="C1560" s="5" t="str">
        <f>LEFT(Form_Responses1[[#This Row],[問１　あなたは何年生ですか。]],3)</f>
        <v>中学校</v>
      </c>
      <c r="D1560" s="7" t="s">
        <v>24</v>
      </c>
      <c r="E1560" s="7" t="s">
        <v>10</v>
      </c>
      <c r="F1560" s="7" t="s">
        <v>1223</v>
      </c>
    </row>
    <row r="1561" spans="1:6" ht="12.75">
      <c r="A1561" s="6">
        <v>45629.660538483797</v>
      </c>
      <c r="B1561" s="7" t="s">
        <v>5</v>
      </c>
      <c r="C1561" s="5" t="str">
        <f>LEFT(Form_Responses1[[#This Row],[問１　あなたは何年生ですか。]],3)</f>
        <v>中学校</v>
      </c>
      <c r="D1561" s="7" t="s">
        <v>19</v>
      </c>
      <c r="E1561" s="7" t="s">
        <v>15</v>
      </c>
      <c r="F1561" s="7" t="s">
        <v>1224</v>
      </c>
    </row>
    <row r="1562" spans="1:6" ht="12.75">
      <c r="A1562" s="6">
        <v>45629.660632719912</v>
      </c>
      <c r="B1562" s="7" t="s">
        <v>16</v>
      </c>
      <c r="C1562" s="5" t="str">
        <f>LEFT(Form_Responses1[[#This Row],[問１　あなたは何年生ですか。]],3)</f>
        <v>中学校</v>
      </c>
      <c r="D1562" s="7" t="s">
        <v>12</v>
      </c>
      <c r="E1562" s="7" t="s">
        <v>7</v>
      </c>
      <c r="F1562" s="7" t="s">
        <v>1225</v>
      </c>
    </row>
    <row r="1563" spans="1:6" ht="12.75">
      <c r="A1563" s="6">
        <v>45629.660676747684</v>
      </c>
      <c r="B1563" s="7" t="s">
        <v>5</v>
      </c>
      <c r="C1563" s="5" t="str">
        <f>LEFT(Form_Responses1[[#This Row],[問１　あなたは何年生ですか。]],3)</f>
        <v>中学校</v>
      </c>
      <c r="D1563" s="7" t="s">
        <v>19</v>
      </c>
      <c r="E1563" s="7" t="s">
        <v>10</v>
      </c>
      <c r="F1563" s="8"/>
    </row>
    <row r="1564" spans="1:6" ht="12.75">
      <c r="A1564" s="6">
        <v>45629.660712500001</v>
      </c>
      <c r="B1564" s="7" t="s">
        <v>5</v>
      </c>
      <c r="C1564" s="5" t="str">
        <f>LEFT(Form_Responses1[[#This Row],[問１　あなたは何年生ですか。]],3)</f>
        <v>中学校</v>
      </c>
      <c r="D1564" s="7" t="s">
        <v>6</v>
      </c>
      <c r="E1564" s="7" t="s">
        <v>7</v>
      </c>
      <c r="F1564" s="7" t="s">
        <v>1226</v>
      </c>
    </row>
    <row r="1565" spans="1:6" ht="12.75">
      <c r="A1565" s="6">
        <v>45629.660742824075</v>
      </c>
      <c r="B1565" s="7" t="s">
        <v>18</v>
      </c>
      <c r="C1565" s="5" t="str">
        <f>LEFT(Form_Responses1[[#This Row],[問１　あなたは何年生ですか。]],3)</f>
        <v>中学校</v>
      </c>
      <c r="D1565" s="7" t="s">
        <v>6</v>
      </c>
      <c r="E1565" s="7" t="s">
        <v>7</v>
      </c>
      <c r="F1565" s="8"/>
    </row>
    <row r="1566" spans="1:6" ht="12.75">
      <c r="A1566" s="6">
        <v>45629.660795104166</v>
      </c>
      <c r="B1566" s="7" t="s">
        <v>18</v>
      </c>
      <c r="C1566" s="5" t="str">
        <f>LEFT(Form_Responses1[[#This Row],[問１　あなたは何年生ですか。]],3)</f>
        <v>中学校</v>
      </c>
      <c r="D1566" s="7" t="s">
        <v>6</v>
      </c>
      <c r="E1566" s="7" t="s">
        <v>7</v>
      </c>
      <c r="F1566" s="7" t="s">
        <v>112</v>
      </c>
    </row>
    <row r="1567" spans="1:6" ht="12.75">
      <c r="A1567" s="6">
        <v>45629.660800254627</v>
      </c>
      <c r="B1567" s="7" t="s">
        <v>5</v>
      </c>
      <c r="C1567" s="5" t="str">
        <f>LEFT(Form_Responses1[[#This Row],[問１　あなたは何年生ですか。]],3)</f>
        <v>中学校</v>
      </c>
      <c r="D1567" s="7" t="s">
        <v>6</v>
      </c>
      <c r="E1567" s="7" t="s">
        <v>10</v>
      </c>
      <c r="F1567" s="8"/>
    </row>
    <row r="1568" spans="1:6" ht="12.75">
      <c r="A1568" s="6">
        <v>45629.661154398149</v>
      </c>
      <c r="B1568" s="7" t="s">
        <v>5</v>
      </c>
      <c r="C1568" s="5" t="str">
        <f>LEFT(Form_Responses1[[#This Row],[問１　あなたは何年生ですか。]],3)</f>
        <v>中学校</v>
      </c>
      <c r="D1568" s="7" t="s">
        <v>6</v>
      </c>
      <c r="E1568" s="7" t="s">
        <v>7</v>
      </c>
      <c r="F1568" s="8"/>
    </row>
    <row r="1569" spans="1:6" ht="12.75">
      <c r="A1569" s="6">
        <v>45629.661324594912</v>
      </c>
      <c r="B1569" s="7" t="s">
        <v>18</v>
      </c>
      <c r="C1569" s="5" t="str">
        <f>LEFT(Form_Responses1[[#This Row],[問１　あなたは何年生ですか。]],3)</f>
        <v>中学校</v>
      </c>
      <c r="D1569" s="7" t="s">
        <v>6</v>
      </c>
      <c r="E1569" s="7" t="s">
        <v>10</v>
      </c>
      <c r="F1569" s="7" t="s">
        <v>20</v>
      </c>
    </row>
    <row r="1570" spans="1:6" ht="12.75">
      <c r="A1570" s="6">
        <v>45629.661349675924</v>
      </c>
      <c r="B1570" s="7" t="s">
        <v>5</v>
      </c>
      <c r="C1570" s="5" t="str">
        <f>LEFT(Form_Responses1[[#This Row],[問１　あなたは何年生ですか。]],3)</f>
        <v>中学校</v>
      </c>
      <c r="D1570" s="7" t="s">
        <v>24</v>
      </c>
      <c r="E1570" s="7" t="s">
        <v>15</v>
      </c>
      <c r="F1570" s="7" t="s">
        <v>1227</v>
      </c>
    </row>
    <row r="1571" spans="1:6" ht="12.75">
      <c r="A1571" s="6">
        <v>45629.66136189815</v>
      </c>
      <c r="B1571" s="7" t="s">
        <v>16</v>
      </c>
      <c r="C1571" s="5" t="str">
        <f>LEFT(Form_Responses1[[#This Row],[問１　あなたは何年生ですか。]],3)</f>
        <v>中学校</v>
      </c>
      <c r="D1571" s="7" t="s">
        <v>6</v>
      </c>
      <c r="E1571" s="7" t="s">
        <v>7</v>
      </c>
      <c r="F1571" s="7" t="s">
        <v>112</v>
      </c>
    </row>
    <row r="1572" spans="1:6" ht="12.75">
      <c r="A1572" s="6">
        <v>45629.661506655088</v>
      </c>
      <c r="B1572" s="7" t="s">
        <v>5</v>
      </c>
      <c r="C1572" s="5" t="str">
        <f>LEFT(Form_Responses1[[#This Row],[問１　あなたは何年生ですか。]],3)</f>
        <v>中学校</v>
      </c>
      <c r="D1572" s="7" t="s">
        <v>19</v>
      </c>
      <c r="E1572" s="7" t="s">
        <v>7</v>
      </c>
      <c r="F1572" s="7" t="s">
        <v>1107</v>
      </c>
    </row>
    <row r="1573" spans="1:6" ht="12.75">
      <c r="A1573" s="6">
        <v>45629.661510034726</v>
      </c>
      <c r="B1573" s="7" t="s">
        <v>5</v>
      </c>
      <c r="C1573" s="5" t="str">
        <f>LEFT(Form_Responses1[[#This Row],[問１　あなたは何年生ですか。]],3)</f>
        <v>中学校</v>
      </c>
      <c r="D1573" s="7" t="s">
        <v>6</v>
      </c>
      <c r="E1573" s="7" t="s">
        <v>10</v>
      </c>
      <c r="F1573" s="7" t="s">
        <v>1228</v>
      </c>
    </row>
    <row r="1574" spans="1:6" ht="12.75">
      <c r="A1574" s="6">
        <v>45629.661518865745</v>
      </c>
      <c r="B1574" s="7" t="s">
        <v>18</v>
      </c>
      <c r="C1574" s="5" t="str">
        <f>LEFT(Form_Responses1[[#This Row],[問１　あなたは何年生ですか。]],3)</f>
        <v>中学校</v>
      </c>
      <c r="D1574" s="7" t="s">
        <v>121</v>
      </c>
      <c r="E1574" s="7" t="s">
        <v>15</v>
      </c>
      <c r="F1574" s="7" t="s">
        <v>1229</v>
      </c>
    </row>
    <row r="1575" spans="1:6" ht="12.75">
      <c r="A1575" s="6">
        <v>45629.661671921298</v>
      </c>
      <c r="B1575" s="7" t="s">
        <v>5</v>
      </c>
      <c r="C1575" s="5" t="str">
        <f>LEFT(Form_Responses1[[#This Row],[問１　あなたは何年生ですか。]],3)</f>
        <v>中学校</v>
      </c>
      <c r="D1575" s="7" t="s">
        <v>19</v>
      </c>
      <c r="E1575" s="7" t="s">
        <v>7</v>
      </c>
      <c r="F1575" s="7" t="s">
        <v>1230</v>
      </c>
    </row>
    <row r="1576" spans="1:6" ht="12.75">
      <c r="A1576" s="6">
        <v>45629.661746875005</v>
      </c>
      <c r="B1576" s="7" t="s">
        <v>5</v>
      </c>
      <c r="C1576" s="5" t="str">
        <f>LEFT(Form_Responses1[[#This Row],[問１　あなたは何年生ですか。]],3)</f>
        <v>中学校</v>
      </c>
      <c r="D1576" s="7" t="s">
        <v>24</v>
      </c>
      <c r="E1576" s="7" t="s">
        <v>7</v>
      </c>
      <c r="F1576" s="7" t="s">
        <v>1231</v>
      </c>
    </row>
    <row r="1577" spans="1:6" ht="12.75">
      <c r="A1577" s="6">
        <v>45629.661816157408</v>
      </c>
      <c r="B1577" s="7" t="s">
        <v>5</v>
      </c>
      <c r="C1577" s="5" t="str">
        <f>LEFT(Form_Responses1[[#This Row],[問１　あなたは何年生ですか。]],3)</f>
        <v>中学校</v>
      </c>
      <c r="D1577" s="7" t="s">
        <v>6</v>
      </c>
      <c r="E1577" s="7" t="s">
        <v>7</v>
      </c>
      <c r="F1577" s="7" t="s">
        <v>1232</v>
      </c>
    </row>
    <row r="1578" spans="1:6" ht="12.75">
      <c r="A1578" s="6">
        <v>45629.661819236106</v>
      </c>
      <c r="B1578" s="7" t="s">
        <v>5</v>
      </c>
      <c r="C1578" s="5" t="str">
        <f>LEFT(Form_Responses1[[#This Row],[問１　あなたは何年生ですか。]],3)</f>
        <v>中学校</v>
      </c>
      <c r="D1578" s="7" t="s">
        <v>6</v>
      </c>
      <c r="E1578" s="7" t="s">
        <v>10</v>
      </c>
      <c r="F1578" s="7" t="s">
        <v>1233</v>
      </c>
    </row>
    <row r="1579" spans="1:6" ht="12.75">
      <c r="A1579" s="6">
        <v>45629.661992326393</v>
      </c>
      <c r="B1579" s="7" t="s">
        <v>16</v>
      </c>
      <c r="C1579" s="5" t="str">
        <f>LEFT(Form_Responses1[[#This Row],[問１　あなたは何年生ですか。]],3)</f>
        <v>中学校</v>
      </c>
      <c r="D1579" s="7" t="s">
        <v>6</v>
      </c>
      <c r="E1579" s="7" t="s">
        <v>10</v>
      </c>
      <c r="F1579" s="7" t="s">
        <v>747</v>
      </c>
    </row>
    <row r="1580" spans="1:6" ht="12.75">
      <c r="A1580" s="6">
        <v>45629.661994282404</v>
      </c>
      <c r="B1580" s="7" t="s">
        <v>16</v>
      </c>
      <c r="C1580" s="5" t="str">
        <f>LEFT(Form_Responses1[[#This Row],[問１　あなたは何年生ですか。]],3)</f>
        <v>中学校</v>
      </c>
      <c r="D1580" s="7" t="s">
        <v>24</v>
      </c>
      <c r="E1580" s="7" t="s">
        <v>10</v>
      </c>
      <c r="F1580" s="7" t="s">
        <v>239</v>
      </c>
    </row>
    <row r="1581" spans="1:6" ht="12.75">
      <c r="A1581" s="6">
        <v>45629.662075474538</v>
      </c>
      <c r="B1581" s="7" t="s">
        <v>16</v>
      </c>
      <c r="C1581" s="5" t="str">
        <f>LEFT(Form_Responses1[[#This Row],[問１　あなたは何年生ですか。]],3)</f>
        <v>中学校</v>
      </c>
      <c r="D1581" s="7" t="s">
        <v>12</v>
      </c>
      <c r="E1581" s="7" t="s">
        <v>10</v>
      </c>
      <c r="F1581" s="8"/>
    </row>
    <row r="1582" spans="1:6" ht="12.75">
      <c r="A1582" s="6">
        <v>45629.662164652778</v>
      </c>
      <c r="B1582" s="7" t="s">
        <v>5</v>
      </c>
      <c r="C1582" s="5" t="str">
        <f>LEFT(Form_Responses1[[#This Row],[問１　あなたは何年生ですか。]],3)</f>
        <v>中学校</v>
      </c>
      <c r="D1582" s="7" t="s">
        <v>6</v>
      </c>
      <c r="E1582" s="7" t="s">
        <v>10</v>
      </c>
      <c r="F1582" s="7" t="s">
        <v>1234</v>
      </c>
    </row>
    <row r="1583" spans="1:6" ht="12.75">
      <c r="A1583" s="6">
        <v>45629.662259247685</v>
      </c>
      <c r="B1583" s="7" t="s">
        <v>16</v>
      </c>
      <c r="C1583" s="5" t="str">
        <f>LEFT(Form_Responses1[[#This Row],[問１　あなたは何年生ですか。]],3)</f>
        <v>中学校</v>
      </c>
      <c r="D1583" s="7" t="s">
        <v>19</v>
      </c>
      <c r="E1583" s="7" t="s">
        <v>7</v>
      </c>
      <c r="F1583" s="8"/>
    </row>
    <row r="1584" spans="1:6" ht="12.75">
      <c r="A1584" s="6">
        <v>45629.662264085651</v>
      </c>
      <c r="B1584" s="7" t="s">
        <v>16</v>
      </c>
      <c r="C1584" s="5" t="str">
        <f>LEFT(Form_Responses1[[#This Row],[問１　あなたは何年生ですか。]],3)</f>
        <v>中学校</v>
      </c>
      <c r="D1584" s="7" t="s">
        <v>6</v>
      </c>
      <c r="E1584" s="7" t="s">
        <v>10</v>
      </c>
      <c r="F1584" s="7" t="s">
        <v>1235</v>
      </c>
    </row>
    <row r="1585" spans="1:6" ht="12.75">
      <c r="A1585" s="6">
        <v>45629.662291087967</v>
      </c>
      <c r="B1585" s="7" t="s">
        <v>16</v>
      </c>
      <c r="C1585" s="5" t="str">
        <f>LEFT(Form_Responses1[[#This Row],[問１　あなたは何年生ですか。]],3)</f>
        <v>中学校</v>
      </c>
      <c r="D1585" s="7" t="s">
        <v>6</v>
      </c>
      <c r="E1585" s="7" t="s">
        <v>10</v>
      </c>
      <c r="F1585" s="7" t="s">
        <v>747</v>
      </c>
    </row>
    <row r="1586" spans="1:6" ht="12.75">
      <c r="A1586" s="6">
        <v>45629.662308321756</v>
      </c>
      <c r="B1586" s="7" t="s">
        <v>16</v>
      </c>
      <c r="C1586" s="5" t="str">
        <f>LEFT(Form_Responses1[[#This Row],[問１　あなたは何年生ですか。]],3)</f>
        <v>中学校</v>
      </c>
      <c r="D1586" s="7" t="s">
        <v>19</v>
      </c>
      <c r="E1586" s="7" t="s">
        <v>10</v>
      </c>
      <c r="F1586" s="8"/>
    </row>
    <row r="1587" spans="1:6" ht="12.75">
      <c r="A1587" s="6">
        <v>45629.662401018519</v>
      </c>
      <c r="B1587" s="7" t="s">
        <v>16</v>
      </c>
      <c r="C1587" s="5" t="str">
        <f>LEFT(Form_Responses1[[#This Row],[問１　あなたは何年生ですか。]],3)</f>
        <v>中学校</v>
      </c>
      <c r="D1587" s="7" t="s">
        <v>1236</v>
      </c>
      <c r="E1587" s="7" t="s">
        <v>10</v>
      </c>
      <c r="F1587" s="7" t="s">
        <v>1237</v>
      </c>
    </row>
    <row r="1588" spans="1:6" ht="12.75">
      <c r="A1588" s="6">
        <v>45629.662413217593</v>
      </c>
      <c r="B1588" s="7" t="s">
        <v>16</v>
      </c>
      <c r="C1588" s="5" t="str">
        <f>LEFT(Form_Responses1[[#This Row],[問１　あなたは何年生ですか。]],3)</f>
        <v>中学校</v>
      </c>
      <c r="D1588" s="7" t="s">
        <v>6</v>
      </c>
      <c r="E1588" s="7" t="s">
        <v>10</v>
      </c>
      <c r="F1588" s="7" t="s">
        <v>1238</v>
      </c>
    </row>
    <row r="1589" spans="1:6" ht="12.75">
      <c r="A1589" s="6">
        <v>45629.662502280087</v>
      </c>
      <c r="B1589" s="7" t="s">
        <v>16</v>
      </c>
      <c r="C1589" s="5" t="str">
        <f>LEFT(Form_Responses1[[#This Row],[問１　あなたは何年生ですか。]],3)</f>
        <v>中学校</v>
      </c>
      <c r="D1589" s="7" t="s">
        <v>24</v>
      </c>
      <c r="E1589" s="7" t="s">
        <v>10</v>
      </c>
      <c r="F1589" s="7" t="s">
        <v>1239</v>
      </c>
    </row>
    <row r="1590" spans="1:6" ht="12.75">
      <c r="A1590" s="6">
        <v>45629.662581516204</v>
      </c>
      <c r="B1590" s="7" t="s">
        <v>5</v>
      </c>
      <c r="C1590" s="5" t="str">
        <f>LEFT(Form_Responses1[[#This Row],[問１　あなたは何年生ですか。]],3)</f>
        <v>中学校</v>
      </c>
      <c r="D1590" s="7" t="s">
        <v>19</v>
      </c>
      <c r="E1590" s="7" t="s">
        <v>10</v>
      </c>
      <c r="F1590" s="7" t="s">
        <v>1240</v>
      </c>
    </row>
    <row r="1591" spans="1:6" ht="12.75">
      <c r="A1591" s="6">
        <v>45629.662647962963</v>
      </c>
      <c r="B1591" s="7" t="s">
        <v>16</v>
      </c>
      <c r="C1591" s="5" t="str">
        <f>LEFT(Form_Responses1[[#This Row],[問１　あなたは何年生ですか。]],3)</f>
        <v>中学校</v>
      </c>
      <c r="D1591" s="7" t="s">
        <v>24</v>
      </c>
      <c r="E1591" s="7" t="s">
        <v>10</v>
      </c>
      <c r="F1591" s="7" t="s">
        <v>1241</v>
      </c>
    </row>
    <row r="1592" spans="1:6" ht="12.75">
      <c r="A1592" s="6">
        <v>45629.662682685186</v>
      </c>
      <c r="B1592" s="7" t="s">
        <v>16</v>
      </c>
      <c r="C1592" s="5" t="str">
        <f>LEFT(Form_Responses1[[#This Row],[問１　あなたは何年生ですか。]],3)</f>
        <v>中学校</v>
      </c>
      <c r="D1592" s="7" t="s">
        <v>1242</v>
      </c>
      <c r="E1592" s="7" t="s">
        <v>10</v>
      </c>
      <c r="F1592" s="8"/>
    </row>
    <row r="1593" spans="1:6" ht="12.75">
      <c r="A1593" s="6">
        <v>45629.662719293978</v>
      </c>
      <c r="B1593" s="7" t="s">
        <v>16</v>
      </c>
      <c r="C1593" s="5" t="str">
        <f>LEFT(Form_Responses1[[#This Row],[問１　あなたは何年生ですか。]],3)</f>
        <v>中学校</v>
      </c>
      <c r="D1593" s="7" t="s">
        <v>17</v>
      </c>
      <c r="E1593" s="7" t="s">
        <v>10</v>
      </c>
      <c r="F1593" s="7" t="s">
        <v>1243</v>
      </c>
    </row>
    <row r="1594" spans="1:6" ht="12.75">
      <c r="A1594" s="6">
        <v>45629.662758206017</v>
      </c>
      <c r="B1594" s="7" t="s">
        <v>16</v>
      </c>
      <c r="C1594" s="5" t="str">
        <f>LEFT(Form_Responses1[[#This Row],[問１　あなたは何年生ですか。]],3)</f>
        <v>中学校</v>
      </c>
      <c r="D1594" s="7" t="s">
        <v>6</v>
      </c>
      <c r="E1594" s="7" t="s">
        <v>7</v>
      </c>
      <c r="F1594" s="7" t="s">
        <v>1244</v>
      </c>
    </row>
    <row r="1595" spans="1:6" ht="12.75">
      <c r="A1595" s="6">
        <v>45629.662792268515</v>
      </c>
      <c r="B1595" s="7" t="s">
        <v>16</v>
      </c>
      <c r="C1595" s="5" t="str">
        <f>LEFT(Form_Responses1[[#This Row],[問１　あなたは何年生ですか。]],3)</f>
        <v>中学校</v>
      </c>
      <c r="D1595" s="7" t="s">
        <v>24</v>
      </c>
      <c r="E1595" s="7" t="s">
        <v>10</v>
      </c>
      <c r="F1595" s="8"/>
    </row>
    <row r="1596" spans="1:6" ht="12.75">
      <c r="A1596" s="6">
        <v>45629.662813298608</v>
      </c>
      <c r="B1596" s="7" t="s">
        <v>18</v>
      </c>
      <c r="C1596" s="5" t="str">
        <f>LEFT(Form_Responses1[[#This Row],[問１　あなたは何年生ですか。]],3)</f>
        <v>中学校</v>
      </c>
      <c r="D1596" s="7" t="s">
        <v>19</v>
      </c>
      <c r="E1596" s="7" t="s">
        <v>10</v>
      </c>
      <c r="F1596" s="7" t="s">
        <v>1245</v>
      </c>
    </row>
    <row r="1597" spans="1:6" ht="12.75">
      <c r="A1597" s="6">
        <v>45629.662895775458</v>
      </c>
      <c r="B1597" s="7" t="s">
        <v>16</v>
      </c>
      <c r="C1597" s="5" t="str">
        <f>LEFT(Form_Responses1[[#This Row],[問１　あなたは何年生ですか。]],3)</f>
        <v>中学校</v>
      </c>
      <c r="D1597" s="7" t="s">
        <v>1246</v>
      </c>
      <c r="E1597" s="7" t="s">
        <v>7</v>
      </c>
      <c r="F1597" s="8"/>
    </row>
    <row r="1598" spans="1:6" ht="12.75">
      <c r="A1598" s="6">
        <v>45629.662931967592</v>
      </c>
      <c r="B1598" s="7" t="s">
        <v>5</v>
      </c>
      <c r="C1598" s="5" t="str">
        <f>LEFT(Form_Responses1[[#This Row],[問１　あなたは何年生ですか。]],3)</f>
        <v>中学校</v>
      </c>
      <c r="D1598" s="7" t="s">
        <v>17</v>
      </c>
      <c r="E1598" s="7" t="s">
        <v>10</v>
      </c>
      <c r="F1598" s="7" t="s">
        <v>1247</v>
      </c>
    </row>
    <row r="1599" spans="1:6" ht="12.75">
      <c r="A1599" s="6">
        <v>45629.663353611111</v>
      </c>
      <c r="B1599" s="7" t="s">
        <v>5</v>
      </c>
      <c r="C1599" s="5" t="str">
        <f>LEFT(Form_Responses1[[#This Row],[問１　あなたは何年生ですか。]],3)</f>
        <v>中学校</v>
      </c>
      <c r="D1599" s="7" t="s">
        <v>19</v>
      </c>
      <c r="E1599" s="7" t="s">
        <v>10</v>
      </c>
      <c r="F1599" s="7" t="s">
        <v>1248</v>
      </c>
    </row>
    <row r="1600" spans="1:6" ht="12.75">
      <c r="A1600" s="6">
        <v>45629.663373738425</v>
      </c>
      <c r="B1600" s="7" t="s">
        <v>16</v>
      </c>
      <c r="C1600" s="5" t="str">
        <f>LEFT(Form_Responses1[[#This Row],[問１　あなたは何年生ですか。]],3)</f>
        <v>中学校</v>
      </c>
      <c r="D1600" s="7" t="s">
        <v>12</v>
      </c>
      <c r="E1600" s="7" t="s">
        <v>10</v>
      </c>
      <c r="F1600" s="7" t="s">
        <v>52</v>
      </c>
    </row>
    <row r="1601" spans="1:6" ht="12.75">
      <c r="A1601" s="6">
        <v>45629.663452141205</v>
      </c>
      <c r="B1601" s="7" t="s">
        <v>13</v>
      </c>
      <c r="C1601" s="5" t="str">
        <f>LEFT(Form_Responses1[[#This Row],[問１　あなたは何年生ですか。]],3)</f>
        <v>小学校</v>
      </c>
      <c r="D1601" s="7" t="s">
        <v>6</v>
      </c>
      <c r="E1601" s="7" t="s">
        <v>10</v>
      </c>
      <c r="F1601" s="7" t="s">
        <v>1249</v>
      </c>
    </row>
    <row r="1602" spans="1:6" ht="12.75">
      <c r="A1602" s="6">
        <v>45629.663458877316</v>
      </c>
      <c r="B1602" s="7" t="s">
        <v>16</v>
      </c>
      <c r="C1602" s="5" t="str">
        <f>LEFT(Form_Responses1[[#This Row],[問１　あなたは何年生ですか。]],3)</f>
        <v>中学校</v>
      </c>
      <c r="D1602" s="7" t="s">
        <v>6</v>
      </c>
      <c r="E1602" s="7" t="s">
        <v>10</v>
      </c>
      <c r="F1602" s="7" t="s">
        <v>1250</v>
      </c>
    </row>
    <row r="1603" spans="1:6" ht="12.75">
      <c r="A1603" s="6">
        <v>45629.663611782409</v>
      </c>
      <c r="B1603" s="7" t="s">
        <v>18</v>
      </c>
      <c r="C1603" s="5" t="str">
        <f>LEFT(Form_Responses1[[#This Row],[問１　あなたは何年生ですか。]],3)</f>
        <v>中学校</v>
      </c>
      <c r="D1603" s="7" t="s">
        <v>6</v>
      </c>
      <c r="E1603" s="7" t="s">
        <v>10</v>
      </c>
      <c r="F1603" s="7" t="s">
        <v>1251</v>
      </c>
    </row>
    <row r="1604" spans="1:6" ht="12.75">
      <c r="A1604" s="6">
        <v>45629.663625347224</v>
      </c>
      <c r="B1604" s="7" t="s">
        <v>16</v>
      </c>
      <c r="C1604" s="5" t="str">
        <f>LEFT(Form_Responses1[[#This Row],[問１　あなたは何年生ですか。]],3)</f>
        <v>中学校</v>
      </c>
      <c r="D1604" s="7" t="s">
        <v>24</v>
      </c>
      <c r="E1604" s="7" t="s">
        <v>7</v>
      </c>
      <c r="F1604" s="7" t="s">
        <v>52</v>
      </c>
    </row>
    <row r="1605" spans="1:6" ht="12.75">
      <c r="A1605" s="6">
        <v>45629.663675231481</v>
      </c>
      <c r="B1605" s="7" t="s">
        <v>16</v>
      </c>
      <c r="C1605" s="5" t="str">
        <f>LEFT(Form_Responses1[[#This Row],[問１　あなたは何年生ですか。]],3)</f>
        <v>中学校</v>
      </c>
      <c r="D1605" s="7" t="s">
        <v>6</v>
      </c>
      <c r="E1605" s="7" t="s">
        <v>10</v>
      </c>
      <c r="F1605" s="7" t="s">
        <v>1252</v>
      </c>
    </row>
    <row r="1606" spans="1:6" ht="12.75">
      <c r="A1606" s="6">
        <v>45629.66367657407</v>
      </c>
      <c r="B1606" s="7" t="s">
        <v>18</v>
      </c>
      <c r="C1606" s="5" t="str">
        <f>LEFT(Form_Responses1[[#This Row],[問１　あなたは何年生ですか。]],3)</f>
        <v>中学校</v>
      </c>
      <c r="D1606" s="7" t="s">
        <v>24</v>
      </c>
      <c r="E1606" s="7" t="s">
        <v>10</v>
      </c>
      <c r="F1606" s="8"/>
    </row>
    <row r="1607" spans="1:6" ht="12.75">
      <c r="A1607" s="6">
        <v>45629.663774756948</v>
      </c>
      <c r="B1607" s="7" t="s">
        <v>16</v>
      </c>
      <c r="C1607" s="5" t="str">
        <f>LEFT(Form_Responses1[[#This Row],[問１　あなたは何年生ですか。]],3)</f>
        <v>中学校</v>
      </c>
      <c r="D1607" s="7" t="s">
        <v>6</v>
      </c>
      <c r="E1607" s="7" t="s">
        <v>10</v>
      </c>
      <c r="F1607" s="7" t="s">
        <v>793</v>
      </c>
    </row>
    <row r="1608" spans="1:6" ht="12.75">
      <c r="A1608" s="6">
        <v>45629.66382263889</v>
      </c>
      <c r="B1608" s="7" t="s">
        <v>16</v>
      </c>
      <c r="C1608" s="5" t="str">
        <f>LEFT(Form_Responses1[[#This Row],[問１　あなたは何年生ですか。]],3)</f>
        <v>中学校</v>
      </c>
      <c r="D1608" s="7" t="s">
        <v>24</v>
      </c>
      <c r="E1608" s="7" t="s">
        <v>10</v>
      </c>
      <c r="F1608" s="7" t="s">
        <v>1253</v>
      </c>
    </row>
    <row r="1609" spans="1:6" ht="12.75">
      <c r="A1609" s="6">
        <v>45629.663824143514</v>
      </c>
      <c r="B1609" s="7" t="s">
        <v>5</v>
      </c>
      <c r="C1609" s="5" t="str">
        <f>LEFT(Form_Responses1[[#This Row],[問１　あなたは何年生ですか。]],3)</f>
        <v>中学校</v>
      </c>
      <c r="D1609" s="7" t="s">
        <v>6</v>
      </c>
      <c r="E1609" s="7" t="s">
        <v>10</v>
      </c>
      <c r="F1609" s="8"/>
    </row>
    <row r="1610" spans="1:6" ht="12.75">
      <c r="A1610" s="6">
        <v>45629.663861145833</v>
      </c>
      <c r="B1610" s="7" t="s">
        <v>16</v>
      </c>
      <c r="C1610" s="5" t="str">
        <f>LEFT(Form_Responses1[[#This Row],[問１　あなたは何年生ですか。]],3)</f>
        <v>中学校</v>
      </c>
      <c r="D1610" s="7" t="s">
        <v>6</v>
      </c>
      <c r="E1610" s="7" t="s">
        <v>10</v>
      </c>
      <c r="F1610" s="7" t="s">
        <v>165</v>
      </c>
    </row>
    <row r="1611" spans="1:6" ht="12.75">
      <c r="A1611" s="6">
        <v>45629.663901180553</v>
      </c>
      <c r="B1611" s="7" t="s">
        <v>16</v>
      </c>
      <c r="C1611" s="5" t="str">
        <f>LEFT(Form_Responses1[[#This Row],[問１　あなたは何年生ですか。]],3)</f>
        <v>中学校</v>
      </c>
      <c r="D1611" s="7" t="s">
        <v>6</v>
      </c>
      <c r="E1611" s="7" t="s">
        <v>10</v>
      </c>
      <c r="F1611" s="7" t="s">
        <v>1254</v>
      </c>
    </row>
    <row r="1612" spans="1:6" ht="12.75">
      <c r="A1612" s="6">
        <v>45629.663921516199</v>
      </c>
      <c r="B1612" s="7" t="s">
        <v>16</v>
      </c>
      <c r="C1612" s="5" t="str">
        <f>LEFT(Form_Responses1[[#This Row],[問１　あなたは何年生ですか。]],3)</f>
        <v>中学校</v>
      </c>
      <c r="D1612" s="7" t="s">
        <v>6</v>
      </c>
      <c r="E1612" s="7" t="s">
        <v>10</v>
      </c>
      <c r="F1612" s="7" t="s">
        <v>1255</v>
      </c>
    </row>
    <row r="1613" spans="1:6" ht="12.75">
      <c r="A1613" s="6">
        <v>45629.663999976852</v>
      </c>
      <c r="B1613" s="7" t="s">
        <v>16</v>
      </c>
      <c r="C1613" s="5" t="str">
        <f>LEFT(Form_Responses1[[#This Row],[問１　あなたは何年生ですか。]],3)</f>
        <v>中学校</v>
      </c>
      <c r="D1613" s="7" t="s">
        <v>17</v>
      </c>
      <c r="E1613" s="7" t="s">
        <v>7</v>
      </c>
      <c r="F1613" s="8"/>
    </row>
    <row r="1614" spans="1:6" ht="12.75">
      <c r="A1614" s="6">
        <v>45629.664081979165</v>
      </c>
      <c r="B1614" s="7" t="s">
        <v>5</v>
      </c>
      <c r="C1614" s="5" t="str">
        <f>LEFT(Form_Responses1[[#This Row],[問１　あなたは何年生ですか。]],3)</f>
        <v>中学校</v>
      </c>
      <c r="D1614" s="7" t="s">
        <v>6</v>
      </c>
      <c r="E1614" s="7" t="s">
        <v>10</v>
      </c>
      <c r="F1614" s="7" t="s">
        <v>1256</v>
      </c>
    </row>
    <row r="1615" spans="1:6" ht="12.75">
      <c r="A1615" s="6">
        <v>45629.664170208329</v>
      </c>
      <c r="B1615" s="7" t="s">
        <v>16</v>
      </c>
      <c r="C1615" s="5" t="str">
        <f>LEFT(Form_Responses1[[#This Row],[問１　あなたは何年生ですか。]],3)</f>
        <v>中学校</v>
      </c>
      <c r="D1615" s="7" t="s">
        <v>12</v>
      </c>
      <c r="E1615" s="7" t="s">
        <v>10</v>
      </c>
      <c r="F1615" s="7" t="s">
        <v>1257</v>
      </c>
    </row>
    <row r="1616" spans="1:6" ht="12.75">
      <c r="A1616" s="6">
        <v>45629.664213784723</v>
      </c>
      <c r="B1616" s="7" t="s">
        <v>16</v>
      </c>
      <c r="C1616" s="5" t="str">
        <f>LEFT(Form_Responses1[[#This Row],[問１　あなたは何年生ですか。]],3)</f>
        <v>中学校</v>
      </c>
      <c r="D1616" s="7" t="s">
        <v>6</v>
      </c>
      <c r="E1616" s="7" t="s">
        <v>10</v>
      </c>
      <c r="F1616" s="7" t="s">
        <v>1258</v>
      </c>
    </row>
    <row r="1617" spans="1:6" ht="12.75">
      <c r="A1617" s="6">
        <v>45629.664268252316</v>
      </c>
      <c r="B1617" s="7" t="s">
        <v>5</v>
      </c>
      <c r="C1617" s="5" t="str">
        <f>LEFT(Form_Responses1[[#This Row],[問１　あなたは何年生ですか。]],3)</f>
        <v>中学校</v>
      </c>
      <c r="D1617" s="7" t="s">
        <v>19</v>
      </c>
      <c r="E1617" s="7" t="s">
        <v>10</v>
      </c>
      <c r="F1617" s="7" t="s">
        <v>1259</v>
      </c>
    </row>
    <row r="1618" spans="1:6" ht="12.75">
      <c r="A1618" s="6">
        <v>45629.664663067131</v>
      </c>
      <c r="B1618" s="7" t="s">
        <v>18</v>
      </c>
      <c r="C1618" s="5" t="str">
        <f>LEFT(Form_Responses1[[#This Row],[問１　あなたは何年生ですか。]],3)</f>
        <v>中学校</v>
      </c>
      <c r="D1618" s="7" t="s">
        <v>19</v>
      </c>
      <c r="E1618" s="7" t="s">
        <v>10</v>
      </c>
      <c r="F1618" s="7" t="s">
        <v>1260</v>
      </c>
    </row>
    <row r="1619" spans="1:6" ht="12.75">
      <c r="A1619" s="6">
        <v>45629.664786458336</v>
      </c>
      <c r="B1619" s="7" t="s">
        <v>5</v>
      </c>
      <c r="C1619" s="5" t="str">
        <f>LEFT(Form_Responses1[[#This Row],[問１　あなたは何年生ですか。]],3)</f>
        <v>中学校</v>
      </c>
      <c r="D1619" s="7" t="s">
        <v>19</v>
      </c>
      <c r="E1619" s="7" t="s">
        <v>10</v>
      </c>
      <c r="F1619" s="7" t="s">
        <v>343</v>
      </c>
    </row>
    <row r="1620" spans="1:6" ht="12.75">
      <c r="A1620" s="6">
        <v>45629.665172476853</v>
      </c>
      <c r="B1620" s="7" t="s">
        <v>16</v>
      </c>
      <c r="C1620" s="5" t="str">
        <f>LEFT(Form_Responses1[[#This Row],[問１　あなたは何年生ですか。]],3)</f>
        <v>中学校</v>
      </c>
      <c r="D1620" s="7" t="s">
        <v>14</v>
      </c>
      <c r="E1620" s="7" t="s">
        <v>15</v>
      </c>
      <c r="F1620" s="7" t="s">
        <v>1261</v>
      </c>
    </row>
    <row r="1621" spans="1:6" ht="12.75">
      <c r="A1621" s="6">
        <v>45629.665849398152</v>
      </c>
      <c r="B1621" s="7" t="s">
        <v>16</v>
      </c>
      <c r="C1621" s="5" t="str">
        <f>LEFT(Form_Responses1[[#This Row],[問１　あなたは何年生ですか。]],3)</f>
        <v>中学校</v>
      </c>
      <c r="D1621" s="7" t="s">
        <v>6</v>
      </c>
      <c r="E1621" s="7" t="s">
        <v>10</v>
      </c>
      <c r="F1621" s="7" t="s">
        <v>1262</v>
      </c>
    </row>
    <row r="1622" spans="1:6" ht="12.75">
      <c r="A1622" s="6">
        <v>45629.666408263889</v>
      </c>
      <c r="B1622" s="7" t="s">
        <v>16</v>
      </c>
      <c r="C1622" s="5" t="str">
        <f>LEFT(Form_Responses1[[#This Row],[問１　あなたは何年生ですか。]],3)</f>
        <v>中学校</v>
      </c>
      <c r="D1622" s="7" t="s">
        <v>1263</v>
      </c>
      <c r="E1622" s="7" t="s">
        <v>10</v>
      </c>
      <c r="F1622" s="7" t="s">
        <v>1264</v>
      </c>
    </row>
    <row r="1623" spans="1:6" ht="12.75">
      <c r="A1623" s="6">
        <v>45629.743787905092</v>
      </c>
      <c r="B1623" s="7" t="s">
        <v>16</v>
      </c>
      <c r="C1623" s="5" t="str">
        <f>LEFT(Form_Responses1[[#This Row],[問１　あなたは何年生ですか。]],3)</f>
        <v>中学校</v>
      </c>
      <c r="D1623" s="7" t="s">
        <v>6</v>
      </c>
      <c r="E1623" s="7" t="s">
        <v>10</v>
      </c>
      <c r="F1623" s="7" t="s">
        <v>1265</v>
      </c>
    </row>
    <row r="1624" spans="1:6" ht="12.75">
      <c r="A1624" s="6">
        <v>45629.767255439816</v>
      </c>
      <c r="B1624" s="7" t="s">
        <v>18</v>
      </c>
      <c r="C1624" s="5" t="str">
        <f>LEFT(Form_Responses1[[#This Row],[問１　あなたは何年生ですか。]],3)</f>
        <v>中学校</v>
      </c>
      <c r="D1624" s="7" t="s">
        <v>19</v>
      </c>
      <c r="E1624" s="7" t="s">
        <v>10</v>
      </c>
      <c r="F1624" s="7" t="s">
        <v>1266</v>
      </c>
    </row>
    <row r="1625" spans="1:6" ht="12.75">
      <c r="A1625" s="6">
        <v>45630.337181006944</v>
      </c>
      <c r="B1625" s="7" t="s">
        <v>11</v>
      </c>
      <c r="C1625" s="5" t="str">
        <f>LEFT(Form_Responses1[[#This Row],[問１　あなたは何年生ですか。]],3)</f>
        <v>小学校</v>
      </c>
      <c r="D1625" s="7" t="s">
        <v>9</v>
      </c>
      <c r="E1625" s="7" t="s">
        <v>10</v>
      </c>
      <c r="F1625" s="8"/>
    </row>
    <row r="1626" spans="1:6" ht="12.75">
      <c r="A1626" s="6">
        <v>45630.338090925929</v>
      </c>
      <c r="B1626" s="7" t="s">
        <v>11</v>
      </c>
      <c r="C1626" s="5" t="str">
        <f>LEFT(Form_Responses1[[#This Row],[問１　あなたは何年生ですか。]],3)</f>
        <v>小学校</v>
      </c>
      <c r="D1626" s="7" t="s">
        <v>1267</v>
      </c>
      <c r="E1626" s="7" t="s">
        <v>67</v>
      </c>
      <c r="F1626" s="7" t="s">
        <v>128</v>
      </c>
    </row>
    <row r="1627" spans="1:6" ht="12.75">
      <c r="A1627" s="6">
        <v>45630.342354699074</v>
      </c>
      <c r="B1627" s="7" t="s">
        <v>21</v>
      </c>
      <c r="C1627" s="5" t="str">
        <f>LEFT(Form_Responses1[[#This Row],[問１　あなたは何年生ですか。]],3)</f>
        <v>小学校</v>
      </c>
      <c r="D1627" s="7" t="s">
        <v>24</v>
      </c>
      <c r="E1627" s="7" t="s">
        <v>10</v>
      </c>
      <c r="F1627" s="7" t="s">
        <v>52</v>
      </c>
    </row>
    <row r="1628" spans="1:6" ht="12.75">
      <c r="A1628" s="6">
        <v>45630.342450266202</v>
      </c>
      <c r="B1628" s="7" t="s">
        <v>21</v>
      </c>
      <c r="C1628" s="5" t="str">
        <f>LEFT(Form_Responses1[[#This Row],[問１　あなたは何年生ですか。]],3)</f>
        <v>小学校</v>
      </c>
      <c r="D1628" s="7" t="s">
        <v>12</v>
      </c>
      <c r="E1628" s="7" t="s">
        <v>10</v>
      </c>
      <c r="F1628" s="7" t="s">
        <v>1268</v>
      </c>
    </row>
    <row r="1629" spans="1:6" ht="12.75">
      <c r="A1629" s="6">
        <v>45630.342617349539</v>
      </c>
      <c r="B1629" s="7" t="s">
        <v>21</v>
      </c>
      <c r="C1629" s="5" t="str">
        <f>LEFT(Form_Responses1[[#This Row],[問１　あなたは何年生ですか。]],3)</f>
        <v>小学校</v>
      </c>
      <c r="D1629" s="7" t="s">
        <v>1269</v>
      </c>
      <c r="E1629" s="7" t="s">
        <v>10</v>
      </c>
      <c r="F1629" s="7" t="s">
        <v>1270</v>
      </c>
    </row>
    <row r="1630" spans="1:6" ht="12.75">
      <c r="A1630" s="6">
        <v>45630.342860092591</v>
      </c>
      <c r="B1630" s="7" t="s">
        <v>21</v>
      </c>
      <c r="C1630" s="5" t="str">
        <f>LEFT(Form_Responses1[[#This Row],[問１　あなたは何年生ですか。]],3)</f>
        <v>小学校</v>
      </c>
      <c r="D1630" s="7" t="s">
        <v>1271</v>
      </c>
      <c r="E1630" s="7" t="s">
        <v>10</v>
      </c>
      <c r="F1630" s="8"/>
    </row>
    <row r="1631" spans="1:6" ht="12.75">
      <c r="A1631" s="6">
        <v>45630.343438206022</v>
      </c>
      <c r="B1631" s="7" t="s">
        <v>21</v>
      </c>
      <c r="C1631" s="5" t="str">
        <f>LEFT(Form_Responses1[[#This Row],[問１　あなたは何年生ですか。]],3)</f>
        <v>小学校</v>
      </c>
      <c r="D1631" s="7" t="s">
        <v>6</v>
      </c>
      <c r="E1631" s="7" t="s">
        <v>10</v>
      </c>
      <c r="F1631" s="7" t="s">
        <v>1272</v>
      </c>
    </row>
    <row r="1632" spans="1:6" ht="12.75">
      <c r="A1632" s="6">
        <v>45630.344271087961</v>
      </c>
      <c r="B1632" s="7" t="s">
        <v>21</v>
      </c>
      <c r="C1632" s="5" t="str">
        <f>LEFT(Form_Responses1[[#This Row],[問１　あなたは何年生ですか。]],3)</f>
        <v>小学校</v>
      </c>
      <c r="D1632" s="7" t="s">
        <v>6</v>
      </c>
      <c r="E1632" s="7" t="s">
        <v>7</v>
      </c>
      <c r="F1632" s="7" t="s">
        <v>1273</v>
      </c>
    </row>
    <row r="1633" spans="1:6" ht="12.75">
      <c r="A1633" s="6">
        <v>45630.344378935188</v>
      </c>
      <c r="B1633" s="7" t="s">
        <v>21</v>
      </c>
      <c r="C1633" s="5" t="str">
        <f>LEFT(Form_Responses1[[#This Row],[問１　あなたは何年生ですか。]],3)</f>
        <v>小学校</v>
      </c>
      <c r="D1633" s="7" t="s">
        <v>6</v>
      </c>
      <c r="E1633" s="7" t="s">
        <v>10</v>
      </c>
      <c r="F1633" s="7" t="s">
        <v>1274</v>
      </c>
    </row>
    <row r="1634" spans="1:6" ht="12.75">
      <c r="A1634" s="6">
        <v>45630.345404085645</v>
      </c>
      <c r="B1634" s="7" t="s">
        <v>21</v>
      </c>
      <c r="C1634" s="5" t="str">
        <f>LEFT(Form_Responses1[[#This Row],[問１　あなたは何年生ですか。]],3)</f>
        <v>小学校</v>
      </c>
      <c r="D1634" s="7" t="s">
        <v>6</v>
      </c>
      <c r="E1634" s="7" t="s">
        <v>10</v>
      </c>
      <c r="F1634" s="7" t="s">
        <v>1275</v>
      </c>
    </row>
    <row r="1635" spans="1:6" ht="12.75">
      <c r="A1635" s="6">
        <v>45630.347359606487</v>
      </c>
      <c r="B1635" s="7" t="s">
        <v>21</v>
      </c>
      <c r="C1635" s="5" t="str">
        <f>LEFT(Form_Responses1[[#This Row],[問１　あなたは何年生ですか。]],3)</f>
        <v>小学校</v>
      </c>
      <c r="D1635" s="7" t="s">
        <v>1276</v>
      </c>
      <c r="E1635" s="7" t="s">
        <v>10</v>
      </c>
      <c r="F1635" s="7" t="s">
        <v>1277</v>
      </c>
    </row>
    <row r="1636" spans="1:6" ht="12.75">
      <c r="A1636" s="6">
        <v>45630.348802002314</v>
      </c>
      <c r="B1636" s="7" t="s">
        <v>21</v>
      </c>
      <c r="C1636" s="5" t="str">
        <f>LEFT(Form_Responses1[[#This Row],[問１　あなたは何年生ですか。]],3)</f>
        <v>小学校</v>
      </c>
      <c r="D1636" s="7" t="s">
        <v>22</v>
      </c>
      <c r="E1636" s="7" t="s">
        <v>10</v>
      </c>
      <c r="F1636" s="7" t="s">
        <v>1278</v>
      </c>
    </row>
    <row r="1637" spans="1:6" ht="12.75">
      <c r="A1637" s="6">
        <v>45630.349164942134</v>
      </c>
      <c r="B1637" s="7" t="s">
        <v>21</v>
      </c>
      <c r="C1637" s="5" t="str">
        <f>LEFT(Form_Responses1[[#This Row],[問１　あなたは何年生ですか。]],3)</f>
        <v>小学校</v>
      </c>
      <c r="D1637" s="7" t="s">
        <v>12</v>
      </c>
      <c r="E1637" s="7" t="s">
        <v>10</v>
      </c>
      <c r="F1637" s="7" t="s">
        <v>1279</v>
      </c>
    </row>
    <row r="1638" spans="1:6" ht="12.75">
      <c r="A1638" s="6">
        <v>45630.350722372685</v>
      </c>
      <c r="B1638" s="7" t="s">
        <v>11</v>
      </c>
      <c r="C1638" s="5" t="str">
        <f>LEFT(Form_Responses1[[#This Row],[問１　あなたは何年生ですか。]],3)</f>
        <v>小学校</v>
      </c>
      <c r="D1638" s="7" t="s">
        <v>9</v>
      </c>
      <c r="E1638" s="7" t="s">
        <v>7</v>
      </c>
      <c r="F1638" s="7" t="s">
        <v>1280</v>
      </c>
    </row>
    <row r="1639" spans="1:6" ht="12.75">
      <c r="A1639" s="6">
        <v>45630.372197268516</v>
      </c>
      <c r="B1639" s="7" t="s">
        <v>21</v>
      </c>
      <c r="C1639" s="5" t="str">
        <f>LEFT(Form_Responses1[[#This Row],[問１　あなたは何年生ですか。]],3)</f>
        <v>小学校</v>
      </c>
      <c r="D1639" s="7" t="s">
        <v>6</v>
      </c>
      <c r="E1639" s="7" t="s">
        <v>10</v>
      </c>
      <c r="F1639" s="7" t="s">
        <v>235</v>
      </c>
    </row>
    <row r="1640" spans="1:6" ht="12.75">
      <c r="A1640" s="6">
        <v>45630.373824421295</v>
      </c>
      <c r="B1640" s="7" t="s">
        <v>8</v>
      </c>
      <c r="C1640" s="5" t="str">
        <f>LEFT(Form_Responses1[[#This Row],[問１　あなたは何年生ですか。]],3)</f>
        <v>小学校</v>
      </c>
      <c r="D1640" s="7" t="s">
        <v>6</v>
      </c>
      <c r="E1640" s="7" t="s">
        <v>10</v>
      </c>
      <c r="F1640" s="8"/>
    </row>
    <row r="1641" spans="1:6" ht="12.75">
      <c r="A1641" s="6">
        <v>45630.373826817129</v>
      </c>
      <c r="B1641" s="7" t="s">
        <v>8</v>
      </c>
      <c r="C1641" s="5" t="str">
        <f>LEFT(Form_Responses1[[#This Row],[問１　あなたは何年生ですか。]],3)</f>
        <v>小学校</v>
      </c>
      <c r="D1641" s="7" t="s">
        <v>6</v>
      </c>
      <c r="E1641" s="7" t="s">
        <v>7</v>
      </c>
      <c r="F1641" s="8"/>
    </row>
    <row r="1642" spans="1:6" ht="12.75">
      <c r="A1642" s="6">
        <v>45630.37382753472</v>
      </c>
      <c r="B1642" s="7" t="s">
        <v>8</v>
      </c>
      <c r="C1642" s="5" t="str">
        <f>LEFT(Form_Responses1[[#This Row],[問１　あなたは何年生ですか。]],3)</f>
        <v>小学校</v>
      </c>
      <c r="D1642" s="7" t="s">
        <v>6</v>
      </c>
      <c r="E1642" s="7" t="s">
        <v>10</v>
      </c>
      <c r="F1642" s="8"/>
    </row>
    <row r="1643" spans="1:6" ht="12.75">
      <c r="A1643" s="6">
        <v>45630.37382956018</v>
      </c>
      <c r="B1643" s="7" t="s">
        <v>8</v>
      </c>
      <c r="C1643" s="5" t="str">
        <f>LEFT(Form_Responses1[[#This Row],[問１　あなたは何年生ですか。]],3)</f>
        <v>小学校</v>
      </c>
      <c r="D1643" s="7" t="s">
        <v>24</v>
      </c>
      <c r="E1643" s="7" t="s">
        <v>10</v>
      </c>
      <c r="F1643" s="8"/>
    </row>
    <row r="1644" spans="1:6" ht="12.75">
      <c r="A1644" s="6">
        <v>45630.373832384255</v>
      </c>
      <c r="B1644" s="7" t="s">
        <v>8</v>
      </c>
      <c r="C1644" s="5" t="str">
        <f>LEFT(Form_Responses1[[#This Row],[問１　あなたは何年生ですか。]],3)</f>
        <v>小学校</v>
      </c>
      <c r="D1644" s="7" t="s">
        <v>6</v>
      </c>
      <c r="E1644" s="7" t="s">
        <v>7</v>
      </c>
      <c r="F1644" s="8"/>
    </row>
    <row r="1645" spans="1:6" ht="12.75">
      <c r="A1645" s="6">
        <v>45630.373832939818</v>
      </c>
      <c r="B1645" s="7" t="s">
        <v>8</v>
      </c>
      <c r="C1645" s="5" t="str">
        <f>LEFT(Form_Responses1[[#This Row],[問１　あなたは何年生ですか。]],3)</f>
        <v>小学校</v>
      </c>
      <c r="D1645" s="7" t="s">
        <v>6</v>
      </c>
      <c r="E1645" s="7" t="s">
        <v>7</v>
      </c>
      <c r="F1645" s="8"/>
    </row>
    <row r="1646" spans="1:6" ht="12.75">
      <c r="A1646" s="6">
        <v>45630.373835787039</v>
      </c>
      <c r="B1646" s="7" t="s">
        <v>8</v>
      </c>
      <c r="C1646" s="5" t="str">
        <f>LEFT(Form_Responses1[[#This Row],[問１　あなたは何年生ですか。]],3)</f>
        <v>小学校</v>
      </c>
      <c r="D1646" s="7" t="s">
        <v>6</v>
      </c>
      <c r="E1646" s="7" t="s">
        <v>7</v>
      </c>
      <c r="F1646" s="8"/>
    </row>
    <row r="1647" spans="1:6" ht="12.75">
      <c r="A1647" s="6">
        <v>45630.373843321759</v>
      </c>
      <c r="B1647" s="7" t="s">
        <v>8</v>
      </c>
      <c r="C1647" s="5" t="str">
        <f>LEFT(Form_Responses1[[#This Row],[問１　あなたは何年生ですか。]],3)</f>
        <v>小学校</v>
      </c>
      <c r="D1647" s="7" t="s">
        <v>24</v>
      </c>
      <c r="E1647" s="7" t="s">
        <v>7</v>
      </c>
      <c r="F1647" s="8"/>
    </row>
    <row r="1648" spans="1:6" ht="12.75">
      <c r="A1648" s="6">
        <v>45630.373849062496</v>
      </c>
      <c r="B1648" s="7" t="s">
        <v>8</v>
      </c>
      <c r="C1648" s="5" t="str">
        <f>LEFT(Form_Responses1[[#This Row],[問１　あなたは何年生ですか。]],3)</f>
        <v>小学校</v>
      </c>
      <c r="D1648" s="7" t="s">
        <v>6</v>
      </c>
      <c r="E1648" s="7" t="s">
        <v>10</v>
      </c>
      <c r="F1648" s="8"/>
    </row>
    <row r="1649" spans="1:6" ht="12.75">
      <c r="A1649" s="6">
        <v>45630.373857662038</v>
      </c>
      <c r="B1649" s="7" t="s">
        <v>8</v>
      </c>
      <c r="C1649" s="5" t="str">
        <f>LEFT(Form_Responses1[[#This Row],[問１　あなたは何年生ですか。]],3)</f>
        <v>小学校</v>
      </c>
      <c r="D1649" s="7" t="s">
        <v>24</v>
      </c>
      <c r="E1649" s="7" t="s">
        <v>7</v>
      </c>
      <c r="F1649" s="8"/>
    </row>
    <row r="1650" spans="1:6" ht="12.75">
      <c r="A1650" s="6">
        <v>45630.373865474539</v>
      </c>
      <c r="B1650" s="7" t="s">
        <v>8</v>
      </c>
      <c r="C1650" s="5" t="str">
        <f>LEFT(Form_Responses1[[#This Row],[問１　あなたは何年生ですか。]],3)</f>
        <v>小学校</v>
      </c>
      <c r="D1650" s="7" t="s">
        <v>6</v>
      </c>
      <c r="E1650" s="7" t="s">
        <v>7</v>
      </c>
      <c r="F1650" s="8"/>
    </row>
    <row r="1651" spans="1:6" ht="12.75">
      <c r="A1651" s="6">
        <v>45630.373865821763</v>
      </c>
      <c r="B1651" s="7" t="s">
        <v>8</v>
      </c>
      <c r="C1651" s="5" t="str">
        <f>LEFT(Form_Responses1[[#This Row],[問１　あなたは何年生ですか。]],3)</f>
        <v>小学校</v>
      </c>
      <c r="D1651" s="7" t="s">
        <v>6</v>
      </c>
      <c r="E1651" s="7" t="s">
        <v>10</v>
      </c>
      <c r="F1651" s="8"/>
    </row>
    <row r="1652" spans="1:6" ht="12.75">
      <c r="A1652" s="6">
        <v>45630.373900833336</v>
      </c>
      <c r="B1652" s="7" t="s">
        <v>8</v>
      </c>
      <c r="C1652" s="5" t="str">
        <f>LEFT(Form_Responses1[[#This Row],[問１　あなたは何年生ですか。]],3)</f>
        <v>小学校</v>
      </c>
      <c r="D1652" s="7" t="s">
        <v>6</v>
      </c>
      <c r="E1652" s="7" t="s">
        <v>7</v>
      </c>
      <c r="F1652" s="8"/>
    </row>
    <row r="1653" spans="1:6" ht="12.75">
      <c r="A1653" s="6">
        <v>45630.373908055553</v>
      </c>
      <c r="B1653" s="7" t="s">
        <v>8</v>
      </c>
      <c r="C1653" s="5" t="str">
        <f>LEFT(Form_Responses1[[#This Row],[問１　あなたは何年生ですか。]],3)</f>
        <v>小学校</v>
      </c>
      <c r="D1653" s="7" t="s">
        <v>24</v>
      </c>
      <c r="E1653" s="7" t="s">
        <v>7</v>
      </c>
      <c r="F1653" s="8"/>
    </row>
    <row r="1654" spans="1:6" ht="12.75">
      <c r="A1654" s="6">
        <v>45630.373993159723</v>
      </c>
      <c r="B1654" s="7" t="s">
        <v>8</v>
      </c>
      <c r="C1654" s="5" t="str">
        <f>LEFT(Form_Responses1[[#This Row],[問１　あなたは何年生ですか。]],3)</f>
        <v>小学校</v>
      </c>
      <c r="D1654" s="7" t="s">
        <v>6</v>
      </c>
      <c r="E1654" s="7" t="s">
        <v>7</v>
      </c>
      <c r="F1654" s="8"/>
    </row>
    <row r="1655" spans="1:6" ht="12.75">
      <c r="A1655" s="6">
        <v>45630.374071423612</v>
      </c>
      <c r="B1655" s="7" t="s">
        <v>8</v>
      </c>
      <c r="C1655" s="5" t="str">
        <f>LEFT(Form_Responses1[[#This Row],[問１　あなたは何年生ですか。]],3)</f>
        <v>小学校</v>
      </c>
      <c r="D1655" s="7" t="s">
        <v>22</v>
      </c>
      <c r="E1655" s="7" t="s">
        <v>7</v>
      </c>
      <c r="F1655" s="8"/>
    </row>
    <row r="1656" spans="1:6" ht="12.75">
      <c r="A1656" s="6">
        <v>45630.374113726852</v>
      </c>
      <c r="B1656" s="7" t="s">
        <v>8</v>
      </c>
      <c r="C1656" s="5" t="str">
        <f>LEFT(Form_Responses1[[#This Row],[問１　あなたは何年生ですか。]],3)</f>
        <v>小学校</v>
      </c>
      <c r="D1656" s="7" t="s">
        <v>22</v>
      </c>
      <c r="E1656" s="7" t="s">
        <v>7</v>
      </c>
      <c r="F1656" s="8"/>
    </row>
    <row r="1657" spans="1:6" ht="12.75">
      <c r="A1657" s="6">
        <v>45630.378728159718</v>
      </c>
      <c r="B1657" s="7" t="s">
        <v>21</v>
      </c>
      <c r="C1657" s="5" t="str">
        <f>LEFT(Form_Responses1[[#This Row],[問１　あなたは何年生ですか。]],3)</f>
        <v>小学校</v>
      </c>
      <c r="D1657" s="7" t="s">
        <v>6</v>
      </c>
      <c r="E1657" s="7" t="s">
        <v>10</v>
      </c>
      <c r="F1657" s="7" t="s">
        <v>1281</v>
      </c>
    </row>
    <row r="1658" spans="1:6" ht="12.75">
      <c r="A1658" s="6">
        <v>45630.379086863424</v>
      </c>
      <c r="B1658" s="7" t="s">
        <v>13</v>
      </c>
      <c r="C1658" s="5" t="str">
        <f>LEFT(Form_Responses1[[#This Row],[問１　あなたは何年生ですか。]],3)</f>
        <v>小学校</v>
      </c>
      <c r="D1658" s="7" t="s">
        <v>6</v>
      </c>
      <c r="E1658" s="7" t="s">
        <v>10</v>
      </c>
      <c r="F1658" s="8"/>
    </row>
    <row r="1659" spans="1:6" ht="12.75">
      <c r="A1659" s="6">
        <v>45630.380456481478</v>
      </c>
      <c r="B1659" s="7" t="s">
        <v>21</v>
      </c>
      <c r="C1659" s="5" t="str">
        <f>LEFT(Form_Responses1[[#This Row],[問１　あなたは何年生ですか。]],3)</f>
        <v>小学校</v>
      </c>
      <c r="D1659" s="7" t="s">
        <v>12</v>
      </c>
      <c r="E1659" s="7" t="s">
        <v>7</v>
      </c>
      <c r="F1659" s="7" t="s">
        <v>1282</v>
      </c>
    </row>
    <row r="1660" spans="1:6" ht="12.75">
      <c r="A1660" s="6">
        <v>45630.385331504629</v>
      </c>
      <c r="B1660" s="7" t="s">
        <v>8</v>
      </c>
      <c r="C1660" s="5" t="str">
        <f>LEFT(Form_Responses1[[#This Row],[問１　あなたは何年生ですか。]],3)</f>
        <v>小学校</v>
      </c>
      <c r="D1660" s="7" t="s">
        <v>12</v>
      </c>
      <c r="E1660" s="7" t="s">
        <v>10</v>
      </c>
      <c r="F1660" s="8"/>
    </row>
    <row r="1661" spans="1:6" ht="12.75">
      <c r="A1661" s="6">
        <v>45630.395806168977</v>
      </c>
      <c r="B1661" s="7" t="s">
        <v>23</v>
      </c>
      <c r="C1661" s="5" t="str">
        <f>LEFT(Form_Responses1[[#This Row],[問１　あなたは何年生ですか。]],3)</f>
        <v>小学校</v>
      </c>
      <c r="D1661" s="7" t="s">
        <v>6</v>
      </c>
      <c r="E1661" s="7" t="s">
        <v>10</v>
      </c>
      <c r="F1661" s="7" t="s">
        <v>1283</v>
      </c>
    </row>
    <row r="1662" spans="1:6" ht="12.75">
      <c r="A1662" s="6">
        <v>45630.399620810189</v>
      </c>
      <c r="B1662" s="7" t="s">
        <v>289</v>
      </c>
      <c r="C1662" s="5" t="str">
        <f>LEFT(Form_Responses1[[#This Row],[問１　あなたは何年生ですか。]],3)</f>
        <v>小学校</v>
      </c>
      <c r="D1662" s="7" t="s">
        <v>6</v>
      </c>
      <c r="E1662" s="7" t="s">
        <v>7</v>
      </c>
      <c r="F1662" s="7" t="s">
        <v>1284</v>
      </c>
    </row>
    <row r="1663" spans="1:6" ht="12.75">
      <c r="A1663" s="6">
        <v>45630.416649942126</v>
      </c>
      <c r="B1663" s="7" t="s">
        <v>289</v>
      </c>
      <c r="C1663" s="5" t="str">
        <f>LEFT(Form_Responses1[[#This Row],[問１　あなたは何年生ですか。]],3)</f>
        <v>小学校</v>
      </c>
      <c r="D1663" s="7" t="s">
        <v>1285</v>
      </c>
      <c r="E1663" s="7" t="s">
        <v>7</v>
      </c>
      <c r="F1663" s="8"/>
    </row>
    <row r="1664" spans="1:6" ht="12.75">
      <c r="A1664" s="6">
        <v>45630.420422407406</v>
      </c>
      <c r="B1664" s="7" t="s">
        <v>23</v>
      </c>
      <c r="C1664" s="5" t="str">
        <f>LEFT(Form_Responses1[[#This Row],[問１　あなたは何年生ですか。]],3)</f>
        <v>小学校</v>
      </c>
      <c r="D1664" s="7" t="s">
        <v>6</v>
      </c>
      <c r="E1664" s="7" t="s">
        <v>10</v>
      </c>
      <c r="F1664" s="8"/>
    </row>
    <row r="1665" spans="1:6" ht="12.75">
      <c r="A1665" s="6">
        <v>45630.442747604167</v>
      </c>
      <c r="B1665" s="7" t="s">
        <v>11</v>
      </c>
      <c r="C1665" s="5" t="str">
        <f>LEFT(Form_Responses1[[#This Row],[問１　あなたは何年生ですか。]],3)</f>
        <v>小学校</v>
      </c>
      <c r="D1665" s="7" t="s">
        <v>12</v>
      </c>
      <c r="E1665" s="7" t="s">
        <v>7</v>
      </c>
      <c r="F1665" s="7" t="s">
        <v>1286</v>
      </c>
    </row>
    <row r="1666" spans="1:6" ht="12.75">
      <c r="A1666" s="6">
        <v>45630.449022858797</v>
      </c>
      <c r="B1666" s="7" t="s">
        <v>11</v>
      </c>
      <c r="C1666" s="5" t="str">
        <f>LEFT(Form_Responses1[[#This Row],[問１　あなたは何年生ですか。]],3)</f>
        <v>小学校</v>
      </c>
      <c r="D1666" s="7" t="s">
        <v>9</v>
      </c>
      <c r="E1666" s="7" t="s">
        <v>10</v>
      </c>
      <c r="F1666" s="7" t="s">
        <v>1287</v>
      </c>
    </row>
    <row r="1667" spans="1:6" ht="12.75">
      <c r="A1667" s="6">
        <v>45630.486378622685</v>
      </c>
      <c r="B1667" s="7" t="s">
        <v>289</v>
      </c>
      <c r="C1667" s="5" t="str">
        <f>LEFT(Form_Responses1[[#This Row],[問１　あなたは何年生ですか。]],3)</f>
        <v>小学校</v>
      </c>
      <c r="D1667" s="7" t="s">
        <v>19</v>
      </c>
      <c r="E1667" s="7" t="s">
        <v>15</v>
      </c>
      <c r="F1667" s="7" t="s">
        <v>1288</v>
      </c>
    </row>
    <row r="1668" spans="1:6" ht="12.75">
      <c r="A1668" s="6">
        <v>45630.486715983796</v>
      </c>
      <c r="B1668" s="7" t="s">
        <v>289</v>
      </c>
      <c r="C1668" s="5" t="str">
        <f>LEFT(Form_Responses1[[#This Row],[問１　あなたは何年生ですか。]],3)</f>
        <v>小学校</v>
      </c>
      <c r="D1668" s="7" t="s">
        <v>19</v>
      </c>
      <c r="E1668" s="7" t="s">
        <v>10</v>
      </c>
      <c r="F1668" s="7" t="s">
        <v>1289</v>
      </c>
    </row>
    <row r="1669" spans="1:6" ht="12.75">
      <c r="A1669" s="6">
        <v>45630.486816192133</v>
      </c>
      <c r="B1669" s="7" t="s">
        <v>289</v>
      </c>
      <c r="C1669" s="5" t="str">
        <f>LEFT(Form_Responses1[[#This Row],[問１　あなたは何年生ですか。]],3)</f>
        <v>小学校</v>
      </c>
      <c r="D1669" s="7" t="s">
        <v>24</v>
      </c>
      <c r="E1669" s="7" t="s">
        <v>10</v>
      </c>
      <c r="F1669" s="7" t="s">
        <v>1290</v>
      </c>
    </row>
    <row r="1670" spans="1:6" ht="12.75">
      <c r="A1670" s="6">
        <v>45630.486874259259</v>
      </c>
      <c r="B1670" s="7" t="s">
        <v>289</v>
      </c>
      <c r="C1670" s="5" t="str">
        <f>LEFT(Form_Responses1[[#This Row],[問１　あなたは何年生ですか。]],3)</f>
        <v>小学校</v>
      </c>
      <c r="D1670" s="7" t="s">
        <v>19</v>
      </c>
      <c r="E1670" s="7" t="s">
        <v>7</v>
      </c>
      <c r="F1670" s="7" t="s">
        <v>1291</v>
      </c>
    </row>
    <row r="1671" spans="1:6" ht="12.75">
      <c r="A1671" s="6">
        <v>45630.487006527779</v>
      </c>
      <c r="B1671" s="7" t="s">
        <v>289</v>
      </c>
      <c r="C1671" s="5" t="str">
        <f>LEFT(Form_Responses1[[#This Row],[問１　あなたは何年生ですか。]],3)</f>
        <v>小学校</v>
      </c>
      <c r="D1671" s="7" t="s">
        <v>24</v>
      </c>
      <c r="E1671" s="7" t="s">
        <v>10</v>
      </c>
      <c r="F1671" s="7" t="s">
        <v>1292</v>
      </c>
    </row>
    <row r="1672" spans="1:6" ht="12.75">
      <c r="A1672" s="6">
        <v>45630.487046944443</v>
      </c>
      <c r="B1672" s="7" t="s">
        <v>289</v>
      </c>
      <c r="C1672" s="5" t="str">
        <f>LEFT(Form_Responses1[[#This Row],[問１　あなたは何年生ですか。]],3)</f>
        <v>小学校</v>
      </c>
      <c r="D1672" s="7" t="s">
        <v>1293</v>
      </c>
      <c r="E1672" s="7" t="s">
        <v>10</v>
      </c>
      <c r="F1672" s="7" t="s">
        <v>1294</v>
      </c>
    </row>
    <row r="1673" spans="1:6" ht="12.75">
      <c r="A1673" s="6">
        <v>45630.487065393521</v>
      </c>
      <c r="B1673" s="7" t="s">
        <v>289</v>
      </c>
      <c r="C1673" s="5" t="str">
        <f>LEFT(Form_Responses1[[#This Row],[問１　あなたは何年生ですか。]],3)</f>
        <v>小学校</v>
      </c>
      <c r="D1673" s="7" t="s">
        <v>6</v>
      </c>
      <c r="E1673" s="7" t="s">
        <v>7</v>
      </c>
      <c r="F1673" s="7" t="s">
        <v>1295</v>
      </c>
    </row>
    <row r="1674" spans="1:6" ht="12.75">
      <c r="A1674" s="6">
        <v>45630.48709166667</v>
      </c>
      <c r="B1674" s="7" t="s">
        <v>289</v>
      </c>
      <c r="C1674" s="5" t="str">
        <f>LEFT(Form_Responses1[[#This Row],[問１　あなたは何年生ですか。]],3)</f>
        <v>小学校</v>
      </c>
      <c r="D1674" s="7" t="s">
        <v>24</v>
      </c>
      <c r="E1674" s="7" t="s">
        <v>10</v>
      </c>
      <c r="F1674" s="7" t="s">
        <v>1292</v>
      </c>
    </row>
    <row r="1675" spans="1:6" ht="12.75">
      <c r="A1675" s="6">
        <v>45630.487721898149</v>
      </c>
      <c r="B1675" s="7" t="s">
        <v>289</v>
      </c>
      <c r="C1675" s="5" t="str">
        <f>LEFT(Form_Responses1[[#This Row],[問１　あなたは何年生ですか。]],3)</f>
        <v>小学校</v>
      </c>
      <c r="D1675" s="7" t="s">
        <v>1296</v>
      </c>
      <c r="E1675" s="7" t="s">
        <v>15</v>
      </c>
      <c r="F1675" s="7" t="s">
        <v>1297</v>
      </c>
    </row>
    <row r="1676" spans="1:6" ht="12.75">
      <c r="A1676" s="6">
        <v>45630.487745787032</v>
      </c>
      <c r="B1676" s="7" t="s">
        <v>289</v>
      </c>
      <c r="C1676" s="5" t="str">
        <f>LEFT(Form_Responses1[[#This Row],[問１　あなたは何年生ですか。]],3)</f>
        <v>小学校</v>
      </c>
      <c r="D1676" s="7" t="s">
        <v>24</v>
      </c>
      <c r="E1676" s="7" t="s">
        <v>10</v>
      </c>
      <c r="F1676" s="7" t="s">
        <v>1298</v>
      </c>
    </row>
    <row r="1677" spans="1:6" ht="12.75">
      <c r="A1677" s="6">
        <v>45630.487829942125</v>
      </c>
      <c r="B1677" s="7" t="s">
        <v>289</v>
      </c>
      <c r="C1677" s="5" t="str">
        <f>LEFT(Form_Responses1[[#This Row],[問１　あなたは何年生ですか。]],3)</f>
        <v>小学校</v>
      </c>
      <c r="D1677" s="7" t="s">
        <v>12</v>
      </c>
      <c r="E1677" s="7" t="s">
        <v>10</v>
      </c>
      <c r="F1677" s="7" t="s">
        <v>1299</v>
      </c>
    </row>
    <row r="1678" spans="1:6" ht="12.75">
      <c r="A1678" s="6">
        <v>45630.487884756949</v>
      </c>
      <c r="B1678" s="7" t="s">
        <v>289</v>
      </c>
      <c r="C1678" s="5" t="str">
        <f>LEFT(Form_Responses1[[#This Row],[問１　あなたは何年生ですか。]],3)</f>
        <v>小学校</v>
      </c>
      <c r="D1678" s="7" t="s">
        <v>6</v>
      </c>
      <c r="E1678" s="7" t="s">
        <v>10</v>
      </c>
      <c r="F1678" s="7" t="s">
        <v>1300</v>
      </c>
    </row>
    <row r="1679" spans="1:6" ht="12.75">
      <c r="A1679" s="6">
        <v>45630.487905300921</v>
      </c>
      <c r="B1679" s="7" t="s">
        <v>289</v>
      </c>
      <c r="C1679" s="5" t="str">
        <f>LEFT(Form_Responses1[[#This Row],[問１　あなたは何年生ですか。]],3)</f>
        <v>小学校</v>
      </c>
      <c r="D1679" s="7" t="s">
        <v>6</v>
      </c>
      <c r="E1679" s="7" t="s">
        <v>7</v>
      </c>
      <c r="F1679" s="7" t="s">
        <v>1301</v>
      </c>
    </row>
    <row r="1680" spans="1:6" ht="12.75">
      <c r="A1680" s="6">
        <v>45630.488095393521</v>
      </c>
      <c r="B1680" s="7" t="s">
        <v>289</v>
      </c>
      <c r="C1680" s="5" t="str">
        <f>LEFT(Form_Responses1[[#This Row],[問１　あなたは何年生ですか。]],3)</f>
        <v>小学校</v>
      </c>
      <c r="D1680" s="7" t="s">
        <v>6</v>
      </c>
      <c r="E1680" s="7" t="s">
        <v>10</v>
      </c>
      <c r="F1680" s="7" t="s">
        <v>1302</v>
      </c>
    </row>
    <row r="1681" spans="1:6" ht="12.75">
      <c r="A1681" s="6">
        <v>45630.488143287039</v>
      </c>
      <c r="B1681" s="7" t="s">
        <v>289</v>
      </c>
      <c r="C1681" s="5" t="str">
        <f>LEFT(Form_Responses1[[#This Row],[問１　あなたは何年生ですか。]],3)</f>
        <v>小学校</v>
      </c>
      <c r="D1681" s="7" t="s">
        <v>24</v>
      </c>
      <c r="E1681" s="7" t="s">
        <v>10</v>
      </c>
      <c r="F1681" s="7" t="s">
        <v>1303</v>
      </c>
    </row>
    <row r="1682" spans="1:6" ht="12.75">
      <c r="A1682" s="6">
        <v>45630.488262986109</v>
      </c>
      <c r="B1682" s="7" t="s">
        <v>289</v>
      </c>
      <c r="C1682" s="5" t="str">
        <f>LEFT(Form_Responses1[[#This Row],[問１　あなたは何年生ですか。]],3)</f>
        <v>小学校</v>
      </c>
      <c r="D1682" s="7" t="s">
        <v>19</v>
      </c>
      <c r="E1682" s="7" t="s">
        <v>15</v>
      </c>
      <c r="F1682" s="7" t="s">
        <v>1304</v>
      </c>
    </row>
    <row r="1683" spans="1:6" ht="12.75">
      <c r="A1683" s="6">
        <v>45630.488289375004</v>
      </c>
      <c r="B1683" s="7" t="s">
        <v>289</v>
      </c>
      <c r="C1683" s="5" t="str">
        <f>LEFT(Form_Responses1[[#This Row],[問１　あなたは何年生ですか。]],3)</f>
        <v>小学校</v>
      </c>
      <c r="D1683" s="7" t="s">
        <v>24</v>
      </c>
      <c r="E1683" s="7" t="s">
        <v>10</v>
      </c>
      <c r="F1683" s="7" t="s">
        <v>747</v>
      </c>
    </row>
    <row r="1684" spans="1:6" ht="12.75">
      <c r="A1684" s="6">
        <v>45630.488739398148</v>
      </c>
      <c r="B1684" s="7" t="s">
        <v>289</v>
      </c>
      <c r="C1684" s="5" t="str">
        <f>LEFT(Form_Responses1[[#This Row],[問１　あなたは何年生ですか。]],3)</f>
        <v>小学校</v>
      </c>
      <c r="D1684" s="7" t="s">
        <v>1305</v>
      </c>
      <c r="E1684" s="7" t="s">
        <v>10</v>
      </c>
      <c r="F1684" s="7" t="s">
        <v>1306</v>
      </c>
    </row>
    <row r="1685" spans="1:6" ht="12.75">
      <c r="A1685" s="6">
        <v>45630.488808668983</v>
      </c>
      <c r="B1685" s="7" t="s">
        <v>289</v>
      </c>
      <c r="C1685" s="5" t="str">
        <f>LEFT(Form_Responses1[[#This Row],[問１　あなたは何年生ですか。]],3)</f>
        <v>小学校</v>
      </c>
      <c r="D1685" s="7" t="s">
        <v>1307</v>
      </c>
      <c r="E1685" s="7" t="s">
        <v>7</v>
      </c>
      <c r="F1685" s="7" t="s">
        <v>1308</v>
      </c>
    </row>
    <row r="1686" spans="1:6" ht="12.75">
      <c r="A1686" s="6">
        <v>45630.489048738425</v>
      </c>
      <c r="B1686" s="7" t="s">
        <v>289</v>
      </c>
      <c r="C1686" s="5" t="str">
        <f>LEFT(Form_Responses1[[#This Row],[問１　あなたは何年生ですか。]],3)</f>
        <v>小学校</v>
      </c>
      <c r="D1686" s="7" t="s">
        <v>24</v>
      </c>
      <c r="E1686" s="7" t="s">
        <v>10</v>
      </c>
      <c r="F1686" s="8"/>
    </row>
    <row r="1687" spans="1:6" ht="12.75">
      <c r="A1687" s="6">
        <v>45630.489326076393</v>
      </c>
      <c r="B1687" s="7" t="s">
        <v>289</v>
      </c>
      <c r="C1687" s="5" t="str">
        <f>LEFT(Form_Responses1[[#This Row],[問１　あなたは何年生ですか。]],3)</f>
        <v>小学校</v>
      </c>
      <c r="D1687" s="7" t="s">
        <v>6</v>
      </c>
      <c r="E1687" s="7" t="s">
        <v>10</v>
      </c>
      <c r="F1687" s="7" t="s">
        <v>1309</v>
      </c>
    </row>
    <row r="1688" spans="1:6" ht="12.75">
      <c r="A1688" s="6">
        <v>45630.489975960649</v>
      </c>
      <c r="B1688" s="7" t="s">
        <v>289</v>
      </c>
      <c r="C1688" s="5" t="str">
        <f>LEFT(Form_Responses1[[#This Row],[問１　あなたは何年生ですか。]],3)</f>
        <v>小学校</v>
      </c>
      <c r="D1688" s="7" t="s">
        <v>1310</v>
      </c>
      <c r="E1688" s="7" t="s">
        <v>10</v>
      </c>
      <c r="F1688" s="7" t="s">
        <v>1311</v>
      </c>
    </row>
    <row r="1689" spans="1:6" ht="12.75">
      <c r="A1689" s="6">
        <v>45630.490352361114</v>
      </c>
      <c r="B1689" s="7" t="s">
        <v>289</v>
      </c>
      <c r="C1689" s="5" t="str">
        <f>LEFT(Form_Responses1[[#This Row],[問１　あなたは何年生ですか。]],3)</f>
        <v>小学校</v>
      </c>
      <c r="D1689" s="7" t="s">
        <v>6</v>
      </c>
      <c r="E1689" s="7" t="s">
        <v>10</v>
      </c>
      <c r="F1689" s="7" t="s">
        <v>1312</v>
      </c>
    </row>
    <row r="1690" spans="1:6" ht="12.75">
      <c r="A1690" s="6">
        <v>45630.493937210646</v>
      </c>
      <c r="B1690" s="7" t="s">
        <v>8</v>
      </c>
      <c r="C1690" s="5" t="str">
        <f>LEFT(Form_Responses1[[#This Row],[問１　あなたは何年生ですか。]],3)</f>
        <v>小学校</v>
      </c>
      <c r="D1690" s="7" t="s">
        <v>6</v>
      </c>
      <c r="E1690" s="7" t="s">
        <v>10</v>
      </c>
      <c r="F1690" s="8"/>
    </row>
    <row r="1691" spans="1:6" ht="12.75">
      <c r="A1691" s="6">
        <v>45630.494449791666</v>
      </c>
      <c r="B1691" s="7" t="s">
        <v>8</v>
      </c>
      <c r="C1691" s="5" t="str">
        <f>LEFT(Form_Responses1[[#This Row],[問１　あなたは何年生ですか。]],3)</f>
        <v>小学校</v>
      </c>
      <c r="D1691" s="7" t="s">
        <v>6</v>
      </c>
      <c r="E1691" s="7" t="s">
        <v>7</v>
      </c>
      <c r="F1691" s="7" t="s">
        <v>1313</v>
      </c>
    </row>
    <row r="1692" spans="1:6" ht="12.75">
      <c r="A1692" s="6">
        <v>45630.494513854166</v>
      </c>
      <c r="B1692" s="7" t="s">
        <v>8</v>
      </c>
      <c r="C1692" s="5" t="str">
        <f>LEFT(Form_Responses1[[#This Row],[問１　あなたは何年生ですか。]],3)</f>
        <v>小学校</v>
      </c>
      <c r="D1692" s="7" t="s">
        <v>6</v>
      </c>
      <c r="E1692" s="7" t="s">
        <v>7</v>
      </c>
      <c r="F1692" s="7" t="s">
        <v>1314</v>
      </c>
    </row>
    <row r="1693" spans="1:6" ht="12.75">
      <c r="A1693" s="6">
        <v>45630.494690763888</v>
      </c>
      <c r="B1693" s="7" t="s">
        <v>8</v>
      </c>
      <c r="C1693" s="5" t="str">
        <f>LEFT(Form_Responses1[[#This Row],[問１　あなたは何年生ですか。]],3)</f>
        <v>小学校</v>
      </c>
      <c r="D1693" s="7" t="s">
        <v>24</v>
      </c>
      <c r="E1693" s="7" t="s">
        <v>10</v>
      </c>
      <c r="F1693" s="7" t="s">
        <v>1315</v>
      </c>
    </row>
    <row r="1694" spans="1:6" ht="12.75">
      <c r="A1694" s="6">
        <v>45630.494714432869</v>
      </c>
      <c r="B1694" s="7" t="s">
        <v>8</v>
      </c>
      <c r="C1694" s="5" t="str">
        <f>LEFT(Form_Responses1[[#This Row],[問１　あなたは何年生ですか。]],3)</f>
        <v>小学校</v>
      </c>
      <c r="D1694" s="7" t="s">
        <v>6</v>
      </c>
      <c r="E1694" s="7" t="s">
        <v>7</v>
      </c>
      <c r="F1694" s="7" t="s">
        <v>1316</v>
      </c>
    </row>
    <row r="1695" spans="1:6" ht="12.75">
      <c r="A1695" s="6">
        <v>45630.494757152774</v>
      </c>
      <c r="B1695" s="7" t="s">
        <v>8</v>
      </c>
      <c r="C1695" s="5" t="str">
        <f>LEFT(Form_Responses1[[#This Row],[問１　あなたは何年生ですか。]],3)</f>
        <v>小学校</v>
      </c>
      <c r="D1695" s="7" t="s">
        <v>6</v>
      </c>
      <c r="E1695" s="7" t="s">
        <v>7</v>
      </c>
      <c r="F1695" s="7" t="s">
        <v>1314</v>
      </c>
    </row>
    <row r="1696" spans="1:6" ht="12.75">
      <c r="A1696" s="6">
        <v>45630.494785856485</v>
      </c>
      <c r="B1696" s="7" t="s">
        <v>8</v>
      </c>
      <c r="C1696" s="5" t="str">
        <f>LEFT(Form_Responses1[[#This Row],[問１　あなたは何年生ですか。]],3)</f>
        <v>小学校</v>
      </c>
      <c r="D1696" s="7" t="s">
        <v>24</v>
      </c>
      <c r="E1696" s="7" t="s">
        <v>10</v>
      </c>
      <c r="F1696" s="7" t="s">
        <v>1317</v>
      </c>
    </row>
    <row r="1697" spans="1:6" ht="12.75">
      <c r="A1697" s="6">
        <v>45630.494810914352</v>
      </c>
      <c r="B1697" s="7" t="s">
        <v>8</v>
      </c>
      <c r="C1697" s="5" t="str">
        <f>LEFT(Form_Responses1[[#This Row],[問１　あなたは何年生ですか。]],3)</f>
        <v>小学校</v>
      </c>
      <c r="D1697" s="7" t="s">
        <v>12</v>
      </c>
      <c r="E1697" s="7" t="s">
        <v>10</v>
      </c>
      <c r="F1697" s="7" t="s">
        <v>1318</v>
      </c>
    </row>
    <row r="1698" spans="1:6" ht="12.75">
      <c r="A1698" s="6">
        <v>45630.494991886575</v>
      </c>
      <c r="B1698" s="7" t="s">
        <v>8</v>
      </c>
      <c r="C1698" s="5" t="str">
        <f>LEFT(Form_Responses1[[#This Row],[問１　あなたは何年生ですか。]],3)</f>
        <v>小学校</v>
      </c>
      <c r="D1698" s="7" t="s">
        <v>12</v>
      </c>
      <c r="E1698" s="7" t="s">
        <v>7</v>
      </c>
      <c r="F1698" s="7" t="s">
        <v>1319</v>
      </c>
    </row>
    <row r="1699" spans="1:6" ht="12.75">
      <c r="A1699" s="6">
        <v>45630.495145127315</v>
      </c>
      <c r="B1699" s="7" t="s">
        <v>8</v>
      </c>
      <c r="C1699" s="5" t="str">
        <f>LEFT(Form_Responses1[[#This Row],[問１　あなたは何年生ですか。]],3)</f>
        <v>小学校</v>
      </c>
      <c r="D1699" s="7" t="s">
        <v>6</v>
      </c>
      <c r="E1699" s="7" t="s">
        <v>10</v>
      </c>
      <c r="F1699" s="7">
        <v>9</v>
      </c>
    </row>
    <row r="1700" spans="1:6" ht="12.75">
      <c r="A1700" s="6">
        <v>45630.495187407403</v>
      </c>
      <c r="B1700" s="7" t="s">
        <v>8</v>
      </c>
      <c r="C1700" s="5" t="str">
        <f>LEFT(Form_Responses1[[#This Row],[問１　あなたは何年生ですか。]],3)</f>
        <v>小学校</v>
      </c>
      <c r="D1700" s="7" t="s">
        <v>6</v>
      </c>
      <c r="E1700" s="7" t="s">
        <v>10</v>
      </c>
      <c r="F1700" s="7" t="s">
        <v>1320</v>
      </c>
    </row>
    <row r="1701" spans="1:6" ht="12.75">
      <c r="A1701" s="6">
        <v>45630.495229259264</v>
      </c>
      <c r="B1701" s="7" t="s">
        <v>8</v>
      </c>
      <c r="C1701" s="5" t="str">
        <f>LEFT(Form_Responses1[[#This Row],[問１　あなたは何年生ですか。]],3)</f>
        <v>小学校</v>
      </c>
      <c r="D1701" s="7" t="s">
        <v>6</v>
      </c>
      <c r="E1701" s="7" t="s">
        <v>10</v>
      </c>
      <c r="F1701" s="7" t="s">
        <v>1314</v>
      </c>
    </row>
    <row r="1702" spans="1:6" ht="12.75">
      <c r="A1702" s="6">
        <v>45630.495383472226</v>
      </c>
      <c r="B1702" s="7" t="s">
        <v>8</v>
      </c>
      <c r="C1702" s="5" t="str">
        <f>LEFT(Form_Responses1[[#This Row],[問１　あなたは何年生ですか。]],3)</f>
        <v>小学校</v>
      </c>
      <c r="D1702" s="7" t="s">
        <v>6</v>
      </c>
      <c r="E1702" s="7" t="s">
        <v>7</v>
      </c>
      <c r="F1702" s="7" t="s">
        <v>1320</v>
      </c>
    </row>
    <row r="1703" spans="1:6" ht="12.75">
      <c r="A1703" s="6">
        <v>45630.495404155095</v>
      </c>
      <c r="B1703" s="7" t="s">
        <v>8</v>
      </c>
      <c r="C1703" s="5" t="str">
        <f>LEFT(Form_Responses1[[#This Row],[問１　あなたは何年生ですか。]],3)</f>
        <v>小学校</v>
      </c>
      <c r="D1703" s="7" t="s">
        <v>22</v>
      </c>
      <c r="E1703" s="7" t="s">
        <v>10</v>
      </c>
      <c r="F1703" s="7" t="s">
        <v>1321</v>
      </c>
    </row>
    <row r="1704" spans="1:6" ht="12.75">
      <c r="A1704" s="6">
        <v>45630.495445347224</v>
      </c>
      <c r="B1704" s="7" t="s">
        <v>8</v>
      </c>
      <c r="C1704" s="5" t="str">
        <f>LEFT(Form_Responses1[[#This Row],[問１　あなたは何年生ですか。]],3)</f>
        <v>小学校</v>
      </c>
      <c r="D1704" s="7" t="s">
        <v>6</v>
      </c>
      <c r="E1704" s="7" t="s">
        <v>7</v>
      </c>
      <c r="F1704" s="7" t="s">
        <v>1320</v>
      </c>
    </row>
    <row r="1705" spans="1:6" ht="12.75">
      <c r="A1705" s="6">
        <v>45630.495454236108</v>
      </c>
      <c r="B1705" s="7" t="s">
        <v>8</v>
      </c>
      <c r="C1705" s="5" t="str">
        <f>LEFT(Form_Responses1[[#This Row],[問１　あなたは何年生ですか。]],3)</f>
        <v>小学校</v>
      </c>
      <c r="D1705" s="7" t="s">
        <v>6</v>
      </c>
      <c r="E1705" s="7" t="s">
        <v>10</v>
      </c>
      <c r="F1705" s="8"/>
    </row>
    <row r="1706" spans="1:6" ht="12.75">
      <c r="A1706" s="6">
        <v>45630.495567546299</v>
      </c>
      <c r="B1706" s="7" t="s">
        <v>8</v>
      </c>
      <c r="C1706" s="5" t="str">
        <f>LEFT(Form_Responses1[[#This Row],[問１　あなたは何年生ですか。]],3)</f>
        <v>小学校</v>
      </c>
      <c r="D1706" s="7" t="s">
        <v>6</v>
      </c>
      <c r="E1706" s="7" t="s">
        <v>10</v>
      </c>
      <c r="F1706" s="7" t="s">
        <v>1322</v>
      </c>
    </row>
    <row r="1707" spans="1:6" ht="12.75">
      <c r="A1707" s="6">
        <v>45630.495826666665</v>
      </c>
      <c r="B1707" s="7" t="s">
        <v>8</v>
      </c>
      <c r="C1707" s="5" t="str">
        <f>LEFT(Form_Responses1[[#This Row],[問１　あなたは何年生ですか。]],3)</f>
        <v>小学校</v>
      </c>
      <c r="D1707" s="7" t="s">
        <v>6</v>
      </c>
      <c r="E1707" s="7" t="s">
        <v>10</v>
      </c>
      <c r="F1707" s="7" t="s">
        <v>1320</v>
      </c>
    </row>
    <row r="1708" spans="1:6" ht="12.75">
      <c r="A1708" s="6">
        <v>45630.495864097218</v>
      </c>
      <c r="B1708" s="7" t="s">
        <v>8</v>
      </c>
      <c r="C1708" s="5" t="str">
        <f>LEFT(Form_Responses1[[#This Row],[問１　あなたは何年生ですか。]],3)</f>
        <v>小学校</v>
      </c>
      <c r="D1708" s="7" t="s">
        <v>6</v>
      </c>
      <c r="E1708" s="7" t="s">
        <v>67</v>
      </c>
      <c r="F1708" s="8"/>
    </row>
    <row r="1709" spans="1:6" ht="12.75">
      <c r="A1709" s="6">
        <v>45630.496415798611</v>
      </c>
      <c r="B1709" s="7" t="s">
        <v>8</v>
      </c>
      <c r="C1709" s="5" t="str">
        <f>LEFT(Form_Responses1[[#This Row],[問１　あなたは何年生ですか。]],3)</f>
        <v>小学校</v>
      </c>
      <c r="D1709" s="7" t="s">
        <v>6</v>
      </c>
      <c r="E1709" s="7" t="s">
        <v>10</v>
      </c>
      <c r="F1709" s="8"/>
    </row>
    <row r="1710" spans="1:6" ht="12.75">
      <c r="A1710" s="6">
        <v>45630.49661923611</v>
      </c>
      <c r="B1710" s="7" t="s">
        <v>5</v>
      </c>
      <c r="C1710" s="5" t="str">
        <f>LEFT(Form_Responses1[[#This Row],[問１　あなたは何年生ですか。]],3)</f>
        <v>中学校</v>
      </c>
      <c r="D1710" s="7" t="s">
        <v>6</v>
      </c>
      <c r="E1710" s="7" t="s">
        <v>7</v>
      </c>
      <c r="F1710" s="7" t="s">
        <v>1323</v>
      </c>
    </row>
    <row r="1711" spans="1:6" ht="12.75">
      <c r="A1711" s="6">
        <v>45630.496633981486</v>
      </c>
      <c r="B1711" s="7" t="s">
        <v>8</v>
      </c>
      <c r="C1711" s="5" t="str">
        <f>LEFT(Form_Responses1[[#This Row],[問１　あなたは何年生ですか。]],3)</f>
        <v>小学校</v>
      </c>
      <c r="D1711" s="7" t="s">
        <v>6</v>
      </c>
      <c r="E1711" s="7" t="s">
        <v>7</v>
      </c>
      <c r="F1711" s="7" t="s">
        <v>1324</v>
      </c>
    </row>
    <row r="1712" spans="1:6" ht="12.75">
      <c r="A1712" s="6">
        <v>45630.568382812504</v>
      </c>
      <c r="B1712" s="7" t="s">
        <v>16</v>
      </c>
      <c r="C1712" s="5" t="str">
        <f>LEFT(Form_Responses1[[#This Row],[問１　あなたは何年生ですか。]],3)</f>
        <v>中学校</v>
      </c>
      <c r="D1712" s="7" t="s">
        <v>6</v>
      </c>
      <c r="E1712" s="7" t="s">
        <v>10</v>
      </c>
      <c r="F1712" s="7" t="s">
        <v>1325</v>
      </c>
    </row>
    <row r="1713" spans="1:6" ht="12.75">
      <c r="A1713" s="6">
        <v>45630.568924270832</v>
      </c>
      <c r="B1713" s="7" t="s">
        <v>23</v>
      </c>
      <c r="C1713" s="5" t="str">
        <f>LEFT(Form_Responses1[[#This Row],[問１　あなたは何年生ですか。]],3)</f>
        <v>小学校</v>
      </c>
      <c r="D1713" s="7" t="s">
        <v>17</v>
      </c>
      <c r="E1713" s="7" t="s">
        <v>7</v>
      </c>
      <c r="F1713" s="7" t="s">
        <v>1326</v>
      </c>
    </row>
    <row r="1714" spans="1:6" ht="12.75">
      <c r="A1714" s="6">
        <v>45630.569043321761</v>
      </c>
      <c r="B1714" s="7" t="s">
        <v>23</v>
      </c>
      <c r="C1714" s="5" t="str">
        <f>LEFT(Form_Responses1[[#This Row],[問１　あなたは何年生ですか。]],3)</f>
        <v>小学校</v>
      </c>
      <c r="D1714" s="7" t="s">
        <v>19</v>
      </c>
      <c r="E1714" s="7" t="s">
        <v>7</v>
      </c>
      <c r="F1714" s="8"/>
    </row>
    <row r="1715" spans="1:6" ht="12.75">
      <c r="A1715" s="6">
        <v>45630.569133124998</v>
      </c>
      <c r="B1715" s="7" t="s">
        <v>23</v>
      </c>
      <c r="C1715" s="5" t="str">
        <f>LEFT(Form_Responses1[[#This Row],[問１　あなたは何年生ですか。]],3)</f>
        <v>小学校</v>
      </c>
      <c r="D1715" s="7" t="s">
        <v>17</v>
      </c>
      <c r="E1715" s="7" t="s">
        <v>10</v>
      </c>
      <c r="F1715" s="7" t="s">
        <v>1327</v>
      </c>
    </row>
    <row r="1716" spans="1:6" ht="12.75">
      <c r="A1716" s="6">
        <v>45630.56922873843</v>
      </c>
      <c r="B1716" s="7" t="s">
        <v>23</v>
      </c>
      <c r="C1716" s="5" t="str">
        <f>LEFT(Form_Responses1[[#This Row],[問１　あなたは何年生ですか。]],3)</f>
        <v>小学校</v>
      </c>
      <c r="D1716" s="7" t="s">
        <v>24</v>
      </c>
      <c r="E1716" s="7" t="s">
        <v>10</v>
      </c>
      <c r="F1716" s="7" t="s">
        <v>244</v>
      </c>
    </row>
    <row r="1717" spans="1:6" ht="12.75">
      <c r="A1717" s="6">
        <v>45630.569401736109</v>
      </c>
      <c r="B1717" s="7" t="s">
        <v>23</v>
      </c>
      <c r="C1717" s="5" t="str">
        <f>LEFT(Form_Responses1[[#This Row],[問１　あなたは何年生ですか。]],3)</f>
        <v>小学校</v>
      </c>
      <c r="D1717" s="7" t="s">
        <v>19</v>
      </c>
      <c r="E1717" s="7" t="s">
        <v>10</v>
      </c>
      <c r="F1717" s="7" t="s">
        <v>1328</v>
      </c>
    </row>
    <row r="1718" spans="1:6" ht="12.75">
      <c r="A1718" s="6">
        <v>45630.569489004629</v>
      </c>
      <c r="B1718" s="7" t="s">
        <v>23</v>
      </c>
      <c r="C1718" s="5" t="str">
        <f>LEFT(Form_Responses1[[#This Row],[問１　あなたは何年生ですか。]],3)</f>
        <v>小学校</v>
      </c>
      <c r="D1718" s="7" t="s">
        <v>6</v>
      </c>
      <c r="E1718" s="7" t="s">
        <v>10</v>
      </c>
      <c r="F1718" s="7" t="s">
        <v>1329</v>
      </c>
    </row>
    <row r="1719" spans="1:6" ht="12.75">
      <c r="A1719" s="6">
        <v>45630.569528136577</v>
      </c>
      <c r="B1719" s="7" t="s">
        <v>23</v>
      </c>
      <c r="C1719" s="5" t="str">
        <f>LEFT(Form_Responses1[[#This Row],[問１　あなたは何年生ですか。]],3)</f>
        <v>小学校</v>
      </c>
      <c r="D1719" s="7" t="s">
        <v>14</v>
      </c>
      <c r="E1719" s="7" t="s">
        <v>10</v>
      </c>
      <c r="F1719" s="7" t="s">
        <v>1330</v>
      </c>
    </row>
    <row r="1720" spans="1:6" ht="12.75">
      <c r="A1720" s="6">
        <v>45630.570116678238</v>
      </c>
      <c r="B1720" s="7" t="s">
        <v>23</v>
      </c>
      <c r="C1720" s="5" t="str">
        <f>LEFT(Form_Responses1[[#This Row],[問１　あなたは何年生ですか。]],3)</f>
        <v>小学校</v>
      </c>
      <c r="D1720" s="7" t="s">
        <v>24</v>
      </c>
      <c r="E1720" s="7" t="s">
        <v>10</v>
      </c>
      <c r="F1720" s="7" t="s">
        <v>1331</v>
      </c>
    </row>
    <row r="1721" spans="1:6" ht="12.75">
      <c r="A1721" s="6">
        <v>45630.570562546302</v>
      </c>
      <c r="B1721" s="7" t="s">
        <v>23</v>
      </c>
      <c r="C1721" s="5" t="str">
        <f>LEFT(Form_Responses1[[#This Row],[問１　あなたは何年生ですか。]],3)</f>
        <v>小学校</v>
      </c>
      <c r="D1721" s="7" t="s">
        <v>19</v>
      </c>
      <c r="E1721" s="7" t="s">
        <v>7</v>
      </c>
      <c r="F1721" s="8"/>
    </row>
    <row r="1722" spans="1:6" ht="12.75">
      <c r="A1722" s="6">
        <v>45630.570765104167</v>
      </c>
      <c r="B1722" s="7" t="s">
        <v>23</v>
      </c>
      <c r="C1722" s="5" t="str">
        <f>LEFT(Form_Responses1[[#This Row],[問１　あなたは何年生ですか。]],3)</f>
        <v>小学校</v>
      </c>
      <c r="D1722" s="7" t="s">
        <v>202</v>
      </c>
      <c r="E1722" s="7" t="s">
        <v>7</v>
      </c>
      <c r="F1722" s="7" t="s">
        <v>1332</v>
      </c>
    </row>
    <row r="1723" spans="1:6" ht="12.75">
      <c r="A1723" s="6">
        <v>45630.571063391202</v>
      </c>
      <c r="B1723" s="7" t="s">
        <v>23</v>
      </c>
      <c r="C1723" s="5" t="str">
        <f>LEFT(Form_Responses1[[#This Row],[問１　あなたは何年生ですか。]],3)</f>
        <v>小学校</v>
      </c>
      <c r="D1723" s="7" t="s">
        <v>6</v>
      </c>
      <c r="E1723" s="7" t="s">
        <v>7</v>
      </c>
      <c r="F1723" s="8"/>
    </row>
    <row r="1724" spans="1:6" ht="12.75">
      <c r="A1724" s="6">
        <v>45630.572644328699</v>
      </c>
      <c r="B1724" s="7" t="s">
        <v>23</v>
      </c>
      <c r="C1724" s="5" t="str">
        <f>LEFT(Form_Responses1[[#This Row],[問１　あなたは何年生ですか。]],3)</f>
        <v>小学校</v>
      </c>
      <c r="D1724" s="7" t="s">
        <v>6</v>
      </c>
      <c r="E1724" s="7" t="s">
        <v>10</v>
      </c>
      <c r="F1724" s="7" t="s">
        <v>1333</v>
      </c>
    </row>
    <row r="1725" spans="1:6" ht="12.75">
      <c r="A1725" s="6">
        <v>45630.572826736112</v>
      </c>
      <c r="B1725" s="7" t="s">
        <v>23</v>
      </c>
      <c r="C1725" s="5" t="str">
        <f>LEFT(Form_Responses1[[#This Row],[問１　あなたは何年生ですか。]],3)</f>
        <v>小学校</v>
      </c>
      <c r="D1725" s="7" t="s">
        <v>1334</v>
      </c>
      <c r="E1725" s="7" t="s">
        <v>10</v>
      </c>
      <c r="F1725" s="7" t="s">
        <v>1335</v>
      </c>
    </row>
    <row r="1726" spans="1:6" ht="12.75">
      <c r="A1726" s="6">
        <v>45630.573668078709</v>
      </c>
      <c r="B1726" s="7" t="s">
        <v>23</v>
      </c>
      <c r="C1726" s="5" t="str">
        <f>LEFT(Form_Responses1[[#This Row],[問１　あなたは何年生ですか。]],3)</f>
        <v>小学校</v>
      </c>
      <c r="D1726" s="7" t="s">
        <v>24</v>
      </c>
      <c r="E1726" s="7" t="s">
        <v>10</v>
      </c>
      <c r="F1726" s="7" t="s">
        <v>1336</v>
      </c>
    </row>
    <row r="1727" spans="1:6" ht="12.75">
      <c r="A1727" s="6">
        <v>45630.574540659727</v>
      </c>
      <c r="B1727" s="7" t="s">
        <v>23</v>
      </c>
      <c r="C1727" s="5" t="str">
        <f>LEFT(Form_Responses1[[#This Row],[問１　あなたは何年生ですか。]],3)</f>
        <v>小学校</v>
      </c>
      <c r="D1727" s="7" t="s">
        <v>6</v>
      </c>
      <c r="E1727" s="7" t="s">
        <v>10</v>
      </c>
      <c r="F1727" s="7" t="s">
        <v>1337</v>
      </c>
    </row>
    <row r="1728" spans="1:6" ht="12.75">
      <c r="A1728" s="6">
        <v>45630.575398541667</v>
      </c>
      <c r="B1728" s="7" t="s">
        <v>23</v>
      </c>
      <c r="C1728" s="5" t="str">
        <f>LEFT(Form_Responses1[[#This Row],[問１　あなたは何年生ですか。]],3)</f>
        <v>小学校</v>
      </c>
      <c r="D1728" s="7" t="s">
        <v>1338</v>
      </c>
      <c r="E1728" s="7" t="s">
        <v>10</v>
      </c>
      <c r="F1728" s="7" t="s">
        <v>1339</v>
      </c>
    </row>
    <row r="1729" spans="1:6" ht="12.75">
      <c r="A1729" s="6">
        <v>45630.57758222222</v>
      </c>
      <c r="B1729" s="7" t="s">
        <v>11</v>
      </c>
      <c r="C1729" s="5" t="str">
        <f>LEFT(Form_Responses1[[#This Row],[問１　あなたは何年生ですか。]],3)</f>
        <v>小学校</v>
      </c>
      <c r="D1729" s="7" t="s">
        <v>24</v>
      </c>
      <c r="E1729" s="7" t="s">
        <v>7</v>
      </c>
      <c r="F1729" s="7" t="s">
        <v>1340</v>
      </c>
    </row>
    <row r="1730" spans="1:6" ht="12.75">
      <c r="A1730" s="6">
        <v>45630.579436747685</v>
      </c>
      <c r="B1730" s="7" t="s">
        <v>23</v>
      </c>
      <c r="C1730" s="5" t="str">
        <f>LEFT(Form_Responses1[[#This Row],[問１　あなたは何年生ですか。]],3)</f>
        <v>小学校</v>
      </c>
      <c r="D1730" s="7" t="s">
        <v>17</v>
      </c>
      <c r="E1730" s="7" t="s">
        <v>10</v>
      </c>
      <c r="F1730" s="7" t="s">
        <v>1341</v>
      </c>
    </row>
    <row r="1731" spans="1:6" ht="12.75">
      <c r="A1731" s="6">
        <v>45630.579478645828</v>
      </c>
      <c r="B1731" s="7" t="s">
        <v>13</v>
      </c>
      <c r="C1731" s="5" t="str">
        <f>LEFT(Form_Responses1[[#This Row],[問１　あなたは何年生ですか。]],3)</f>
        <v>小学校</v>
      </c>
      <c r="D1731" s="7" t="s">
        <v>14</v>
      </c>
      <c r="E1731" s="7" t="s">
        <v>15</v>
      </c>
      <c r="F1731" s="8"/>
    </row>
    <row r="1732" spans="1:6" ht="12.75">
      <c r="A1732" s="6">
        <v>45630.579479143518</v>
      </c>
      <c r="B1732" s="7" t="s">
        <v>13</v>
      </c>
      <c r="C1732" s="5" t="str">
        <f>LEFT(Form_Responses1[[#This Row],[問１　あなたは何年生ですか。]],3)</f>
        <v>小学校</v>
      </c>
      <c r="D1732" s="7" t="s">
        <v>12</v>
      </c>
      <c r="E1732" s="7" t="s">
        <v>15</v>
      </c>
      <c r="F1732" s="8"/>
    </row>
    <row r="1733" spans="1:6" ht="12.75">
      <c r="A1733" s="6">
        <v>45630.579482395835</v>
      </c>
      <c r="B1733" s="7" t="s">
        <v>13</v>
      </c>
      <c r="C1733" s="5" t="str">
        <f>LEFT(Form_Responses1[[#This Row],[問１　あなたは何年生ですか。]],3)</f>
        <v>小学校</v>
      </c>
      <c r="D1733" s="7" t="s">
        <v>24</v>
      </c>
      <c r="E1733" s="7" t="s">
        <v>7</v>
      </c>
      <c r="F1733" s="8"/>
    </row>
    <row r="1734" spans="1:6" ht="12.75">
      <c r="A1734" s="6">
        <v>45630.579482743051</v>
      </c>
      <c r="B1734" s="7" t="s">
        <v>13</v>
      </c>
      <c r="C1734" s="5" t="str">
        <f>LEFT(Form_Responses1[[#This Row],[問１　あなたは何年生ですか。]],3)</f>
        <v>小学校</v>
      </c>
      <c r="D1734" s="7" t="s">
        <v>6</v>
      </c>
      <c r="E1734" s="7" t="s">
        <v>10</v>
      </c>
      <c r="F1734" s="8"/>
    </row>
    <row r="1735" spans="1:6" ht="12.75">
      <c r="A1735" s="6">
        <v>45630.579486539355</v>
      </c>
      <c r="B1735" s="7" t="s">
        <v>13</v>
      </c>
      <c r="C1735" s="5" t="str">
        <f>LEFT(Form_Responses1[[#This Row],[問１　あなたは何年生ですか。]],3)</f>
        <v>小学校</v>
      </c>
      <c r="D1735" s="7" t="s">
        <v>9</v>
      </c>
      <c r="E1735" s="7" t="s">
        <v>10</v>
      </c>
      <c r="F1735" s="8"/>
    </row>
    <row r="1736" spans="1:6" ht="12.75">
      <c r="A1736" s="6">
        <v>45630.579487662035</v>
      </c>
      <c r="B1736" s="7" t="s">
        <v>13</v>
      </c>
      <c r="C1736" s="5" t="str">
        <f>LEFT(Form_Responses1[[#This Row],[問１　あなたは何年生ですか。]],3)</f>
        <v>小学校</v>
      </c>
      <c r="D1736" s="7" t="s">
        <v>22</v>
      </c>
      <c r="E1736" s="7" t="s">
        <v>67</v>
      </c>
      <c r="F1736" s="8"/>
    </row>
    <row r="1737" spans="1:6" ht="12.75">
      <c r="A1737" s="6">
        <v>45630.579488935182</v>
      </c>
      <c r="B1737" s="7" t="s">
        <v>13</v>
      </c>
      <c r="C1737" s="5" t="str">
        <f>LEFT(Form_Responses1[[#This Row],[問１　あなたは何年生ですか。]],3)</f>
        <v>小学校</v>
      </c>
      <c r="D1737" s="7" t="s">
        <v>12</v>
      </c>
      <c r="E1737" s="7" t="s">
        <v>7</v>
      </c>
      <c r="F1737" s="8"/>
    </row>
    <row r="1738" spans="1:6" ht="12.75">
      <c r="A1738" s="6">
        <v>45630.57948961806</v>
      </c>
      <c r="B1738" s="7" t="s">
        <v>13</v>
      </c>
      <c r="C1738" s="5" t="str">
        <f>LEFT(Form_Responses1[[#This Row],[問１　あなたは何年生ですか。]],3)</f>
        <v>小学校</v>
      </c>
      <c r="D1738" s="7" t="s">
        <v>24</v>
      </c>
      <c r="E1738" s="7" t="s">
        <v>10</v>
      </c>
      <c r="F1738" s="8"/>
    </row>
    <row r="1739" spans="1:6" ht="12.75">
      <c r="A1739" s="6">
        <v>45630.57948961806</v>
      </c>
      <c r="B1739" s="7" t="s">
        <v>13</v>
      </c>
      <c r="C1739" s="5" t="str">
        <f>LEFT(Form_Responses1[[#This Row],[問１　あなたは何年生ですか。]],3)</f>
        <v>小学校</v>
      </c>
      <c r="D1739" s="7" t="s">
        <v>22</v>
      </c>
      <c r="E1739" s="7" t="s">
        <v>67</v>
      </c>
      <c r="F1739" s="8"/>
    </row>
    <row r="1740" spans="1:6" ht="12.75">
      <c r="A1740" s="6">
        <v>45630.579490347227</v>
      </c>
      <c r="B1740" s="7" t="s">
        <v>13</v>
      </c>
      <c r="C1740" s="5" t="str">
        <f>LEFT(Form_Responses1[[#This Row],[問１　あなたは何年生ですか。]],3)</f>
        <v>小学校</v>
      </c>
      <c r="D1740" s="7" t="s">
        <v>14</v>
      </c>
      <c r="E1740" s="7" t="s">
        <v>10</v>
      </c>
      <c r="F1740" s="8"/>
    </row>
    <row r="1741" spans="1:6" ht="12.75">
      <c r="A1741" s="6">
        <v>45630.579498101855</v>
      </c>
      <c r="B1741" s="7" t="s">
        <v>13</v>
      </c>
      <c r="C1741" s="5" t="str">
        <f>LEFT(Form_Responses1[[#This Row],[問１　あなたは何年生ですか。]],3)</f>
        <v>小学校</v>
      </c>
      <c r="D1741" s="7" t="s">
        <v>6</v>
      </c>
      <c r="E1741" s="7" t="s">
        <v>10</v>
      </c>
      <c r="F1741" s="8"/>
    </row>
    <row r="1742" spans="1:6" ht="12.75">
      <c r="A1742" s="6">
        <v>45630.579499004627</v>
      </c>
      <c r="B1742" s="7" t="s">
        <v>13</v>
      </c>
      <c r="C1742" s="5" t="str">
        <f>LEFT(Form_Responses1[[#This Row],[問１　あなたは何年生ですか。]],3)</f>
        <v>小学校</v>
      </c>
      <c r="D1742" s="7" t="s">
        <v>22</v>
      </c>
      <c r="E1742" s="7" t="s">
        <v>10</v>
      </c>
      <c r="F1742" s="8"/>
    </row>
    <row r="1743" spans="1:6" ht="12.75">
      <c r="A1743" s="6">
        <v>45630.579499768515</v>
      </c>
      <c r="B1743" s="7" t="s">
        <v>13</v>
      </c>
      <c r="C1743" s="5" t="str">
        <f>LEFT(Form_Responses1[[#This Row],[問１　あなたは何年生ですか。]],3)</f>
        <v>小学校</v>
      </c>
      <c r="D1743" s="7" t="s">
        <v>24</v>
      </c>
      <c r="E1743" s="7" t="s">
        <v>10</v>
      </c>
      <c r="F1743" s="8"/>
    </row>
    <row r="1744" spans="1:6" ht="12.75">
      <c r="A1744" s="6">
        <v>45630.579500902779</v>
      </c>
      <c r="B1744" s="7" t="s">
        <v>13</v>
      </c>
      <c r="C1744" s="5" t="str">
        <f>LEFT(Form_Responses1[[#This Row],[問１　あなたは何年生ですか。]],3)</f>
        <v>小学校</v>
      </c>
      <c r="D1744" s="7" t="s">
        <v>6</v>
      </c>
      <c r="E1744" s="7" t="s">
        <v>7</v>
      </c>
      <c r="F1744" s="8"/>
    </row>
    <row r="1745" spans="1:6" ht="12.75">
      <c r="A1745" s="6">
        <v>45630.579501643515</v>
      </c>
      <c r="B1745" s="7" t="s">
        <v>13</v>
      </c>
      <c r="C1745" s="5" t="str">
        <f>LEFT(Form_Responses1[[#This Row],[問１　あなたは何年生ですか。]],3)</f>
        <v>小学校</v>
      </c>
      <c r="D1745" s="7" t="s">
        <v>24</v>
      </c>
      <c r="E1745" s="7" t="s">
        <v>10</v>
      </c>
      <c r="F1745" s="8"/>
    </row>
    <row r="1746" spans="1:6" ht="12.75">
      <c r="A1746" s="6">
        <v>45630.579510219904</v>
      </c>
      <c r="B1746" s="7" t="s">
        <v>13</v>
      </c>
      <c r="C1746" s="5" t="str">
        <f>LEFT(Form_Responses1[[#This Row],[問１　あなたは何年生ですか。]],3)</f>
        <v>小学校</v>
      </c>
      <c r="D1746" s="7" t="s">
        <v>22</v>
      </c>
      <c r="E1746" s="7" t="s">
        <v>10</v>
      </c>
      <c r="F1746" s="8"/>
    </row>
    <row r="1747" spans="1:6" ht="12.75">
      <c r="A1747" s="6">
        <v>45630.579564513886</v>
      </c>
      <c r="B1747" s="7" t="s">
        <v>13</v>
      </c>
      <c r="C1747" s="5" t="str">
        <f>LEFT(Form_Responses1[[#This Row],[問１　あなたは何年生ですか。]],3)</f>
        <v>小学校</v>
      </c>
      <c r="D1747" s="7" t="s">
        <v>19</v>
      </c>
      <c r="E1747" s="7" t="s">
        <v>10</v>
      </c>
      <c r="F1747" s="8"/>
    </row>
    <row r="1748" spans="1:6" ht="12.75">
      <c r="A1748" s="6">
        <v>45630.579577638884</v>
      </c>
      <c r="B1748" s="7" t="s">
        <v>13</v>
      </c>
      <c r="C1748" s="5" t="str">
        <f>LEFT(Form_Responses1[[#This Row],[問１　あなたは何年生ですか。]],3)</f>
        <v>小学校</v>
      </c>
      <c r="D1748" s="7" t="s">
        <v>14</v>
      </c>
      <c r="E1748" s="7" t="s">
        <v>10</v>
      </c>
      <c r="F1748" s="8"/>
    </row>
    <row r="1749" spans="1:6" ht="12.75">
      <c r="A1749" s="6">
        <v>45630.57960380787</v>
      </c>
      <c r="B1749" s="7" t="s">
        <v>13</v>
      </c>
      <c r="C1749" s="5" t="str">
        <f>LEFT(Form_Responses1[[#This Row],[問１　あなたは何年生ですか。]],3)</f>
        <v>小学校</v>
      </c>
      <c r="D1749" s="7" t="s">
        <v>14</v>
      </c>
      <c r="E1749" s="7" t="s">
        <v>7</v>
      </c>
      <c r="F1749" s="8"/>
    </row>
    <row r="1750" spans="1:6" ht="12.75">
      <c r="A1750" s="6">
        <v>45630.579607245367</v>
      </c>
      <c r="B1750" s="7" t="s">
        <v>13</v>
      </c>
      <c r="C1750" s="5" t="str">
        <f>LEFT(Form_Responses1[[#This Row],[問１　あなたは何年生ですか。]],3)</f>
        <v>小学校</v>
      </c>
      <c r="D1750" s="7" t="s">
        <v>14</v>
      </c>
      <c r="E1750" s="7" t="s">
        <v>7</v>
      </c>
      <c r="F1750" s="8"/>
    </row>
    <row r="1751" spans="1:6" ht="12.75">
      <c r="A1751" s="6">
        <v>45630.57973168981</v>
      </c>
      <c r="B1751" s="7" t="s">
        <v>23</v>
      </c>
      <c r="C1751" s="5" t="str">
        <f>LEFT(Form_Responses1[[#This Row],[問１　あなたは何年生ですか。]],3)</f>
        <v>小学校</v>
      </c>
      <c r="D1751" s="7" t="s">
        <v>19</v>
      </c>
      <c r="E1751" s="7" t="s">
        <v>7</v>
      </c>
      <c r="F1751" s="7" t="s">
        <v>1342</v>
      </c>
    </row>
    <row r="1752" spans="1:6" ht="12.75">
      <c r="A1752" s="6">
        <v>45630.579914421294</v>
      </c>
      <c r="B1752" s="7" t="s">
        <v>13</v>
      </c>
      <c r="C1752" s="5" t="str">
        <f>LEFT(Form_Responses1[[#This Row],[問１　あなたは何年生ですか。]],3)</f>
        <v>小学校</v>
      </c>
      <c r="D1752" s="7" t="s">
        <v>6</v>
      </c>
      <c r="E1752" s="7" t="s">
        <v>7</v>
      </c>
      <c r="F1752" s="8"/>
    </row>
    <row r="1753" spans="1:6" ht="12.75">
      <c r="A1753" s="6">
        <v>45630.579922280092</v>
      </c>
      <c r="B1753" s="7" t="s">
        <v>13</v>
      </c>
      <c r="C1753" s="5" t="str">
        <f>LEFT(Form_Responses1[[#This Row],[問１　あなたは何年生ですか。]],3)</f>
        <v>小学校</v>
      </c>
      <c r="D1753" s="7" t="s">
        <v>6</v>
      </c>
      <c r="E1753" s="7" t="s">
        <v>7</v>
      </c>
      <c r="F1753" s="8"/>
    </row>
    <row r="1754" spans="1:6" ht="12.75">
      <c r="A1754" s="6">
        <v>45630.579985243057</v>
      </c>
      <c r="B1754" s="7" t="s">
        <v>13</v>
      </c>
      <c r="C1754" s="5" t="str">
        <f>LEFT(Form_Responses1[[#This Row],[問１　あなたは何年生ですか。]],3)</f>
        <v>小学校</v>
      </c>
      <c r="D1754" s="7" t="s">
        <v>12</v>
      </c>
      <c r="E1754" s="7" t="s">
        <v>7</v>
      </c>
      <c r="F1754" s="8"/>
    </row>
    <row r="1755" spans="1:6" ht="12.75">
      <c r="A1755" s="6">
        <v>45630.580265833334</v>
      </c>
      <c r="B1755" s="7" t="s">
        <v>13</v>
      </c>
      <c r="C1755" s="5" t="str">
        <f>LEFT(Form_Responses1[[#This Row],[問１　あなたは何年生ですか。]],3)</f>
        <v>小学校</v>
      </c>
      <c r="D1755" s="7" t="s">
        <v>6</v>
      </c>
      <c r="E1755" s="7" t="s">
        <v>10</v>
      </c>
      <c r="F1755" s="8"/>
    </row>
    <row r="1756" spans="1:6" ht="12.75">
      <c r="A1756" s="6">
        <v>45630.597174965282</v>
      </c>
      <c r="B1756" s="7" t="s">
        <v>18</v>
      </c>
      <c r="C1756" s="5" t="str">
        <f>LEFT(Form_Responses1[[#This Row],[問１　あなたは何年生ですか。]],3)</f>
        <v>中学校</v>
      </c>
      <c r="D1756" s="7" t="s">
        <v>19</v>
      </c>
      <c r="E1756" s="7" t="s">
        <v>10</v>
      </c>
      <c r="F1756" s="7" t="s">
        <v>1343</v>
      </c>
    </row>
    <row r="1757" spans="1:6" ht="12.75">
      <c r="A1757" s="6">
        <v>45630.597287777782</v>
      </c>
      <c r="B1757" s="7" t="s">
        <v>18</v>
      </c>
      <c r="C1757" s="5" t="str">
        <f>LEFT(Form_Responses1[[#This Row],[問１　あなたは何年生ですか。]],3)</f>
        <v>中学校</v>
      </c>
      <c r="D1757" s="7" t="s">
        <v>14</v>
      </c>
      <c r="E1757" s="7" t="s">
        <v>10</v>
      </c>
      <c r="F1757" s="7" t="s">
        <v>271</v>
      </c>
    </row>
    <row r="1758" spans="1:6" ht="12.75">
      <c r="A1758" s="6">
        <v>45630.59731081019</v>
      </c>
      <c r="B1758" s="7" t="s">
        <v>18</v>
      </c>
      <c r="C1758" s="5" t="str">
        <f>LEFT(Form_Responses1[[#This Row],[問１　あなたは何年生ですか。]],3)</f>
        <v>中学校</v>
      </c>
      <c r="D1758" s="7" t="s">
        <v>19</v>
      </c>
      <c r="E1758" s="7" t="s">
        <v>7</v>
      </c>
      <c r="F1758" s="7" t="s">
        <v>110</v>
      </c>
    </row>
    <row r="1759" spans="1:6" ht="12.75">
      <c r="A1759" s="6">
        <v>45630.597397638892</v>
      </c>
      <c r="B1759" s="7" t="s">
        <v>18</v>
      </c>
      <c r="C1759" s="5" t="str">
        <f>LEFT(Form_Responses1[[#This Row],[問１　あなたは何年生ですか。]],3)</f>
        <v>中学校</v>
      </c>
      <c r="D1759" s="7" t="s">
        <v>24</v>
      </c>
      <c r="E1759" s="7" t="s">
        <v>10</v>
      </c>
      <c r="F1759" s="7" t="s">
        <v>541</v>
      </c>
    </row>
    <row r="1760" spans="1:6" ht="12.75">
      <c r="A1760" s="6">
        <v>45630.597467685184</v>
      </c>
      <c r="B1760" s="7" t="s">
        <v>18</v>
      </c>
      <c r="C1760" s="5" t="str">
        <f>LEFT(Form_Responses1[[#This Row],[問１　あなたは何年生ですか。]],3)</f>
        <v>中学校</v>
      </c>
      <c r="D1760" s="7" t="s">
        <v>605</v>
      </c>
      <c r="E1760" s="7" t="s">
        <v>7</v>
      </c>
      <c r="F1760" s="8"/>
    </row>
    <row r="1761" spans="1:6" ht="12.75">
      <c r="A1761" s="6">
        <v>45630.597503807869</v>
      </c>
      <c r="B1761" s="7" t="s">
        <v>18</v>
      </c>
      <c r="C1761" s="5" t="str">
        <f>LEFT(Form_Responses1[[#This Row],[問１　あなたは何年生ですか。]],3)</f>
        <v>中学校</v>
      </c>
      <c r="D1761" s="7" t="s">
        <v>17</v>
      </c>
      <c r="E1761" s="7" t="s">
        <v>10</v>
      </c>
      <c r="F1761" s="7" t="s">
        <v>296</v>
      </c>
    </row>
    <row r="1762" spans="1:6" ht="12.75">
      <c r="A1762" s="6">
        <v>45630.597579594905</v>
      </c>
      <c r="B1762" s="7" t="s">
        <v>18</v>
      </c>
      <c r="C1762" s="5" t="str">
        <f>LEFT(Form_Responses1[[#This Row],[問１　あなたは何年生ですか。]],3)</f>
        <v>中学校</v>
      </c>
      <c r="D1762" s="7" t="s">
        <v>1344</v>
      </c>
      <c r="E1762" s="7" t="s">
        <v>7</v>
      </c>
      <c r="F1762" s="7" t="s">
        <v>1345</v>
      </c>
    </row>
    <row r="1763" spans="1:6" ht="12.75">
      <c r="A1763" s="6">
        <v>45630.597691967589</v>
      </c>
      <c r="B1763" s="7" t="s">
        <v>18</v>
      </c>
      <c r="C1763" s="5" t="str">
        <f>LEFT(Form_Responses1[[#This Row],[問１　あなたは何年生ですか。]],3)</f>
        <v>中学校</v>
      </c>
      <c r="D1763" s="7" t="s">
        <v>12</v>
      </c>
      <c r="E1763" s="7" t="s">
        <v>10</v>
      </c>
      <c r="F1763" s="8"/>
    </row>
    <row r="1764" spans="1:6" ht="12.75">
      <c r="A1764" s="6">
        <v>45630.597699803242</v>
      </c>
      <c r="B1764" s="7" t="s">
        <v>16</v>
      </c>
      <c r="C1764" s="5" t="str">
        <f>LEFT(Form_Responses1[[#This Row],[問１　あなたは何年生ですか。]],3)</f>
        <v>中学校</v>
      </c>
      <c r="D1764" s="7" t="s">
        <v>14</v>
      </c>
      <c r="E1764" s="7" t="s">
        <v>10</v>
      </c>
      <c r="F1764" s="7" t="s">
        <v>1346</v>
      </c>
    </row>
    <row r="1765" spans="1:6" ht="12.75">
      <c r="A1765" s="6">
        <v>45630.597790486107</v>
      </c>
      <c r="B1765" s="7" t="s">
        <v>18</v>
      </c>
      <c r="C1765" s="5" t="str">
        <f>LEFT(Form_Responses1[[#This Row],[問１　あなたは何年生ですか。]],3)</f>
        <v>中学校</v>
      </c>
      <c r="D1765" s="7" t="s">
        <v>17</v>
      </c>
      <c r="E1765" s="7" t="s">
        <v>10</v>
      </c>
      <c r="F1765" s="7" t="s">
        <v>1347</v>
      </c>
    </row>
    <row r="1766" spans="1:6" ht="12.75">
      <c r="A1766" s="6">
        <v>45630.597830497689</v>
      </c>
      <c r="B1766" s="7" t="s">
        <v>16</v>
      </c>
      <c r="C1766" s="5" t="str">
        <f>LEFT(Form_Responses1[[#This Row],[問１　あなたは何年生ですか。]],3)</f>
        <v>中学校</v>
      </c>
      <c r="D1766" s="7" t="s">
        <v>17</v>
      </c>
      <c r="E1766" s="7" t="s">
        <v>10</v>
      </c>
      <c r="F1766" s="8"/>
    </row>
    <row r="1767" spans="1:6" ht="12.75">
      <c r="A1767" s="6">
        <v>45630.597977500001</v>
      </c>
      <c r="B1767" s="7" t="s">
        <v>18</v>
      </c>
      <c r="C1767" s="5" t="str">
        <f>LEFT(Form_Responses1[[#This Row],[問１　あなたは何年生ですか。]],3)</f>
        <v>中学校</v>
      </c>
      <c r="D1767" s="7" t="s">
        <v>14</v>
      </c>
      <c r="E1767" s="7" t="s">
        <v>10</v>
      </c>
      <c r="F1767" s="7" t="s">
        <v>140</v>
      </c>
    </row>
    <row r="1768" spans="1:6" ht="12.75">
      <c r="A1768" s="6">
        <v>45630.598158182867</v>
      </c>
      <c r="B1768" s="7" t="s">
        <v>18</v>
      </c>
      <c r="C1768" s="5" t="str">
        <f>LEFT(Form_Responses1[[#This Row],[問１　あなたは何年生ですか。]],3)</f>
        <v>中学校</v>
      </c>
      <c r="D1768" s="7" t="s">
        <v>6</v>
      </c>
      <c r="E1768" s="7" t="s">
        <v>10</v>
      </c>
      <c r="F1768" s="7" t="s">
        <v>1348</v>
      </c>
    </row>
    <row r="1769" spans="1:6" ht="12.75">
      <c r="A1769" s="6">
        <v>45630.598161064816</v>
      </c>
      <c r="B1769" s="7" t="s">
        <v>18</v>
      </c>
      <c r="C1769" s="5" t="str">
        <f>LEFT(Form_Responses1[[#This Row],[問１　あなたは何年生ですか。]],3)</f>
        <v>中学校</v>
      </c>
      <c r="D1769" s="7" t="s">
        <v>6</v>
      </c>
      <c r="E1769" s="7" t="s">
        <v>7</v>
      </c>
      <c r="F1769" s="7" t="s">
        <v>52</v>
      </c>
    </row>
    <row r="1770" spans="1:6" ht="12.75">
      <c r="A1770" s="6">
        <v>45630.598207824078</v>
      </c>
      <c r="B1770" s="7" t="s">
        <v>18</v>
      </c>
      <c r="C1770" s="5" t="str">
        <f>LEFT(Form_Responses1[[#This Row],[問１　あなたは何年生ですか。]],3)</f>
        <v>中学校</v>
      </c>
      <c r="D1770" s="7" t="s">
        <v>6</v>
      </c>
      <c r="E1770" s="7" t="s">
        <v>7</v>
      </c>
      <c r="F1770" s="7" t="s">
        <v>860</v>
      </c>
    </row>
    <row r="1771" spans="1:6" ht="12.75">
      <c r="A1771" s="6">
        <v>45630.598441898153</v>
      </c>
      <c r="B1771" s="7" t="s">
        <v>18</v>
      </c>
      <c r="C1771" s="5" t="str">
        <f>LEFT(Form_Responses1[[#This Row],[問１　あなたは何年生ですか。]],3)</f>
        <v>中学校</v>
      </c>
      <c r="D1771" s="7" t="s">
        <v>91</v>
      </c>
      <c r="E1771" s="7" t="s">
        <v>10</v>
      </c>
      <c r="F1771" s="8"/>
    </row>
    <row r="1772" spans="1:6" ht="12.75">
      <c r="A1772" s="6">
        <v>45630.598718101857</v>
      </c>
      <c r="B1772" s="7" t="s">
        <v>18</v>
      </c>
      <c r="C1772" s="5" t="str">
        <f>LEFT(Form_Responses1[[#This Row],[問１　あなたは何年生ですか。]],3)</f>
        <v>中学校</v>
      </c>
      <c r="D1772" s="7" t="s">
        <v>17</v>
      </c>
      <c r="E1772" s="7" t="s">
        <v>7</v>
      </c>
      <c r="F1772" s="7" t="s">
        <v>251</v>
      </c>
    </row>
    <row r="1773" spans="1:6" ht="12.75">
      <c r="A1773" s="6">
        <v>45630.59885278935</v>
      </c>
      <c r="B1773" s="7" t="s">
        <v>18</v>
      </c>
      <c r="C1773" s="5" t="str">
        <f>LEFT(Form_Responses1[[#This Row],[問１　あなたは何年生ですか。]],3)</f>
        <v>中学校</v>
      </c>
      <c r="D1773" s="7" t="s">
        <v>24</v>
      </c>
      <c r="E1773" s="7" t="s">
        <v>10</v>
      </c>
      <c r="F1773" s="7" t="s">
        <v>1349</v>
      </c>
    </row>
    <row r="1774" spans="1:6" ht="12.75">
      <c r="A1774" s="6">
        <v>45630.598873483796</v>
      </c>
      <c r="B1774" s="7" t="s">
        <v>18</v>
      </c>
      <c r="C1774" s="5" t="str">
        <f>LEFT(Form_Responses1[[#This Row],[問１　あなたは何年生ですか。]],3)</f>
        <v>中学校</v>
      </c>
      <c r="D1774" s="7" t="s">
        <v>37</v>
      </c>
      <c r="E1774" s="7" t="s">
        <v>67</v>
      </c>
      <c r="F1774" s="7" t="s">
        <v>1350</v>
      </c>
    </row>
    <row r="1775" spans="1:6" ht="12.75">
      <c r="A1775" s="6">
        <v>45630.599256018519</v>
      </c>
      <c r="B1775" s="7" t="s">
        <v>18</v>
      </c>
      <c r="C1775" s="5" t="str">
        <f>LEFT(Form_Responses1[[#This Row],[問１　あなたは何年生ですか。]],3)</f>
        <v>中学校</v>
      </c>
      <c r="D1775" s="7" t="s">
        <v>6</v>
      </c>
      <c r="E1775" s="7" t="s">
        <v>10</v>
      </c>
      <c r="F1775" s="8"/>
    </row>
    <row r="1776" spans="1:6" ht="12.75">
      <c r="A1776" s="6">
        <v>45630.599257986112</v>
      </c>
      <c r="B1776" s="7" t="s">
        <v>18</v>
      </c>
      <c r="C1776" s="5" t="str">
        <f>LEFT(Form_Responses1[[#This Row],[問１　あなたは何年生ですか。]],3)</f>
        <v>中学校</v>
      </c>
      <c r="D1776" s="7" t="s">
        <v>9</v>
      </c>
      <c r="E1776" s="7" t="s">
        <v>10</v>
      </c>
      <c r="F1776" s="7" t="s">
        <v>1351</v>
      </c>
    </row>
    <row r="1777" spans="1:6" ht="12.75">
      <c r="A1777" s="6">
        <v>45630.60167527778</v>
      </c>
      <c r="B1777" s="7" t="s">
        <v>18</v>
      </c>
      <c r="C1777" s="5" t="str">
        <f>LEFT(Form_Responses1[[#This Row],[問１　あなたは何年生ですか。]],3)</f>
        <v>中学校</v>
      </c>
      <c r="D1777" s="7" t="s">
        <v>6</v>
      </c>
      <c r="E1777" s="7" t="s">
        <v>10</v>
      </c>
      <c r="F1777" s="7" t="s">
        <v>211</v>
      </c>
    </row>
    <row r="1778" spans="1:6" ht="12.75">
      <c r="A1778" s="6">
        <v>45630.602848657407</v>
      </c>
      <c r="B1778" s="7" t="s">
        <v>18</v>
      </c>
      <c r="C1778" s="5" t="str">
        <f>LEFT(Form_Responses1[[#This Row],[問１　あなたは何年生ですか。]],3)</f>
        <v>中学校</v>
      </c>
      <c r="D1778" s="7" t="s">
        <v>6</v>
      </c>
      <c r="E1778" s="7" t="s">
        <v>7</v>
      </c>
      <c r="F1778" s="8"/>
    </row>
    <row r="1779" spans="1:6" ht="12.75">
      <c r="A1779" s="6">
        <v>45630.614520347226</v>
      </c>
      <c r="B1779" s="7" t="s">
        <v>5</v>
      </c>
      <c r="C1779" s="5" t="str">
        <f>LEFT(Form_Responses1[[#This Row],[問１　あなたは何年生ですか。]],3)</f>
        <v>中学校</v>
      </c>
      <c r="D1779" s="7" t="s">
        <v>6</v>
      </c>
      <c r="E1779" s="7" t="s">
        <v>10</v>
      </c>
      <c r="F1779" s="7" t="s">
        <v>480</v>
      </c>
    </row>
    <row r="1780" spans="1:6" ht="12.75">
      <c r="A1780" s="6">
        <v>45630.615724097224</v>
      </c>
      <c r="B1780" s="7" t="s">
        <v>5</v>
      </c>
      <c r="C1780" s="5" t="str">
        <f>LEFT(Form_Responses1[[#This Row],[問１　あなたは何年生ですか。]],3)</f>
        <v>中学校</v>
      </c>
      <c r="D1780" s="7" t="s">
        <v>1352</v>
      </c>
      <c r="E1780" s="7" t="s">
        <v>67</v>
      </c>
      <c r="F1780" s="7" t="s">
        <v>1353</v>
      </c>
    </row>
    <row r="1781" spans="1:6" ht="12.75">
      <c r="A1781" s="6">
        <v>45630.616250509258</v>
      </c>
      <c r="B1781" s="7" t="s">
        <v>5</v>
      </c>
      <c r="C1781" s="5" t="str">
        <f>LEFT(Form_Responses1[[#This Row],[問１　あなたは何年生ですか。]],3)</f>
        <v>中学校</v>
      </c>
      <c r="D1781" s="7" t="s">
        <v>6</v>
      </c>
      <c r="E1781" s="7" t="s">
        <v>10</v>
      </c>
      <c r="F1781" s="8"/>
    </row>
    <row r="1782" spans="1:6" ht="12.75">
      <c r="A1782" s="6">
        <v>45630.616576307875</v>
      </c>
      <c r="B1782" s="7" t="s">
        <v>5</v>
      </c>
      <c r="C1782" s="5" t="str">
        <f>LEFT(Form_Responses1[[#This Row],[問１　あなたは何年生ですか。]],3)</f>
        <v>中学校</v>
      </c>
      <c r="D1782" s="7" t="s">
        <v>19</v>
      </c>
      <c r="E1782" s="7" t="s">
        <v>7</v>
      </c>
      <c r="F1782" s="8"/>
    </row>
    <row r="1783" spans="1:6" ht="12.75">
      <c r="A1783" s="6">
        <v>45630.616614988423</v>
      </c>
      <c r="B1783" s="7" t="s">
        <v>5</v>
      </c>
      <c r="C1783" s="5" t="str">
        <f>LEFT(Form_Responses1[[#This Row],[問１　あなたは何年生ですか。]],3)</f>
        <v>中学校</v>
      </c>
      <c r="D1783" s="7" t="s">
        <v>6</v>
      </c>
      <c r="E1783" s="7" t="s">
        <v>7</v>
      </c>
      <c r="F1783" s="7" t="s">
        <v>1354</v>
      </c>
    </row>
    <row r="1784" spans="1:6" ht="12.75">
      <c r="A1784" s="6">
        <v>45630.616686215275</v>
      </c>
      <c r="B1784" s="7" t="s">
        <v>5</v>
      </c>
      <c r="C1784" s="5" t="str">
        <f>LEFT(Form_Responses1[[#This Row],[問１　あなたは何年生ですか。]],3)</f>
        <v>中学校</v>
      </c>
      <c r="D1784" s="7" t="s">
        <v>6</v>
      </c>
      <c r="E1784" s="7" t="s">
        <v>7</v>
      </c>
      <c r="F1784" s="7" t="s">
        <v>1355</v>
      </c>
    </row>
    <row r="1785" spans="1:6" ht="12.75">
      <c r="A1785" s="6">
        <v>45630.616714664357</v>
      </c>
      <c r="B1785" s="7" t="s">
        <v>5</v>
      </c>
      <c r="C1785" s="5" t="str">
        <f>LEFT(Form_Responses1[[#This Row],[問１　あなたは何年生ですか。]],3)</f>
        <v>中学校</v>
      </c>
      <c r="D1785" s="7" t="s">
        <v>19</v>
      </c>
      <c r="E1785" s="7" t="s">
        <v>10</v>
      </c>
      <c r="F1785" s="7" t="s">
        <v>1356</v>
      </c>
    </row>
    <row r="1786" spans="1:6" ht="12.75">
      <c r="A1786" s="6">
        <v>45630.617241122687</v>
      </c>
      <c r="B1786" s="7" t="s">
        <v>5</v>
      </c>
      <c r="C1786" s="5" t="str">
        <f>LEFT(Form_Responses1[[#This Row],[問１　あなたは何年生ですか。]],3)</f>
        <v>中学校</v>
      </c>
      <c r="D1786" s="7" t="s">
        <v>6</v>
      </c>
      <c r="E1786" s="7" t="s">
        <v>67</v>
      </c>
      <c r="F1786" s="7" t="s">
        <v>1357</v>
      </c>
    </row>
    <row r="1787" spans="1:6" ht="12.75">
      <c r="A1787" s="6">
        <v>45630.617379560186</v>
      </c>
      <c r="B1787" s="7" t="s">
        <v>18</v>
      </c>
      <c r="C1787" s="5" t="str">
        <f>LEFT(Form_Responses1[[#This Row],[問１　あなたは何年生ですか。]],3)</f>
        <v>中学校</v>
      </c>
      <c r="D1787" s="7" t="s">
        <v>19</v>
      </c>
      <c r="E1787" s="7" t="s">
        <v>10</v>
      </c>
      <c r="F1787" s="8"/>
    </row>
    <row r="1788" spans="1:6" ht="12.75">
      <c r="A1788" s="6">
        <v>45630.617622303238</v>
      </c>
      <c r="B1788" s="7" t="s">
        <v>5</v>
      </c>
      <c r="C1788" s="5" t="str">
        <f>LEFT(Form_Responses1[[#This Row],[問１　あなたは何年生ですか。]],3)</f>
        <v>中学校</v>
      </c>
      <c r="D1788" s="7" t="s">
        <v>6</v>
      </c>
      <c r="E1788" s="7" t="s">
        <v>10</v>
      </c>
      <c r="F1788" s="8"/>
    </row>
    <row r="1789" spans="1:6" ht="12.75">
      <c r="A1789" s="6">
        <v>45630.618005601849</v>
      </c>
      <c r="B1789" s="7" t="s">
        <v>5</v>
      </c>
      <c r="C1789" s="5" t="str">
        <f>LEFT(Form_Responses1[[#This Row],[問１　あなたは何年生ですか。]],3)</f>
        <v>中学校</v>
      </c>
      <c r="D1789" s="7" t="s">
        <v>6</v>
      </c>
      <c r="E1789" s="7" t="s">
        <v>7</v>
      </c>
      <c r="F1789" s="8"/>
    </row>
    <row r="1790" spans="1:6" ht="12.75">
      <c r="A1790" s="6">
        <v>45630.618414652781</v>
      </c>
      <c r="B1790" s="7" t="s">
        <v>5</v>
      </c>
      <c r="C1790" s="5" t="str">
        <f>LEFT(Form_Responses1[[#This Row],[問１　あなたは何年生ですか。]],3)</f>
        <v>中学校</v>
      </c>
      <c r="D1790" s="7" t="s">
        <v>6</v>
      </c>
      <c r="E1790" s="7" t="s">
        <v>10</v>
      </c>
      <c r="F1790" s="7" t="s">
        <v>72</v>
      </c>
    </row>
    <row r="1791" spans="1:6" ht="12.75">
      <c r="A1791" s="6">
        <v>45630.61862804398</v>
      </c>
      <c r="B1791" s="7" t="s">
        <v>5</v>
      </c>
      <c r="C1791" s="5" t="str">
        <f>LEFT(Form_Responses1[[#This Row],[問１　あなたは何年生ですか。]],3)</f>
        <v>中学校</v>
      </c>
      <c r="D1791" s="7" t="s">
        <v>12</v>
      </c>
      <c r="E1791" s="7" t="s">
        <v>10</v>
      </c>
      <c r="F1791" s="7" t="s">
        <v>1358</v>
      </c>
    </row>
    <row r="1792" spans="1:6" ht="12.75">
      <c r="A1792" s="6">
        <v>45630.620243715282</v>
      </c>
      <c r="B1792" s="7" t="s">
        <v>5</v>
      </c>
      <c r="C1792" s="5" t="str">
        <f>LEFT(Form_Responses1[[#This Row],[問１　あなたは何年生ですか。]],3)</f>
        <v>中学校</v>
      </c>
      <c r="D1792" s="7" t="s">
        <v>9</v>
      </c>
      <c r="E1792" s="7" t="s">
        <v>15</v>
      </c>
      <c r="F1792" s="8"/>
    </row>
    <row r="1793" spans="1:6" ht="12.75">
      <c r="A1793" s="6">
        <v>45630.621435196765</v>
      </c>
      <c r="B1793" s="7" t="s">
        <v>5</v>
      </c>
      <c r="C1793" s="5" t="str">
        <f>LEFT(Form_Responses1[[#This Row],[問１　あなたは何年生ですか。]],3)</f>
        <v>中学校</v>
      </c>
      <c r="D1793" s="7" t="s">
        <v>19</v>
      </c>
      <c r="E1793" s="7" t="s">
        <v>10</v>
      </c>
      <c r="F1793" s="7" t="s">
        <v>747</v>
      </c>
    </row>
    <row r="1794" spans="1:6" ht="12.75">
      <c r="A1794" s="6">
        <v>45630.622758726851</v>
      </c>
      <c r="B1794" s="7" t="s">
        <v>5</v>
      </c>
      <c r="C1794" s="5" t="str">
        <f>LEFT(Form_Responses1[[#This Row],[問１　あなたは何年生ですか。]],3)</f>
        <v>中学校</v>
      </c>
      <c r="D1794" s="7" t="s">
        <v>19</v>
      </c>
      <c r="E1794" s="7" t="s">
        <v>67</v>
      </c>
      <c r="F1794" s="7" t="s">
        <v>1359</v>
      </c>
    </row>
    <row r="1795" spans="1:6" ht="12.75">
      <c r="A1795" s="6">
        <v>45630.629121979167</v>
      </c>
      <c r="B1795" s="7" t="s">
        <v>5</v>
      </c>
      <c r="C1795" s="5" t="str">
        <f>LEFT(Form_Responses1[[#This Row],[問１　あなたは何年生ですか。]],3)</f>
        <v>中学校</v>
      </c>
      <c r="D1795" s="7" t="s">
        <v>6</v>
      </c>
      <c r="E1795" s="7" t="s">
        <v>10</v>
      </c>
      <c r="F1795" s="8"/>
    </row>
    <row r="1796" spans="1:6" ht="12.75">
      <c r="A1796" s="6">
        <v>45631.335681655095</v>
      </c>
      <c r="B1796" s="7" t="s">
        <v>11</v>
      </c>
      <c r="C1796" s="5" t="str">
        <f>LEFT(Form_Responses1[[#This Row],[問１　あなたは何年生ですか。]],3)</f>
        <v>小学校</v>
      </c>
      <c r="D1796" s="7" t="s">
        <v>24</v>
      </c>
      <c r="E1796" s="7" t="s">
        <v>7</v>
      </c>
      <c r="F1796" s="7" t="s">
        <v>235</v>
      </c>
    </row>
    <row r="1797" spans="1:6" ht="12.75">
      <c r="A1797" s="6">
        <v>45631.33625231481</v>
      </c>
      <c r="B1797" s="7" t="s">
        <v>11</v>
      </c>
      <c r="C1797" s="5" t="str">
        <f>LEFT(Form_Responses1[[#This Row],[問１　あなたは何年生ですか。]],3)</f>
        <v>小学校</v>
      </c>
      <c r="D1797" s="7" t="s">
        <v>24</v>
      </c>
      <c r="E1797" s="7" t="s">
        <v>7</v>
      </c>
      <c r="F1797" s="7" t="s">
        <v>244</v>
      </c>
    </row>
    <row r="1798" spans="1:6" ht="12.75">
      <c r="A1798" s="6">
        <v>45631.336548437495</v>
      </c>
      <c r="B1798" s="7" t="s">
        <v>11</v>
      </c>
      <c r="C1798" s="5" t="str">
        <f>LEFT(Form_Responses1[[#This Row],[問１　あなたは何年生ですか。]],3)</f>
        <v>小学校</v>
      </c>
      <c r="D1798" s="7" t="s">
        <v>1360</v>
      </c>
      <c r="E1798" s="7" t="s">
        <v>7</v>
      </c>
      <c r="F1798" s="7" t="s">
        <v>1361</v>
      </c>
    </row>
    <row r="1799" spans="1:6" ht="12.75">
      <c r="A1799" s="6">
        <v>45631.336566238431</v>
      </c>
      <c r="B1799" s="7" t="s">
        <v>11</v>
      </c>
      <c r="C1799" s="5" t="str">
        <f>LEFT(Form_Responses1[[#This Row],[問１　あなたは何年生ですか。]],3)</f>
        <v>小学校</v>
      </c>
      <c r="D1799" s="7" t="s">
        <v>1362</v>
      </c>
      <c r="E1799" s="7" t="s">
        <v>10</v>
      </c>
      <c r="F1799" s="7" t="s">
        <v>52</v>
      </c>
    </row>
    <row r="1800" spans="1:6" ht="12.75">
      <c r="A1800" s="6">
        <v>45631.336809606481</v>
      </c>
      <c r="B1800" s="7" t="s">
        <v>11</v>
      </c>
      <c r="C1800" s="5" t="str">
        <f>LEFT(Form_Responses1[[#This Row],[問１　あなたは何年生ですか。]],3)</f>
        <v>小学校</v>
      </c>
      <c r="D1800" s="7" t="s">
        <v>6</v>
      </c>
      <c r="E1800" s="7" t="s">
        <v>15</v>
      </c>
      <c r="F1800" s="7" t="s">
        <v>1363</v>
      </c>
    </row>
    <row r="1801" spans="1:6" ht="12.75">
      <c r="A1801" s="6">
        <v>45631.336812476853</v>
      </c>
      <c r="B1801" s="7" t="s">
        <v>11</v>
      </c>
      <c r="C1801" s="5" t="str">
        <f>LEFT(Form_Responses1[[#This Row],[問１　あなたは何年生ですか。]],3)</f>
        <v>小学校</v>
      </c>
      <c r="D1801" s="7" t="s">
        <v>12</v>
      </c>
      <c r="E1801" s="7" t="s">
        <v>10</v>
      </c>
      <c r="F1801" s="7" t="s">
        <v>1364</v>
      </c>
    </row>
    <row r="1802" spans="1:6" ht="12.75">
      <c r="A1802" s="6">
        <v>45631.33684989583</v>
      </c>
      <c r="B1802" s="7" t="s">
        <v>11</v>
      </c>
      <c r="C1802" s="5" t="str">
        <f>LEFT(Form_Responses1[[#This Row],[問１　あなたは何年生ですか。]],3)</f>
        <v>小学校</v>
      </c>
      <c r="D1802" s="7" t="s">
        <v>24</v>
      </c>
      <c r="E1802" s="7" t="s">
        <v>10</v>
      </c>
      <c r="F1802" s="7" t="s">
        <v>1365</v>
      </c>
    </row>
    <row r="1803" spans="1:6" ht="12.75">
      <c r="A1803" s="6">
        <v>45631.337006273148</v>
      </c>
      <c r="B1803" s="7" t="s">
        <v>11</v>
      </c>
      <c r="C1803" s="5" t="str">
        <f>LEFT(Form_Responses1[[#This Row],[問１　あなたは何年生ですか。]],3)</f>
        <v>小学校</v>
      </c>
      <c r="D1803" s="7" t="s">
        <v>6</v>
      </c>
      <c r="E1803" s="7" t="s">
        <v>10</v>
      </c>
      <c r="F1803" s="7" t="s">
        <v>1366</v>
      </c>
    </row>
    <row r="1804" spans="1:6" ht="12.75">
      <c r="A1804" s="6">
        <v>45631.33715663194</v>
      </c>
      <c r="B1804" s="7" t="s">
        <v>11</v>
      </c>
      <c r="C1804" s="5" t="str">
        <f>LEFT(Form_Responses1[[#This Row],[問１　あなたは何年生ですか。]],3)</f>
        <v>小学校</v>
      </c>
      <c r="D1804" s="7" t="s">
        <v>1367</v>
      </c>
      <c r="E1804" s="7" t="s">
        <v>10</v>
      </c>
      <c r="F1804" s="7" t="s">
        <v>1368</v>
      </c>
    </row>
    <row r="1805" spans="1:6" ht="12.75">
      <c r="A1805" s="6">
        <v>45631.337837743056</v>
      </c>
      <c r="B1805" s="7" t="s">
        <v>11</v>
      </c>
      <c r="C1805" s="5" t="str">
        <f>LEFT(Form_Responses1[[#This Row],[問１　あなたは何年生ですか。]],3)</f>
        <v>小学校</v>
      </c>
      <c r="D1805" s="7" t="s">
        <v>24</v>
      </c>
      <c r="E1805" s="7" t="s">
        <v>10</v>
      </c>
      <c r="F1805" s="7" t="s">
        <v>1369</v>
      </c>
    </row>
    <row r="1806" spans="1:6" ht="12.75">
      <c r="A1806" s="6">
        <v>45631.337841134256</v>
      </c>
      <c r="B1806" s="7" t="s">
        <v>11</v>
      </c>
      <c r="C1806" s="5" t="str">
        <f>LEFT(Form_Responses1[[#This Row],[問１　あなたは何年生ですか。]],3)</f>
        <v>小学校</v>
      </c>
      <c r="D1806" s="7" t="s">
        <v>6</v>
      </c>
      <c r="E1806" s="7" t="s">
        <v>10</v>
      </c>
      <c r="F1806" s="7" t="s">
        <v>1370</v>
      </c>
    </row>
    <row r="1807" spans="1:6" ht="12.75">
      <c r="A1807" s="6">
        <v>45631.338167962967</v>
      </c>
      <c r="B1807" s="7" t="s">
        <v>11</v>
      </c>
      <c r="C1807" s="5" t="str">
        <f>LEFT(Form_Responses1[[#This Row],[問１　あなたは何年生ですか。]],3)</f>
        <v>小学校</v>
      </c>
      <c r="D1807" s="7" t="s">
        <v>1371</v>
      </c>
      <c r="E1807" s="7" t="s">
        <v>10</v>
      </c>
      <c r="F1807" s="7" t="s">
        <v>1372</v>
      </c>
    </row>
    <row r="1808" spans="1:6" ht="12.75">
      <c r="A1808" s="6">
        <v>45631.338188923612</v>
      </c>
      <c r="B1808" s="7" t="s">
        <v>11</v>
      </c>
      <c r="C1808" s="5" t="str">
        <f>LEFT(Form_Responses1[[#This Row],[問１　あなたは何年生ですか。]],3)</f>
        <v>小学校</v>
      </c>
      <c r="D1808" s="7" t="s">
        <v>1367</v>
      </c>
      <c r="E1808" s="7" t="s">
        <v>10</v>
      </c>
      <c r="F1808" s="7" t="s">
        <v>1368</v>
      </c>
    </row>
    <row r="1809" spans="1:6" ht="12.75">
      <c r="A1809" s="6">
        <v>45631.338351944447</v>
      </c>
      <c r="B1809" s="7" t="s">
        <v>11</v>
      </c>
      <c r="C1809" s="5" t="str">
        <f>LEFT(Form_Responses1[[#This Row],[問１　あなたは何年生ですか。]],3)</f>
        <v>小学校</v>
      </c>
      <c r="D1809" s="7" t="s">
        <v>1373</v>
      </c>
      <c r="E1809" s="7" t="s">
        <v>10</v>
      </c>
      <c r="F1809" s="7" t="s">
        <v>1374</v>
      </c>
    </row>
    <row r="1810" spans="1:6" ht="12.75">
      <c r="A1810" s="6">
        <v>45631.338401064815</v>
      </c>
      <c r="B1810" s="7" t="s">
        <v>11</v>
      </c>
      <c r="C1810" s="5" t="str">
        <f>LEFT(Form_Responses1[[#This Row],[問１　あなたは何年生ですか。]],3)</f>
        <v>小学校</v>
      </c>
      <c r="D1810" s="7" t="s">
        <v>1375</v>
      </c>
      <c r="E1810" s="7" t="s">
        <v>10</v>
      </c>
      <c r="F1810" s="7" t="s">
        <v>1376</v>
      </c>
    </row>
    <row r="1811" spans="1:6" ht="12.75">
      <c r="A1811" s="6">
        <v>45631.34455804398</v>
      </c>
      <c r="B1811" s="7" t="s">
        <v>11</v>
      </c>
      <c r="C1811" s="5" t="str">
        <f>LEFT(Form_Responses1[[#This Row],[問１　あなたは何年生ですか。]],3)</f>
        <v>小学校</v>
      </c>
      <c r="D1811" s="7" t="s">
        <v>6</v>
      </c>
      <c r="E1811" s="7" t="s">
        <v>7</v>
      </c>
      <c r="F1811" s="7" t="s">
        <v>1377</v>
      </c>
    </row>
    <row r="1812" spans="1:6" ht="12.75">
      <c r="A1812" s="6">
        <v>45631.344773900462</v>
      </c>
      <c r="B1812" s="7" t="s">
        <v>11</v>
      </c>
      <c r="C1812" s="5" t="str">
        <f>LEFT(Form_Responses1[[#This Row],[問１　あなたは何年生ですか。]],3)</f>
        <v>小学校</v>
      </c>
      <c r="D1812" s="7" t="s">
        <v>19</v>
      </c>
      <c r="E1812" s="7" t="s">
        <v>67</v>
      </c>
      <c r="F1812" s="7" t="s">
        <v>1378</v>
      </c>
    </row>
    <row r="1813" spans="1:6" ht="12.75">
      <c r="A1813" s="6">
        <v>45631.344793750002</v>
      </c>
      <c r="B1813" s="7" t="s">
        <v>16</v>
      </c>
      <c r="C1813" s="5" t="str">
        <f>LEFT(Form_Responses1[[#This Row],[問１　あなたは何年生ですか。]],3)</f>
        <v>中学校</v>
      </c>
      <c r="D1813" s="7" t="s">
        <v>19</v>
      </c>
      <c r="E1813" s="7" t="s">
        <v>10</v>
      </c>
      <c r="F1813" s="7" t="s">
        <v>1379</v>
      </c>
    </row>
    <row r="1814" spans="1:6" ht="12.75">
      <c r="A1814" s="6">
        <v>45631.345055995371</v>
      </c>
      <c r="B1814" s="7" t="s">
        <v>11</v>
      </c>
      <c r="C1814" s="5" t="str">
        <f>LEFT(Form_Responses1[[#This Row],[問１　あなたは何年生ですか。]],3)</f>
        <v>小学校</v>
      </c>
      <c r="D1814" s="7" t="s">
        <v>12</v>
      </c>
      <c r="E1814" s="7" t="s">
        <v>10</v>
      </c>
      <c r="F1814" s="7" t="s">
        <v>1380</v>
      </c>
    </row>
    <row r="1815" spans="1:6" ht="12.75">
      <c r="A1815" s="6">
        <v>45631.345069340277</v>
      </c>
      <c r="B1815" s="7" t="s">
        <v>11</v>
      </c>
      <c r="C1815" s="5" t="str">
        <f>LEFT(Form_Responses1[[#This Row],[問１　あなたは何年生ですか。]],3)</f>
        <v>小学校</v>
      </c>
      <c r="D1815" s="7" t="s">
        <v>30</v>
      </c>
      <c r="E1815" s="7" t="s">
        <v>10</v>
      </c>
      <c r="F1815" s="7" t="s">
        <v>1381</v>
      </c>
    </row>
    <row r="1816" spans="1:6" ht="12.75">
      <c r="A1816" s="6">
        <v>45631.345295567131</v>
      </c>
      <c r="B1816" s="7" t="s">
        <v>11</v>
      </c>
      <c r="C1816" s="5" t="str">
        <f>LEFT(Form_Responses1[[#This Row],[問１　あなたは何年生ですか。]],3)</f>
        <v>小学校</v>
      </c>
      <c r="D1816" s="7" t="s">
        <v>24</v>
      </c>
      <c r="E1816" s="7" t="s">
        <v>10</v>
      </c>
      <c r="F1816" s="7" t="s">
        <v>1382</v>
      </c>
    </row>
    <row r="1817" spans="1:6" ht="12.75">
      <c r="A1817" s="6">
        <v>45631.345435555559</v>
      </c>
      <c r="B1817" s="7" t="s">
        <v>11</v>
      </c>
      <c r="C1817" s="5" t="str">
        <f>LEFT(Form_Responses1[[#This Row],[問１　あなたは何年生ですか。]],3)</f>
        <v>小学校</v>
      </c>
      <c r="D1817" s="7" t="s">
        <v>24</v>
      </c>
      <c r="E1817" s="7" t="s">
        <v>10</v>
      </c>
      <c r="F1817" s="8"/>
    </row>
    <row r="1818" spans="1:6" ht="12.75">
      <c r="A1818" s="6">
        <v>45631.345462152778</v>
      </c>
      <c r="B1818" s="7" t="s">
        <v>11</v>
      </c>
      <c r="C1818" s="5" t="str">
        <f>LEFT(Form_Responses1[[#This Row],[問１　あなたは何年生ですか。]],3)</f>
        <v>小学校</v>
      </c>
      <c r="D1818" s="7" t="s">
        <v>24</v>
      </c>
      <c r="E1818" s="7" t="s">
        <v>10</v>
      </c>
      <c r="F1818" s="8"/>
    </row>
    <row r="1819" spans="1:6" ht="12.75">
      <c r="A1819" s="6">
        <v>45631.345467094907</v>
      </c>
      <c r="B1819" s="7" t="s">
        <v>11</v>
      </c>
      <c r="C1819" s="5" t="str">
        <f>LEFT(Form_Responses1[[#This Row],[問１　あなたは何年生ですか。]],3)</f>
        <v>小学校</v>
      </c>
      <c r="D1819" s="7" t="s">
        <v>6</v>
      </c>
      <c r="E1819" s="7" t="s">
        <v>7</v>
      </c>
      <c r="F1819" s="8"/>
    </row>
    <row r="1820" spans="1:6" ht="12.75">
      <c r="A1820" s="6">
        <v>45631.345474675923</v>
      </c>
      <c r="B1820" s="7" t="s">
        <v>11</v>
      </c>
      <c r="C1820" s="5" t="str">
        <f>LEFT(Form_Responses1[[#This Row],[問１　あなたは何年生ですか。]],3)</f>
        <v>小学校</v>
      </c>
      <c r="D1820" s="7" t="s">
        <v>6</v>
      </c>
      <c r="E1820" s="7" t="s">
        <v>67</v>
      </c>
      <c r="F1820" s="8"/>
    </row>
    <row r="1821" spans="1:6" ht="12.75">
      <c r="A1821" s="6">
        <v>45631.345490555555</v>
      </c>
      <c r="B1821" s="7" t="s">
        <v>11</v>
      </c>
      <c r="C1821" s="5" t="str">
        <f>LEFT(Form_Responses1[[#This Row],[問１　あなたは何年生ですか。]],3)</f>
        <v>小学校</v>
      </c>
      <c r="D1821" s="7" t="s">
        <v>6</v>
      </c>
      <c r="E1821" s="7" t="s">
        <v>10</v>
      </c>
      <c r="F1821" s="8"/>
    </row>
    <row r="1822" spans="1:6" ht="12.75">
      <c r="A1822" s="6">
        <v>45631.345635659723</v>
      </c>
      <c r="B1822" s="7" t="s">
        <v>11</v>
      </c>
      <c r="C1822" s="5" t="str">
        <f>LEFT(Form_Responses1[[#This Row],[問１　あなたは何年生ですか。]],3)</f>
        <v>小学校</v>
      </c>
      <c r="D1822" s="7" t="s">
        <v>24</v>
      </c>
      <c r="E1822" s="7" t="s">
        <v>10</v>
      </c>
      <c r="F1822" s="8"/>
    </row>
    <row r="1823" spans="1:6" ht="12.75">
      <c r="A1823" s="6">
        <v>45631.345746134262</v>
      </c>
      <c r="B1823" s="7" t="s">
        <v>11</v>
      </c>
      <c r="C1823" s="5" t="str">
        <f>LEFT(Form_Responses1[[#This Row],[問１　あなたは何年生ですか。]],3)</f>
        <v>小学校</v>
      </c>
      <c r="D1823" s="7" t="s">
        <v>6</v>
      </c>
      <c r="E1823" s="7" t="s">
        <v>7</v>
      </c>
      <c r="F1823" s="8"/>
    </row>
    <row r="1824" spans="1:6" ht="12.75">
      <c r="A1824" s="6">
        <v>45631.346029016204</v>
      </c>
      <c r="B1824" s="7" t="s">
        <v>11</v>
      </c>
      <c r="C1824" s="5" t="str">
        <f>LEFT(Form_Responses1[[#This Row],[問１　あなたは何年生ですか。]],3)</f>
        <v>小学校</v>
      </c>
      <c r="D1824" s="7" t="s">
        <v>121</v>
      </c>
      <c r="E1824" s="7" t="s">
        <v>7</v>
      </c>
      <c r="F1824" s="7" t="s">
        <v>1383</v>
      </c>
    </row>
    <row r="1825" spans="1:6" ht="12.75">
      <c r="A1825" s="6">
        <v>45631.3461546412</v>
      </c>
      <c r="B1825" s="7" t="s">
        <v>11</v>
      </c>
      <c r="C1825" s="5" t="str">
        <f>LEFT(Form_Responses1[[#This Row],[問１　あなたは何年生ですか。]],3)</f>
        <v>小学校</v>
      </c>
      <c r="D1825" s="7" t="s">
        <v>6</v>
      </c>
      <c r="E1825" s="7" t="s">
        <v>15</v>
      </c>
      <c r="F1825" s="7" t="s">
        <v>1384</v>
      </c>
    </row>
    <row r="1826" spans="1:6" ht="12.75">
      <c r="A1826" s="6">
        <v>45631.346169293982</v>
      </c>
      <c r="B1826" s="7" t="s">
        <v>11</v>
      </c>
      <c r="C1826" s="5" t="str">
        <f>LEFT(Form_Responses1[[#This Row],[問１　あなたは何年生ですか。]],3)</f>
        <v>小学校</v>
      </c>
      <c r="D1826" s="7" t="s">
        <v>17</v>
      </c>
      <c r="E1826" s="7" t="s">
        <v>10</v>
      </c>
      <c r="F1826" s="7" t="s">
        <v>1385</v>
      </c>
    </row>
    <row r="1827" spans="1:6" ht="12.75">
      <c r="A1827" s="6">
        <v>45631.34623372685</v>
      </c>
      <c r="B1827" s="7" t="s">
        <v>11</v>
      </c>
      <c r="C1827" s="5" t="str">
        <f>LEFT(Form_Responses1[[#This Row],[問１　あなたは何年生ですか。]],3)</f>
        <v>小学校</v>
      </c>
      <c r="D1827" s="7" t="s">
        <v>19</v>
      </c>
      <c r="E1827" s="7" t="s">
        <v>7</v>
      </c>
      <c r="F1827" s="7" t="s">
        <v>1386</v>
      </c>
    </row>
    <row r="1828" spans="1:6" ht="12.75">
      <c r="A1828" s="6">
        <v>45631.346798287035</v>
      </c>
      <c r="B1828" s="7" t="s">
        <v>11</v>
      </c>
      <c r="C1828" s="5" t="str">
        <f>LEFT(Form_Responses1[[#This Row],[問１　あなたは何年生ですか。]],3)</f>
        <v>小学校</v>
      </c>
      <c r="D1828" s="7" t="s">
        <v>12</v>
      </c>
      <c r="E1828" s="7" t="s">
        <v>10</v>
      </c>
      <c r="F1828" s="7" t="s">
        <v>1387</v>
      </c>
    </row>
    <row r="1829" spans="1:6" ht="12.75">
      <c r="A1829" s="6">
        <v>45631.346936562499</v>
      </c>
      <c r="B1829" s="7" t="s">
        <v>11</v>
      </c>
      <c r="C1829" s="5" t="str">
        <f>LEFT(Form_Responses1[[#This Row],[問１　あなたは何年生ですか。]],3)</f>
        <v>小学校</v>
      </c>
      <c r="D1829" s="7" t="s">
        <v>9</v>
      </c>
      <c r="E1829" s="7" t="s">
        <v>10</v>
      </c>
      <c r="F1829" s="7" t="s">
        <v>1388</v>
      </c>
    </row>
    <row r="1830" spans="1:6" ht="12.75">
      <c r="A1830" s="6">
        <v>45631.347861782408</v>
      </c>
      <c r="B1830" s="7" t="s">
        <v>11</v>
      </c>
      <c r="C1830" s="5" t="str">
        <f>LEFT(Form_Responses1[[#This Row],[問１　あなたは何年生ですか。]],3)</f>
        <v>小学校</v>
      </c>
      <c r="D1830" s="7" t="s">
        <v>6</v>
      </c>
      <c r="E1830" s="7" t="s">
        <v>7</v>
      </c>
      <c r="F1830" s="7" t="s">
        <v>1389</v>
      </c>
    </row>
    <row r="1831" spans="1:6" ht="12.75">
      <c r="A1831" s="6">
        <v>45631.347934664351</v>
      </c>
      <c r="B1831" s="7" t="s">
        <v>11</v>
      </c>
      <c r="C1831" s="5" t="str">
        <f>LEFT(Form_Responses1[[#This Row],[問１　あなたは何年生ですか。]],3)</f>
        <v>小学校</v>
      </c>
      <c r="D1831" s="7" t="s">
        <v>19</v>
      </c>
      <c r="E1831" s="7" t="s">
        <v>15</v>
      </c>
      <c r="F1831" s="7" t="s">
        <v>1390</v>
      </c>
    </row>
    <row r="1832" spans="1:6" ht="12.75">
      <c r="A1832" s="6">
        <v>45631.348361701384</v>
      </c>
      <c r="B1832" s="7" t="s">
        <v>11</v>
      </c>
      <c r="C1832" s="5" t="str">
        <f>LEFT(Form_Responses1[[#This Row],[問１　あなたは何年生ですか。]],3)</f>
        <v>小学校</v>
      </c>
      <c r="D1832" s="7" t="s">
        <v>17</v>
      </c>
      <c r="E1832" s="7" t="s">
        <v>7</v>
      </c>
      <c r="F1832" s="7" t="s">
        <v>1391</v>
      </c>
    </row>
    <row r="1833" spans="1:6" ht="12.75">
      <c r="A1833" s="6">
        <v>45631.34857318287</v>
      </c>
      <c r="B1833" s="7" t="s">
        <v>11</v>
      </c>
      <c r="C1833" s="5" t="str">
        <f>LEFT(Form_Responses1[[#This Row],[問１　あなたは何年生ですか。]],3)</f>
        <v>小学校</v>
      </c>
      <c r="D1833" s="7" t="s">
        <v>1392</v>
      </c>
      <c r="E1833" s="7" t="s">
        <v>10</v>
      </c>
      <c r="F1833" s="7" t="s">
        <v>1393</v>
      </c>
    </row>
    <row r="1834" spans="1:6" ht="12.75">
      <c r="A1834" s="6">
        <v>45631.355245254628</v>
      </c>
      <c r="B1834" s="7" t="s">
        <v>11</v>
      </c>
      <c r="C1834" s="5" t="str">
        <f>LEFT(Form_Responses1[[#This Row],[問１　あなたは何年生ですか。]],3)</f>
        <v>小学校</v>
      </c>
      <c r="D1834" s="7" t="s">
        <v>6</v>
      </c>
      <c r="E1834" s="7" t="s">
        <v>7</v>
      </c>
      <c r="F1834" s="7" t="s">
        <v>1394</v>
      </c>
    </row>
    <row r="1835" spans="1:6" ht="12.75">
      <c r="A1835" s="6">
        <v>45631.355872592598</v>
      </c>
      <c r="B1835" s="7" t="s">
        <v>11</v>
      </c>
      <c r="C1835" s="5" t="str">
        <f>LEFT(Form_Responses1[[#This Row],[問１　あなたは何年生ですか。]],3)</f>
        <v>小学校</v>
      </c>
      <c r="D1835" s="7" t="s">
        <v>6</v>
      </c>
      <c r="E1835" s="7" t="s">
        <v>7</v>
      </c>
      <c r="F1835" s="7" t="s">
        <v>1395</v>
      </c>
    </row>
    <row r="1836" spans="1:6" ht="12.75">
      <c r="A1836" s="6">
        <v>45631.356124004626</v>
      </c>
      <c r="B1836" s="7" t="s">
        <v>11</v>
      </c>
      <c r="C1836" s="5" t="str">
        <f>LEFT(Form_Responses1[[#This Row],[問１　あなたは何年生ですか。]],3)</f>
        <v>小学校</v>
      </c>
      <c r="D1836" s="7" t="s">
        <v>6</v>
      </c>
      <c r="E1836" s="7" t="s">
        <v>10</v>
      </c>
      <c r="F1836" s="7" t="s">
        <v>1396</v>
      </c>
    </row>
    <row r="1837" spans="1:6" ht="12.75">
      <c r="A1837" s="6">
        <v>45631.357162442131</v>
      </c>
      <c r="B1837" s="7" t="s">
        <v>11</v>
      </c>
      <c r="C1837" s="5" t="str">
        <f>LEFT(Form_Responses1[[#This Row],[問１　あなたは何年生ですか。]],3)</f>
        <v>小学校</v>
      </c>
      <c r="D1837" s="7" t="s">
        <v>6</v>
      </c>
      <c r="E1837" s="7" t="s">
        <v>10</v>
      </c>
      <c r="F1837" s="7" t="s">
        <v>766</v>
      </c>
    </row>
    <row r="1838" spans="1:6" ht="12.75">
      <c r="A1838" s="6">
        <v>45631.359603935183</v>
      </c>
      <c r="B1838" s="7" t="s">
        <v>11</v>
      </c>
      <c r="C1838" s="5" t="str">
        <f>LEFT(Form_Responses1[[#This Row],[問１　あなたは何年生ですか。]],3)</f>
        <v>小学校</v>
      </c>
      <c r="D1838" s="7" t="s">
        <v>19</v>
      </c>
      <c r="E1838" s="7" t="s">
        <v>7</v>
      </c>
      <c r="F1838" s="8"/>
    </row>
    <row r="1839" spans="1:6" ht="12.75">
      <c r="A1839" s="6">
        <v>45631.363355034722</v>
      </c>
      <c r="B1839" s="7" t="s">
        <v>23</v>
      </c>
      <c r="C1839" s="5" t="str">
        <f>LEFT(Form_Responses1[[#This Row],[問１　あなたは何年生ですか。]],3)</f>
        <v>小学校</v>
      </c>
      <c r="D1839" s="7" t="s">
        <v>6</v>
      </c>
      <c r="E1839" s="7" t="s">
        <v>15</v>
      </c>
      <c r="F1839" s="7" t="s">
        <v>1397</v>
      </c>
    </row>
    <row r="1840" spans="1:6" ht="12.75">
      <c r="A1840" s="6">
        <v>45631.363600578705</v>
      </c>
      <c r="B1840" s="7" t="s">
        <v>289</v>
      </c>
      <c r="C1840" s="5" t="str">
        <f>LEFT(Form_Responses1[[#This Row],[問１　あなたは何年生ですか。]],3)</f>
        <v>小学校</v>
      </c>
      <c r="D1840" s="7" t="s">
        <v>19</v>
      </c>
      <c r="E1840" s="7" t="s">
        <v>7</v>
      </c>
      <c r="F1840" s="7" t="s">
        <v>1398</v>
      </c>
    </row>
    <row r="1841" spans="1:6" ht="12.75">
      <c r="A1841" s="6">
        <v>45631.364014074075</v>
      </c>
      <c r="B1841" s="7" t="s">
        <v>289</v>
      </c>
      <c r="C1841" s="5" t="str">
        <f>LEFT(Form_Responses1[[#This Row],[問１　あなたは何年生ですか。]],3)</f>
        <v>小学校</v>
      </c>
      <c r="D1841" s="7" t="s">
        <v>6</v>
      </c>
      <c r="E1841" s="7" t="s">
        <v>10</v>
      </c>
      <c r="F1841" s="7" t="s">
        <v>1399</v>
      </c>
    </row>
    <row r="1842" spans="1:6" ht="12.75">
      <c r="A1842" s="6">
        <v>45631.364885451389</v>
      </c>
      <c r="B1842" s="7" t="s">
        <v>11</v>
      </c>
      <c r="C1842" s="5" t="str">
        <f>LEFT(Form_Responses1[[#This Row],[問１　あなたは何年生ですか。]],3)</f>
        <v>小学校</v>
      </c>
      <c r="D1842" s="7" t="s">
        <v>22</v>
      </c>
      <c r="E1842" s="7" t="s">
        <v>10</v>
      </c>
      <c r="F1842" s="7" t="s">
        <v>1400</v>
      </c>
    </row>
    <row r="1843" spans="1:6" ht="12.75">
      <c r="A1843" s="6">
        <v>45631.366611342593</v>
      </c>
      <c r="B1843" s="7" t="s">
        <v>13</v>
      </c>
      <c r="C1843" s="5" t="str">
        <f>LEFT(Form_Responses1[[#This Row],[問１　あなたは何年生ですか。]],3)</f>
        <v>小学校</v>
      </c>
      <c r="D1843" s="7" t="s">
        <v>6</v>
      </c>
      <c r="E1843" s="7" t="s">
        <v>10</v>
      </c>
      <c r="F1843" s="8"/>
    </row>
    <row r="1844" spans="1:6" ht="12.75">
      <c r="A1844" s="6">
        <v>45631.36676694444</v>
      </c>
      <c r="B1844" s="7" t="s">
        <v>13</v>
      </c>
      <c r="C1844" s="5" t="str">
        <f>LEFT(Form_Responses1[[#This Row],[問１　あなたは何年生ですか。]],3)</f>
        <v>小学校</v>
      </c>
      <c r="D1844" s="7" t="s">
        <v>6</v>
      </c>
      <c r="E1844" s="7" t="s">
        <v>10</v>
      </c>
      <c r="F1844" s="8"/>
    </row>
    <row r="1845" spans="1:6" ht="12.75">
      <c r="A1845" s="6">
        <v>45631.371824664355</v>
      </c>
      <c r="B1845" s="7" t="s">
        <v>21</v>
      </c>
      <c r="C1845" s="5" t="str">
        <f>LEFT(Form_Responses1[[#This Row],[問１　あなたは何年生ですか。]],3)</f>
        <v>小学校</v>
      </c>
      <c r="D1845" s="7" t="s">
        <v>9</v>
      </c>
      <c r="E1845" s="7" t="s">
        <v>10</v>
      </c>
      <c r="F1845" s="7" t="s">
        <v>1401</v>
      </c>
    </row>
    <row r="1846" spans="1:6" ht="12.75">
      <c r="A1846" s="6">
        <v>45631.375049224538</v>
      </c>
      <c r="B1846" s="7" t="s">
        <v>21</v>
      </c>
      <c r="C1846" s="5" t="str">
        <f>LEFT(Form_Responses1[[#This Row],[問１　あなたは何年生ですか。]],3)</f>
        <v>小学校</v>
      </c>
      <c r="D1846" s="7" t="s">
        <v>6</v>
      </c>
      <c r="E1846" s="7" t="s">
        <v>10</v>
      </c>
      <c r="F1846" s="7" t="s">
        <v>1402</v>
      </c>
    </row>
    <row r="1847" spans="1:6" ht="12.75">
      <c r="A1847" s="6">
        <v>45631.37657414352</v>
      </c>
      <c r="B1847" s="7" t="s">
        <v>11</v>
      </c>
      <c r="C1847" s="5" t="str">
        <f>LEFT(Form_Responses1[[#This Row],[問１　あなたは何年生ですか。]],3)</f>
        <v>小学校</v>
      </c>
      <c r="D1847" s="7" t="s">
        <v>1403</v>
      </c>
      <c r="E1847" s="7" t="s">
        <v>10</v>
      </c>
      <c r="F1847" s="7" t="s">
        <v>766</v>
      </c>
    </row>
    <row r="1848" spans="1:6" ht="12.75">
      <c r="A1848" s="6">
        <v>45631.38613875</v>
      </c>
      <c r="B1848" s="7" t="s">
        <v>13</v>
      </c>
      <c r="C1848" s="5" t="str">
        <f>LEFT(Form_Responses1[[#This Row],[問１　あなたは何年生ですか。]],3)</f>
        <v>小学校</v>
      </c>
      <c r="D1848" s="7" t="s">
        <v>22</v>
      </c>
      <c r="E1848" s="7" t="s">
        <v>10</v>
      </c>
      <c r="F1848" s="8"/>
    </row>
    <row r="1849" spans="1:6" ht="12.75">
      <c r="A1849" s="6">
        <v>45631.386152314815</v>
      </c>
      <c r="B1849" s="7" t="s">
        <v>13</v>
      </c>
      <c r="C1849" s="5" t="str">
        <f>LEFT(Form_Responses1[[#This Row],[問１　あなたは何年生ですか。]],3)</f>
        <v>小学校</v>
      </c>
      <c r="D1849" s="7">
        <v>0</v>
      </c>
      <c r="E1849" s="7" t="s">
        <v>10</v>
      </c>
      <c r="F1849" s="8"/>
    </row>
    <row r="1850" spans="1:6" ht="12.75">
      <c r="A1850" s="6">
        <v>45631.386154398147</v>
      </c>
      <c r="B1850" s="7" t="s">
        <v>13</v>
      </c>
      <c r="C1850" s="5" t="str">
        <f>LEFT(Form_Responses1[[#This Row],[問１　あなたは何年生ですか。]],3)</f>
        <v>小学校</v>
      </c>
      <c r="D1850" s="7" t="s">
        <v>22</v>
      </c>
      <c r="E1850" s="7" t="s">
        <v>7</v>
      </c>
      <c r="F1850" s="8"/>
    </row>
    <row r="1851" spans="1:6" ht="12.75">
      <c r="A1851" s="6">
        <v>45631.386156574074</v>
      </c>
      <c r="B1851" s="7" t="s">
        <v>13</v>
      </c>
      <c r="C1851" s="5" t="str">
        <f>LEFT(Form_Responses1[[#This Row],[問１　あなたは何年生ですか。]],3)</f>
        <v>小学校</v>
      </c>
      <c r="D1851" s="7" t="s">
        <v>12</v>
      </c>
      <c r="E1851" s="7" t="s">
        <v>10</v>
      </c>
      <c r="F1851" s="8"/>
    </row>
    <row r="1852" spans="1:6" ht="12.75">
      <c r="A1852" s="6">
        <v>45631.386157407411</v>
      </c>
      <c r="B1852" s="7" t="s">
        <v>13</v>
      </c>
      <c r="C1852" s="5" t="str">
        <f>LEFT(Form_Responses1[[#This Row],[問１　あなたは何年生ですか。]],3)</f>
        <v>小学校</v>
      </c>
      <c r="D1852" s="7" t="s">
        <v>22</v>
      </c>
      <c r="E1852" s="7" t="s">
        <v>10</v>
      </c>
      <c r="F1852" s="8"/>
    </row>
    <row r="1853" spans="1:6" ht="12.75">
      <c r="A1853" s="6">
        <v>45631.386159131944</v>
      </c>
      <c r="B1853" s="7" t="s">
        <v>13</v>
      </c>
      <c r="C1853" s="5" t="str">
        <f>LEFT(Form_Responses1[[#This Row],[問１　あなたは何年生ですか。]],3)</f>
        <v>小学校</v>
      </c>
      <c r="D1853" s="7" t="s">
        <v>12</v>
      </c>
      <c r="E1853" s="7" t="s">
        <v>10</v>
      </c>
      <c r="F1853" s="8"/>
    </row>
    <row r="1854" spans="1:6" ht="12.75">
      <c r="A1854" s="6">
        <v>45631.386160162037</v>
      </c>
      <c r="B1854" s="7" t="s">
        <v>13</v>
      </c>
      <c r="C1854" s="5" t="str">
        <f>LEFT(Form_Responses1[[#This Row],[問１　あなたは何年生ですか。]],3)</f>
        <v>小学校</v>
      </c>
      <c r="D1854" s="7" t="s">
        <v>6</v>
      </c>
      <c r="E1854" s="7" t="s">
        <v>10</v>
      </c>
      <c r="F1854" s="8"/>
    </row>
    <row r="1855" spans="1:6" ht="12.75">
      <c r="A1855" s="6">
        <v>45631.386161736111</v>
      </c>
      <c r="B1855" s="7" t="s">
        <v>13</v>
      </c>
      <c r="C1855" s="5" t="str">
        <f>LEFT(Form_Responses1[[#This Row],[問１　あなたは何年生ですか。]],3)</f>
        <v>小学校</v>
      </c>
      <c r="D1855" s="7" t="s">
        <v>22</v>
      </c>
      <c r="E1855" s="7" t="s">
        <v>10</v>
      </c>
      <c r="F1855" s="8"/>
    </row>
    <row r="1856" spans="1:6" ht="12.75">
      <c r="A1856" s="6">
        <v>45631.386162233801</v>
      </c>
      <c r="B1856" s="7" t="s">
        <v>13</v>
      </c>
      <c r="C1856" s="5" t="str">
        <f>LEFT(Form_Responses1[[#This Row],[問１　あなたは何年生ですか。]],3)</f>
        <v>小学校</v>
      </c>
      <c r="D1856" s="7" t="s">
        <v>12</v>
      </c>
      <c r="E1856" s="7" t="s">
        <v>10</v>
      </c>
      <c r="F1856" s="8"/>
    </row>
    <row r="1857" spans="1:6" ht="12.75">
      <c r="A1857" s="6">
        <v>45631.386164861113</v>
      </c>
      <c r="B1857" s="7" t="s">
        <v>13</v>
      </c>
      <c r="C1857" s="5" t="str">
        <f>LEFT(Form_Responses1[[#This Row],[問１　あなたは何年生ですか。]],3)</f>
        <v>小学校</v>
      </c>
      <c r="D1857" s="7" t="s">
        <v>24</v>
      </c>
      <c r="E1857" s="7" t="s">
        <v>10</v>
      </c>
      <c r="F1857" s="8"/>
    </row>
    <row r="1858" spans="1:6" ht="12.75">
      <c r="A1858" s="6">
        <v>45631.386167222227</v>
      </c>
      <c r="B1858" s="7" t="s">
        <v>13</v>
      </c>
      <c r="C1858" s="5" t="str">
        <f>LEFT(Form_Responses1[[#This Row],[問１　あなたは何年生ですか。]],3)</f>
        <v>小学校</v>
      </c>
      <c r="D1858" s="7" t="s">
        <v>6</v>
      </c>
      <c r="E1858" s="7" t="s">
        <v>10</v>
      </c>
      <c r="F1858" s="8"/>
    </row>
    <row r="1859" spans="1:6" ht="12.75">
      <c r="A1859" s="6">
        <v>45631.386167685181</v>
      </c>
      <c r="B1859" s="7" t="s">
        <v>13</v>
      </c>
      <c r="C1859" s="5" t="str">
        <f>LEFT(Form_Responses1[[#This Row],[問１　あなたは何年生ですか。]],3)</f>
        <v>小学校</v>
      </c>
      <c r="D1859" s="7" t="s">
        <v>12</v>
      </c>
      <c r="E1859" s="7" t="s">
        <v>10</v>
      </c>
      <c r="F1859" s="8"/>
    </row>
    <row r="1860" spans="1:6" ht="12.75">
      <c r="A1860" s="6">
        <v>45631.386169432866</v>
      </c>
      <c r="B1860" s="7" t="s">
        <v>13</v>
      </c>
      <c r="C1860" s="5" t="str">
        <f>LEFT(Form_Responses1[[#This Row],[問１　あなたは何年生ですか。]],3)</f>
        <v>小学校</v>
      </c>
      <c r="D1860" s="7" t="s">
        <v>6</v>
      </c>
      <c r="E1860" s="7" t="s">
        <v>10</v>
      </c>
      <c r="F1860" s="8"/>
    </row>
    <row r="1861" spans="1:6" ht="12.75">
      <c r="A1861" s="6">
        <v>45631.386170057871</v>
      </c>
      <c r="B1861" s="7" t="s">
        <v>13</v>
      </c>
      <c r="C1861" s="5" t="str">
        <f>LEFT(Form_Responses1[[#This Row],[問１　あなたは何年生ですか。]],3)</f>
        <v>小学校</v>
      </c>
      <c r="D1861" s="7" t="s">
        <v>6</v>
      </c>
      <c r="E1861" s="7" t="s">
        <v>7</v>
      </c>
      <c r="F1861" s="8"/>
    </row>
    <row r="1862" spans="1:6" ht="12.75">
      <c r="A1862" s="6">
        <v>45631.386173726853</v>
      </c>
      <c r="B1862" s="7" t="s">
        <v>13</v>
      </c>
      <c r="C1862" s="5" t="str">
        <f>LEFT(Form_Responses1[[#This Row],[問１　あなたは何年生ですか。]],3)</f>
        <v>小学校</v>
      </c>
      <c r="D1862" s="7" t="s">
        <v>22</v>
      </c>
      <c r="E1862" s="7" t="s">
        <v>10</v>
      </c>
      <c r="F1862" s="8"/>
    </row>
    <row r="1863" spans="1:6" ht="12.75">
      <c r="A1863" s="6">
        <v>45631.386181898153</v>
      </c>
      <c r="B1863" s="7" t="s">
        <v>13</v>
      </c>
      <c r="C1863" s="5" t="str">
        <f>LEFT(Form_Responses1[[#This Row],[問１　あなたは何年生ですか。]],3)</f>
        <v>小学校</v>
      </c>
      <c r="D1863" s="7" t="s">
        <v>6</v>
      </c>
      <c r="E1863" s="7" t="s">
        <v>10</v>
      </c>
      <c r="F1863" s="8"/>
    </row>
    <row r="1864" spans="1:6" ht="12.75">
      <c r="A1864" s="6">
        <v>45631.386184201387</v>
      </c>
      <c r="B1864" s="7" t="s">
        <v>13</v>
      </c>
      <c r="C1864" s="5" t="str">
        <f>LEFT(Form_Responses1[[#This Row],[問１　あなたは何年生ですか。]],3)</f>
        <v>小学校</v>
      </c>
      <c r="D1864" s="7" t="s">
        <v>22</v>
      </c>
      <c r="E1864" s="7" t="s">
        <v>10</v>
      </c>
      <c r="F1864" s="8"/>
    </row>
    <row r="1865" spans="1:6" ht="12.75">
      <c r="A1865" s="6">
        <v>45631.38618587963</v>
      </c>
      <c r="B1865" s="7" t="s">
        <v>13</v>
      </c>
      <c r="C1865" s="5" t="str">
        <f>LEFT(Form_Responses1[[#This Row],[問１　あなたは何年生ですか。]],3)</f>
        <v>小学校</v>
      </c>
      <c r="D1865" s="7" t="s">
        <v>6</v>
      </c>
      <c r="E1865" s="7" t="s">
        <v>10</v>
      </c>
      <c r="F1865" s="8"/>
    </row>
    <row r="1866" spans="1:6" ht="12.75">
      <c r="A1866" s="6">
        <v>45631.386206469906</v>
      </c>
      <c r="B1866" s="7" t="s">
        <v>13</v>
      </c>
      <c r="C1866" s="5" t="str">
        <f>LEFT(Form_Responses1[[#This Row],[問１　あなたは何年生ですか。]],3)</f>
        <v>小学校</v>
      </c>
      <c r="D1866" s="7" t="s">
        <v>6</v>
      </c>
      <c r="E1866" s="7" t="s">
        <v>10</v>
      </c>
      <c r="F1866" s="8"/>
    </row>
    <row r="1867" spans="1:6" ht="12.75">
      <c r="A1867" s="6">
        <v>45631.386236192135</v>
      </c>
      <c r="B1867" s="7" t="s">
        <v>13</v>
      </c>
      <c r="C1867" s="5" t="str">
        <f>LEFT(Form_Responses1[[#This Row],[問１　あなたは何年生ですか。]],3)</f>
        <v>小学校</v>
      </c>
      <c r="D1867" s="7" t="s">
        <v>6</v>
      </c>
      <c r="E1867" s="7" t="s">
        <v>10</v>
      </c>
      <c r="F1867" s="8"/>
    </row>
    <row r="1868" spans="1:6" ht="12.75">
      <c r="A1868" s="6">
        <v>45631.386432777777</v>
      </c>
      <c r="B1868" s="7" t="s">
        <v>13</v>
      </c>
      <c r="C1868" s="5" t="str">
        <f>LEFT(Form_Responses1[[#This Row],[問１　あなたは何年生ですか。]],3)</f>
        <v>小学校</v>
      </c>
      <c r="D1868" s="7" t="s">
        <v>47</v>
      </c>
      <c r="E1868" s="7" t="s">
        <v>10</v>
      </c>
      <c r="F1868" s="8"/>
    </row>
    <row r="1869" spans="1:6" ht="12.75">
      <c r="A1869" s="6">
        <v>45631.387838645838</v>
      </c>
      <c r="B1869" s="7" t="s">
        <v>13</v>
      </c>
      <c r="C1869" s="5" t="str">
        <f>LEFT(Form_Responses1[[#This Row],[問１　あなたは何年生ですか。]],3)</f>
        <v>小学校</v>
      </c>
      <c r="D1869" s="7" t="s">
        <v>1404</v>
      </c>
      <c r="E1869" s="7" t="s">
        <v>7</v>
      </c>
      <c r="F1869" s="8"/>
    </row>
    <row r="1870" spans="1:6" ht="12.75">
      <c r="A1870" s="6">
        <v>45631.388053240742</v>
      </c>
      <c r="B1870" s="7" t="s">
        <v>13</v>
      </c>
      <c r="C1870" s="5" t="str">
        <f>LEFT(Form_Responses1[[#This Row],[問１　あなたは何年生ですか。]],3)</f>
        <v>小学校</v>
      </c>
      <c r="D1870" s="7" t="s">
        <v>47</v>
      </c>
      <c r="E1870" s="7" t="s">
        <v>10</v>
      </c>
      <c r="F1870" s="8"/>
    </row>
    <row r="1871" spans="1:6" ht="12.75">
      <c r="A1871" s="6">
        <v>45631.389120150459</v>
      </c>
      <c r="B1871" s="7" t="s">
        <v>13</v>
      </c>
      <c r="C1871" s="5" t="str">
        <f>LEFT(Form_Responses1[[#This Row],[問１　あなたは何年生ですか。]],3)</f>
        <v>小学校</v>
      </c>
      <c r="D1871" s="7" t="s">
        <v>6</v>
      </c>
      <c r="E1871" s="7" t="s">
        <v>10</v>
      </c>
      <c r="F1871" s="8"/>
    </row>
    <row r="1872" spans="1:6" ht="12.75">
      <c r="A1872" s="6">
        <v>45631.398525023149</v>
      </c>
      <c r="B1872" s="7" t="s">
        <v>13</v>
      </c>
      <c r="C1872" s="5" t="str">
        <f>LEFT(Form_Responses1[[#This Row],[問１　あなたは何年生ですか。]],3)</f>
        <v>小学校</v>
      </c>
      <c r="D1872" s="7" t="s">
        <v>6</v>
      </c>
      <c r="E1872" s="7" t="s">
        <v>10</v>
      </c>
      <c r="F1872" s="8"/>
    </row>
    <row r="1873" spans="1:6" ht="12.75">
      <c r="A1873" s="6">
        <v>45631.398561157403</v>
      </c>
      <c r="B1873" s="7" t="s">
        <v>13</v>
      </c>
      <c r="C1873" s="5" t="str">
        <f>LEFT(Form_Responses1[[#This Row],[問１　あなたは何年生ですか。]],3)</f>
        <v>小学校</v>
      </c>
      <c r="D1873" s="7" t="s">
        <v>22</v>
      </c>
      <c r="E1873" s="7" t="s">
        <v>10</v>
      </c>
      <c r="F1873" s="8"/>
    </row>
    <row r="1874" spans="1:6" ht="12.75">
      <c r="A1874" s="6">
        <v>45631.398570011574</v>
      </c>
      <c r="B1874" s="7" t="s">
        <v>13</v>
      </c>
      <c r="C1874" s="5" t="str">
        <f>LEFT(Form_Responses1[[#This Row],[問１　あなたは何年生ですか。]],3)</f>
        <v>小学校</v>
      </c>
      <c r="D1874" s="7" t="s">
        <v>6</v>
      </c>
      <c r="E1874" s="7" t="s">
        <v>10</v>
      </c>
      <c r="F1874" s="8"/>
    </row>
    <row r="1875" spans="1:6" ht="12.75">
      <c r="A1875" s="6">
        <v>45631.398571018522</v>
      </c>
      <c r="B1875" s="7" t="s">
        <v>13</v>
      </c>
      <c r="C1875" s="5" t="str">
        <f>LEFT(Form_Responses1[[#This Row],[問１　あなたは何年生ですか。]],3)</f>
        <v>小学校</v>
      </c>
      <c r="D1875" s="7" t="s">
        <v>6</v>
      </c>
      <c r="E1875" s="7" t="s">
        <v>10</v>
      </c>
      <c r="F1875" s="8"/>
    </row>
    <row r="1876" spans="1:6" ht="12.75">
      <c r="A1876" s="6">
        <v>45631.398571898149</v>
      </c>
      <c r="B1876" s="7" t="s">
        <v>13</v>
      </c>
      <c r="C1876" s="5" t="str">
        <f>LEFT(Form_Responses1[[#This Row],[問１　あなたは何年生ですか。]],3)</f>
        <v>小学校</v>
      </c>
      <c r="D1876" s="7" t="s">
        <v>22</v>
      </c>
      <c r="E1876" s="7" t="s">
        <v>7</v>
      </c>
      <c r="F1876" s="8"/>
    </row>
    <row r="1877" spans="1:6" ht="12.75">
      <c r="A1877" s="6">
        <v>45631.398574699073</v>
      </c>
      <c r="B1877" s="7" t="s">
        <v>13</v>
      </c>
      <c r="C1877" s="5" t="str">
        <f>LEFT(Form_Responses1[[#This Row],[問１　あなたは何年生ですか。]],3)</f>
        <v>小学校</v>
      </c>
      <c r="D1877" s="7" t="s">
        <v>19</v>
      </c>
      <c r="E1877" s="7" t="s">
        <v>10</v>
      </c>
      <c r="F1877" s="8"/>
    </row>
    <row r="1878" spans="1:6" ht="12.75">
      <c r="A1878" s="6">
        <v>45631.398574722218</v>
      </c>
      <c r="B1878" s="7" t="s">
        <v>13</v>
      </c>
      <c r="C1878" s="5" t="str">
        <f>LEFT(Form_Responses1[[#This Row],[問１　あなたは何年生ですか。]],3)</f>
        <v>小学校</v>
      </c>
      <c r="D1878" s="7" t="s">
        <v>24</v>
      </c>
      <c r="E1878" s="7" t="s">
        <v>10</v>
      </c>
      <c r="F1878" s="8"/>
    </row>
    <row r="1879" spans="1:6" ht="12.75">
      <c r="A1879" s="6">
        <v>45631.398575636573</v>
      </c>
      <c r="B1879" s="7" t="s">
        <v>13</v>
      </c>
      <c r="C1879" s="5" t="str">
        <f>LEFT(Form_Responses1[[#This Row],[問１　あなたは何年生ですか。]],3)</f>
        <v>小学校</v>
      </c>
      <c r="D1879" s="7" t="s">
        <v>6</v>
      </c>
      <c r="E1879" s="7" t="s">
        <v>15</v>
      </c>
      <c r="F1879" s="8"/>
    </row>
    <row r="1880" spans="1:6" ht="12.75">
      <c r="A1880" s="6">
        <v>45631.398576516207</v>
      </c>
      <c r="B1880" s="7" t="s">
        <v>13</v>
      </c>
      <c r="C1880" s="5" t="str">
        <f>LEFT(Form_Responses1[[#This Row],[問１　あなたは何年生ですか。]],3)</f>
        <v>小学校</v>
      </c>
      <c r="D1880" s="7" t="s">
        <v>9</v>
      </c>
      <c r="E1880" s="7" t="s">
        <v>7</v>
      </c>
      <c r="F1880" s="8"/>
    </row>
    <row r="1881" spans="1:6" ht="12.75">
      <c r="A1881" s="6">
        <v>45631.398578518521</v>
      </c>
      <c r="B1881" s="7" t="s">
        <v>13</v>
      </c>
      <c r="C1881" s="5" t="str">
        <f>LEFT(Form_Responses1[[#This Row],[問１　あなたは何年生ですか。]],3)</f>
        <v>小学校</v>
      </c>
      <c r="D1881" s="7" t="s">
        <v>30</v>
      </c>
      <c r="E1881" s="7" t="s">
        <v>15</v>
      </c>
      <c r="F1881" s="8"/>
    </row>
    <row r="1882" spans="1:6" ht="12.75">
      <c r="A1882" s="6">
        <v>45631.398594166661</v>
      </c>
      <c r="B1882" s="7" t="s">
        <v>13</v>
      </c>
      <c r="C1882" s="5" t="str">
        <f>LEFT(Form_Responses1[[#This Row],[問１　あなたは何年生ですか。]],3)</f>
        <v>小学校</v>
      </c>
      <c r="D1882" s="7" t="s">
        <v>6</v>
      </c>
      <c r="E1882" s="7" t="s">
        <v>10</v>
      </c>
      <c r="F1882" s="8"/>
    </row>
    <row r="1883" spans="1:6" ht="12.75">
      <c r="A1883" s="6">
        <v>45631.398600277782</v>
      </c>
      <c r="B1883" s="7" t="s">
        <v>13</v>
      </c>
      <c r="C1883" s="5" t="str">
        <f>LEFT(Form_Responses1[[#This Row],[問１　あなたは何年生ですか。]],3)</f>
        <v>小学校</v>
      </c>
      <c r="D1883" s="7" t="s">
        <v>24</v>
      </c>
      <c r="E1883" s="7" t="s">
        <v>10</v>
      </c>
      <c r="F1883" s="8"/>
    </row>
    <row r="1884" spans="1:6" ht="12.75">
      <c r="A1884" s="6">
        <v>45631.398613807869</v>
      </c>
      <c r="B1884" s="7" t="s">
        <v>13</v>
      </c>
      <c r="C1884" s="5" t="str">
        <f>LEFT(Form_Responses1[[#This Row],[問１　あなたは何年生ですか。]],3)</f>
        <v>小学校</v>
      </c>
      <c r="D1884" s="7" t="s">
        <v>19</v>
      </c>
      <c r="E1884" s="7" t="s">
        <v>10</v>
      </c>
      <c r="F1884" s="8"/>
    </row>
    <row r="1885" spans="1:6" ht="12.75">
      <c r="A1885" s="6">
        <v>45631.39864619213</v>
      </c>
      <c r="B1885" s="7" t="s">
        <v>13</v>
      </c>
      <c r="C1885" s="5" t="str">
        <f>LEFT(Form_Responses1[[#This Row],[問１　あなたは何年生ですか。]],3)</f>
        <v>小学校</v>
      </c>
      <c r="D1885" s="7" t="s">
        <v>9</v>
      </c>
      <c r="E1885" s="7" t="s">
        <v>10</v>
      </c>
      <c r="F1885" s="8"/>
    </row>
    <row r="1886" spans="1:6" ht="12.75">
      <c r="A1886" s="6">
        <v>45631.398875555555</v>
      </c>
      <c r="B1886" s="7" t="s">
        <v>13</v>
      </c>
      <c r="C1886" s="5" t="str">
        <f>LEFT(Form_Responses1[[#This Row],[問１　あなたは何年生ですか。]],3)</f>
        <v>小学校</v>
      </c>
      <c r="D1886" s="7" t="s">
        <v>12</v>
      </c>
      <c r="E1886" s="7" t="s">
        <v>10</v>
      </c>
      <c r="F1886" s="8"/>
    </row>
    <row r="1887" spans="1:6" ht="12.75">
      <c r="A1887" s="6">
        <v>45631.399408784724</v>
      </c>
      <c r="B1887" s="7" t="s">
        <v>13</v>
      </c>
      <c r="C1887" s="5" t="str">
        <f>LEFT(Form_Responses1[[#This Row],[問１　あなたは何年生ですか。]],3)</f>
        <v>小学校</v>
      </c>
      <c r="D1887" s="7" t="s">
        <v>24</v>
      </c>
      <c r="E1887" s="7" t="s">
        <v>7</v>
      </c>
      <c r="F1887" s="8"/>
    </row>
    <row r="1888" spans="1:6" ht="12.75">
      <c r="A1888" s="6">
        <v>45631.399688194448</v>
      </c>
      <c r="B1888" s="7" t="s">
        <v>13</v>
      </c>
      <c r="C1888" s="5" t="str">
        <f>LEFT(Form_Responses1[[#This Row],[問１　あなたは何年生ですか。]],3)</f>
        <v>小学校</v>
      </c>
      <c r="D1888" s="7" t="s">
        <v>22</v>
      </c>
      <c r="E1888" s="7" t="s">
        <v>7</v>
      </c>
      <c r="F1888" s="8"/>
    </row>
    <row r="1889" spans="1:6" ht="12.75">
      <c r="A1889" s="6">
        <v>45631.409681192134</v>
      </c>
      <c r="B1889" s="7" t="s">
        <v>23</v>
      </c>
      <c r="C1889" s="5" t="str">
        <f>LEFT(Form_Responses1[[#This Row],[問１　あなたは何年生ですか。]],3)</f>
        <v>小学校</v>
      </c>
      <c r="D1889" s="7" t="s">
        <v>6</v>
      </c>
      <c r="E1889" s="7" t="s">
        <v>10</v>
      </c>
      <c r="F1889" s="7" t="s">
        <v>1405</v>
      </c>
    </row>
    <row r="1890" spans="1:6" ht="12.75">
      <c r="A1890" s="6">
        <v>45631.442486562504</v>
      </c>
      <c r="B1890" s="7" t="s">
        <v>13</v>
      </c>
      <c r="C1890" s="5" t="str">
        <f>LEFT(Form_Responses1[[#This Row],[問１　あなたは何年生ですか。]],3)</f>
        <v>小学校</v>
      </c>
      <c r="D1890" s="7" t="s">
        <v>22</v>
      </c>
      <c r="E1890" s="7" t="s">
        <v>10</v>
      </c>
      <c r="F1890" s="8"/>
    </row>
    <row r="1891" spans="1:6" ht="12.75">
      <c r="A1891" s="6">
        <v>45631.442540914351</v>
      </c>
      <c r="B1891" s="7" t="s">
        <v>23</v>
      </c>
      <c r="C1891" s="5" t="str">
        <f>LEFT(Form_Responses1[[#This Row],[問１　あなたは何年生ですか。]],3)</f>
        <v>小学校</v>
      </c>
      <c r="D1891" s="7" t="s">
        <v>6</v>
      </c>
      <c r="E1891" s="7" t="s">
        <v>10</v>
      </c>
      <c r="F1891" s="8"/>
    </row>
    <row r="1892" spans="1:6" ht="12.75">
      <c r="A1892" s="6">
        <v>45631.454226006943</v>
      </c>
      <c r="B1892" s="7" t="s">
        <v>13</v>
      </c>
      <c r="C1892" s="5" t="str">
        <f>LEFT(Form_Responses1[[#This Row],[問１　あなたは何年生ですか。]],3)</f>
        <v>小学校</v>
      </c>
      <c r="D1892" s="7" t="s">
        <v>22</v>
      </c>
      <c r="E1892" s="7" t="s">
        <v>10</v>
      </c>
      <c r="F1892" s="8"/>
    </row>
    <row r="1893" spans="1:6" ht="12.75">
      <c r="A1893" s="6">
        <v>45631.454227245369</v>
      </c>
      <c r="B1893" s="7" t="s">
        <v>13</v>
      </c>
      <c r="C1893" s="5" t="str">
        <f>LEFT(Form_Responses1[[#This Row],[問１　あなたは何年生ですか。]],3)</f>
        <v>小学校</v>
      </c>
      <c r="D1893" s="7" t="s">
        <v>6</v>
      </c>
      <c r="E1893" s="7" t="s">
        <v>10</v>
      </c>
      <c r="F1893" s="8"/>
    </row>
    <row r="1894" spans="1:6" ht="12.75">
      <c r="A1894" s="6">
        <v>45631.454235694444</v>
      </c>
      <c r="B1894" s="7" t="s">
        <v>13</v>
      </c>
      <c r="C1894" s="5" t="str">
        <f>LEFT(Form_Responses1[[#This Row],[問１　あなたは何年生ですか。]],3)</f>
        <v>小学校</v>
      </c>
      <c r="D1894" s="7" t="s">
        <v>22</v>
      </c>
      <c r="E1894" s="7" t="s">
        <v>7</v>
      </c>
      <c r="F1894" s="8"/>
    </row>
    <row r="1895" spans="1:6" ht="12.75">
      <c r="A1895" s="6">
        <v>45631.454236331017</v>
      </c>
      <c r="B1895" s="7" t="s">
        <v>13</v>
      </c>
      <c r="C1895" s="5" t="str">
        <f>LEFT(Form_Responses1[[#This Row],[問１　あなたは何年生ですか。]],3)</f>
        <v>小学校</v>
      </c>
      <c r="D1895" s="7" t="s">
        <v>24</v>
      </c>
      <c r="E1895" s="7" t="s">
        <v>10</v>
      </c>
      <c r="F1895" s="8"/>
    </row>
    <row r="1896" spans="1:6" ht="12.75">
      <c r="A1896" s="6">
        <v>45631.454236921301</v>
      </c>
      <c r="B1896" s="7" t="s">
        <v>13</v>
      </c>
      <c r="C1896" s="5" t="str">
        <f>LEFT(Form_Responses1[[#This Row],[問１　あなたは何年生ですか。]],3)</f>
        <v>小学校</v>
      </c>
      <c r="D1896" s="7" t="s">
        <v>22</v>
      </c>
      <c r="E1896" s="7" t="s">
        <v>10</v>
      </c>
      <c r="F1896" s="8"/>
    </row>
    <row r="1897" spans="1:6" ht="12.75">
      <c r="A1897" s="6">
        <v>45631.454244444445</v>
      </c>
      <c r="B1897" s="7" t="s">
        <v>13</v>
      </c>
      <c r="C1897" s="5" t="str">
        <f>LEFT(Form_Responses1[[#This Row],[問１　あなたは何年生ですか。]],3)</f>
        <v>小学校</v>
      </c>
      <c r="D1897" s="7" t="s">
        <v>6</v>
      </c>
      <c r="E1897" s="7" t="s">
        <v>10</v>
      </c>
      <c r="F1897" s="8"/>
    </row>
    <row r="1898" spans="1:6" ht="12.75">
      <c r="A1898" s="6">
        <v>45631.4542525</v>
      </c>
      <c r="B1898" s="7" t="s">
        <v>13</v>
      </c>
      <c r="C1898" s="5" t="str">
        <f>LEFT(Form_Responses1[[#This Row],[問１　あなたは何年生ですか。]],3)</f>
        <v>小学校</v>
      </c>
      <c r="D1898" s="7" t="s">
        <v>22</v>
      </c>
      <c r="E1898" s="7" t="s">
        <v>10</v>
      </c>
      <c r="F1898" s="8"/>
    </row>
    <row r="1899" spans="1:6" ht="12.75">
      <c r="A1899" s="6">
        <v>45631.454270046292</v>
      </c>
      <c r="B1899" s="7" t="s">
        <v>13</v>
      </c>
      <c r="C1899" s="5" t="str">
        <f>LEFT(Form_Responses1[[#This Row],[問１　あなたは何年生ですか。]],3)</f>
        <v>小学校</v>
      </c>
      <c r="D1899" s="7" t="s">
        <v>6</v>
      </c>
      <c r="E1899" s="7" t="s">
        <v>10</v>
      </c>
      <c r="F1899" s="8"/>
    </row>
    <row r="1900" spans="1:6" ht="12.75">
      <c r="A1900" s="6">
        <v>45631.45430380787</v>
      </c>
      <c r="B1900" s="7" t="s">
        <v>13</v>
      </c>
      <c r="C1900" s="5" t="str">
        <f>LEFT(Form_Responses1[[#This Row],[問１　あなたは何年生ですか。]],3)</f>
        <v>小学校</v>
      </c>
      <c r="D1900" s="7" t="s">
        <v>24</v>
      </c>
      <c r="E1900" s="7" t="s">
        <v>10</v>
      </c>
      <c r="F1900" s="8"/>
    </row>
    <row r="1901" spans="1:6" ht="12.75">
      <c r="A1901" s="6">
        <v>45631.454789039351</v>
      </c>
      <c r="B1901" s="7" t="s">
        <v>13</v>
      </c>
      <c r="C1901" s="5" t="str">
        <f>LEFT(Form_Responses1[[#This Row],[問１　あなたは何年生ですか。]],3)</f>
        <v>小学校</v>
      </c>
      <c r="D1901" s="7" t="s">
        <v>22</v>
      </c>
      <c r="E1901" s="7" t="s">
        <v>7</v>
      </c>
      <c r="F1901" s="8"/>
    </row>
    <row r="1902" spans="1:6" ht="12.75">
      <c r="A1902" s="6">
        <v>45631.455323425922</v>
      </c>
      <c r="B1902" s="7" t="s">
        <v>8</v>
      </c>
      <c r="C1902" s="5" t="str">
        <f>LEFT(Form_Responses1[[#This Row],[問１　あなたは何年生ですか。]],3)</f>
        <v>小学校</v>
      </c>
      <c r="D1902" s="7" t="s">
        <v>22</v>
      </c>
      <c r="E1902" s="7" t="s">
        <v>7</v>
      </c>
      <c r="F1902" s="7" t="s">
        <v>52</v>
      </c>
    </row>
    <row r="1903" spans="1:6" ht="12.75">
      <c r="A1903" s="6">
        <v>45631.455487650463</v>
      </c>
      <c r="B1903" s="7" t="s">
        <v>13</v>
      </c>
      <c r="C1903" s="5" t="str">
        <f>LEFT(Form_Responses1[[#This Row],[問１　あなたは何年生ですか。]],3)</f>
        <v>小学校</v>
      </c>
      <c r="D1903" s="7" t="s">
        <v>6</v>
      </c>
      <c r="E1903" s="7" t="s">
        <v>67</v>
      </c>
      <c r="F1903" s="8"/>
    </row>
    <row r="1904" spans="1:6" ht="12.75">
      <c r="A1904" s="6">
        <v>45631.455577071756</v>
      </c>
      <c r="B1904" s="7" t="s">
        <v>13</v>
      </c>
      <c r="C1904" s="5" t="str">
        <f>LEFT(Form_Responses1[[#This Row],[問１　あなたは何年生ですか。]],3)</f>
        <v>小学校</v>
      </c>
      <c r="D1904" s="7" t="s">
        <v>6</v>
      </c>
      <c r="E1904" s="7" t="s">
        <v>10</v>
      </c>
      <c r="F1904" s="7" t="s">
        <v>1406</v>
      </c>
    </row>
    <row r="1905" spans="1:6" ht="12.75">
      <c r="A1905" s="6">
        <v>45631.455751921298</v>
      </c>
      <c r="B1905" s="7" t="s">
        <v>13</v>
      </c>
      <c r="C1905" s="5" t="str">
        <f>LEFT(Form_Responses1[[#This Row],[問１　あなたは何年生ですか。]],3)</f>
        <v>小学校</v>
      </c>
      <c r="D1905" s="7" t="s">
        <v>19</v>
      </c>
      <c r="E1905" s="7" t="s">
        <v>10</v>
      </c>
      <c r="F1905" s="7" t="s">
        <v>1407</v>
      </c>
    </row>
    <row r="1906" spans="1:6" ht="12.75">
      <c r="A1906" s="6">
        <v>45631.456063229169</v>
      </c>
      <c r="B1906" s="7" t="s">
        <v>13</v>
      </c>
      <c r="C1906" s="5" t="str">
        <f>LEFT(Form_Responses1[[#This Row],[問１　あなたは何年生ですか。]],3)</f>
        <v>小学校</v>
      </c>
      <c r="D1906" s="7" t="s">
        <v>22</v>
      </c>
      <c r="E1906" s="7" t="s">
        <v>10</v>
      </c>
      <c r="F1906" s="7" t="s">
        <v>1408</v>
      </c>
    </row>
    <row r="1907" spans="1:6" ht="12.75">
      <c r="A1907" s="6">
        <v>45631.456222662033</v>
      </c>
      <c r="B1907" s="7" t="s">
        <v>13</v>
      </c>
      <c r="C1907" s="5" t="str">
        <f>LEFT(Form_Responses1[[#This Row],[問１　あなたは何年生ですか。]],3)</f>
        <v>小学校</v>
      </c>
      <c r="D1907" s="7" t="s">
        <v>24</v>
      </c>
      <c r="E1907" s="7" t="s">
        <v>10</v>
      </c>
      <c r="F1907" s="7" t="s">
        <v>52</v>
      </c>
    </row>
    <row r="1908" spans="1:6" ht="12.75">
      <c r="A1908" s="6">
        <v>45631.456242754633</v>
      </c>
      <c r="B1908" s="7" t="s">
        <v>13</v>
      </c>
      <c r="C1908" s="5" t="str">
        <f>LEFT(Form_Responses1[[#This Row],[問１　あなたは何年生ですか。]],3)</f>
        <v>小学校</v>
      </c>
      <c r="D1908" s="7" t="s">
        <v>22</v>
      </c>
      <c r="E1908" s="7" t="s">
        <v>10</v>
      </c>
      <c r="F1908" s="7" t="s">
        <v>1409</v>
      </c>
    </row>
    <row r="1909" spans="1:6" ht="12.75">
      <c r="A1909" s="6">
        <v>45631.476327638884</v>
      </c>
      <c r="B1909" s="7" t="s">
        <v>289</v>
      </c>
      <c r="C1909" s="5" t="str">
        <f>LEFT(Form_Responses1[[#This Row],[問１　あなたは何年生ですか。]],3)</f>
        <v>小学校</v>
      </c>
      <c r="D1909" s="7" t="s">
        <v>6</v>
      </c>
      <c r="E1909" s="7" t="s">
        <v>7</v>
      </c>
      <c r="F1909" s="8"/>
    </row>
    <row r="1910" spans="1:6" ht="12.75">
      <c r="A1910" s="6">
        <v>45631.476842766206</v>
      </c>
      <c r="B1910" s="7" t="s">
        <v>289</v>
      </c>
      <c r="C1910" s="5" t="str">
        <f>LEFT(Form_Responses1[[#This Row],[問１　あなたは何年生ですか。]],3)</f>
        <v>小学校</v>
      </c>
      <c r="D1910" s="7" t="s">
        <v>6</v>
      </c>
      <c r="E1910" s="7" t="s">
        <v>10</v>
      </c>
      <c r="F1910" s="8"/>
    </row>
    <row r="1911" spans="1:6" ht="12.75">
      <c r="A1911" s="6">
        <v>45631.477948969907</v>
      </c>
      <c r="B1911" s="7" t="s">
        <v>289</v>
      </c>
      <c r="C1911" s="5" t="str">
        <f>LEFT(Form_Responses1[[#This Row],[問１　あなたは何年生ですか。]],3)</f>
        <v>小学校</v>
      </c>
      <c r="D1911" s="7" t="s">
        <v>6</v>
      </c>
      <c r="E1911" s="7" t="s">
        <v>10</v>
      </c>
      <c r="F1911" s="7" t="s">
        <v>1410</v>
      </c>
    </row>
    <row r="1912" spans="1:6" ht="12.75">
      <c r="A1912" s="6">
        <v>45631.478318761576</v>
      </c>
      <c r="B1912" s="7" t="s">
        <v>289</v>
      </c>
      <c r="C1912" s="5" t="str">
        <f>LEFT(Form_Responses1[[#This Row],[問１　あなたは何年生ですか。]],3)</f>
        <v>小学校</v>
      </c>
      <c r="D1912" s="7" t="s">
        <v>1411</v>
      </c>
      <c r="E1912" s="7" t="s">
        <v>10</v>
      </c>
      <c r="F1912" s="7" t="s">
        <v>1412</v>
      </c>
    </row>
    <row r="1913" spans="1:6" ht="12.75">
      <c r="A1913" s="6">
        <v>45631.478371770834</v>
      </c>
      <c r="B1913" s="7" t="s">
        <v>289</v>
      </c>
      <c r="C1913" s="5" t="str">
        <f>LEFT(Form_Responses1[[#This Row],[問１　あなたは何年生ですか。]],3)</f>
        <v>小学校</v>
      </c>
      <c r="D1913" s="7" t="s">
        <v>6</v>
      </c>
      <c r="E1913" s="7" t="s">
        <v>10</v>
      </c>
      <c r="F1913" s="7" t="s">
        <v>1413</v>
      </c>
    </row>
    <row r="1914" spans="1:6" ht="12.75">
      <c r="A1914" s="6">
        <v>45631.478488460649</v>
      </c>
      <c r="B1914" s="7" t="s">
        <v>289</v>
      </c>
      <c r="C1914" s="5" t="str">
        <f>LEFT(Form_Responses1[[#This Row],[問１　あなたは何年生ですか。]],3)</f>
        <v>小学校</v>
      </c>
      <c r="D1914" s="7" t="s">
        <v>1414</v>
      </c>
      <c r="E1914" s="7" t="s">
        <v>10</v>
      </c>
      <c r="F1914" s="7" t="s">
        <v>1415</v>
      </c>
    </row>
    <row r="1915" spans="1:6" ht="12.75">
      <c r="A1915" s="6">
        <v>45631.478936493055</v>
      </c>
      <c r="B1915" s="7" t="s">
        <v>289</v>
      </c>
      <c r="C1915" s="5" t="str">
        <f>LEFT(Form_Responses1[[#This Row],[問１　あなたは何年生ですか。]],3)</f>
        <v>小学校</v>
      </c>
      <c r="D1915" s="7" t="s">
        <v>6</v>
      </c>
      <c r="E1915" s="7" t="s">
        <v>10</v>
      </c>
      <c r="F1915" s="7" t="s">
        <v>1416</v>
      </c>
    </row>
    <row r="1916" spans="1:6" ht="12.75">
      <c r="A1916" s="6">
        <v>45631.478946805553</v>
      </c>
      <c r="B1916" s="7" t="s">
        <v>289</v>
      </c>
      <c r="C1916" s="5" t="str">
        <f>LEFT(Form_Responses1[[#This Row],[問１　あなたは何年生ですか。]],3)</f>
        <v>小学校</v>
      </c>
      <c r="D1916" s="7" t="s">
        <v>19</v>
      </c>
      <c r="E1916" s="7" t="s">
        <v>7</v>
      </c>
      <c r="F1916" s="7" t="s">
        <v>1417</v>
      </c>
    </row>
    <row r="1917" spans="1:6" ht="12.75">
      <c r="A1917" s="6">
        <v>45631.478964502312</v>
      </c>
      <c r="B1917" s="7" t="s">
        <v>289</v>
      </c>
      <c r="C1917" s="5" t="str">
        <f>LEFT(Form_Responses1[[#This Row],[問１　あなたは何年生ですか。]],3)</f>
        <v>小学校</v>
      </c>
      <c r="D1917" s="7" t="s">
        <v>6</v>
      </c>
      <c r="E1917" s="7" t="s">
        <v>7</v>
      </c>
      <c r="F1917" s="7" t="s">
        <v>1418</v>
      </c>
    </row>
    <row r="1918" spans="1:6" ht="12.75">
      <c r="A1918" s="6">
        <v>45631.479244722221</v>
      </c>
      <c r="B1918" s="7" t="s">
        <v>289</v>
      </c>
      <c r="C1918" s="5" t="str">
        <f>LEFT(Form_Responses1[[#This Row],[問１　あなたは何年生ですか。]],3)</f>
        <v>小学校</v>
      </c>
      <c r="D1918" s="7" t="s">
        <v>24</v>
      </c>
      <c r="E1918" s="7" t="s">
        <v>10</v>
      </c>
      <c r="F1918" s="7" t="s">
        <v>1419</v>
      </c>
    </row>
    <row r="1919" spans="1:6" ht="12.75">
      <c r="A1919" s="6">
        <v>45631.479389907407</v>
      </c>
      <c r="B1919" s="7" t="s">
        <v>289</v>
      </c>
      <c r="C1919" s="5" t="str">
        <f>LEFT(Form_Responses1[[#This Row],[問１　あなたは何年生ですか。]],3)</f>
        <v>小学校</v>
      </c>
      <c r="D1919" s="7" t="s">
        <v>24</v>
      </c>
      <c r="E1919" s="7" t="s">
        <v>10</v>
      </c>
      <c r="F1919" s="7" t="s">
        <v>1420</v>
      </c>
    </row>
    <row r="1920" spans="1:6" ht="12.75">
      <c r="A1920" s="6">
        <v>45631.480156342594</v>
      </c>
      <c r="B1920" s="7" t="s">
        <v>289</v>
      </c>
      <c r="C1920" s="5" t="str">
        <f>LEFT(Form_Responses1[[#This Row],[問１　あなたは何年生ですか。]],3)</f>
        <v>小学校</v>
      </c>
      <c r="D1920" s="7" t="s">
        <v>19</v>
      </c>
      <c r="E1920" s="7" t="s">
        <v>10</v>
      </c>
      <c r="F1920" s="7" t="s">
        <v>1421</v>
      </c>
    </row>
    <row r="1921" spans="1:6" ht="12.75">
      <c r="A1921" s="6">
        <v>45631.480414803242</v>
      </c>
      <c r="B1921" s="7" t="s">
        <v>289</v>
      </c>
      <c r="C1921" s="5" t="str">
        <f>LEFT(Form_Responses1[[#This Row],[問１　あなたは何年生ですか。]],3)</f>
        <v>小学校</v>
      </c>
      <c r="D1921" s="7" t="s">
        <v>1422</v>
      </c>
      <c r="E1921" s="7" t="s">
        <v>7</v>
      </c>
      <c r="F1921" s="7" t="s">
        <v>1423</v>
      </c>
    </row>
    <row r="1922" spans="1:6" ht="12.75">
      <c r="A1922" s="6">
        <v>45631.480585393518</v>
      </c>
      <c r="B1922" s="7" t="s">
        <v>289</v>
      </c>
      <c r="C1922" s="5" t="str">
        <f>LEFT(Form_Responses1[[#This Row],[問１　あなたは何年生ですか。]],3)</f>
        <v>小学校</v>
      </c>
      <c r="D1922" s="7" t="s">
        <v>1424</v>
      </c>
      <c r="E1922" s="7" t="s">
        <v>10</v>
      </c>
      <c r="F1922" s="7" t="s">
        <v>1425</v>
      </c>
    </row>
    <row r="1923" spans="1:6" ht="12.75">
      <c r="A1923" s="6">
        <v>45631.4811146875</v>
      </c>
      <c r="B1923" s="7" t="s">
        <v>289</v>
      </c>
      <c r="C1923" s="5" t="str">
        <f>LEFT(Form_Responses1[[#This Row],[問１　あなたは何年生ですか。]],3)</f>
        <v>小学校</v>
      </c>
      <c r="D1923" s="7" t="s">
        <v>12</v>
      </c>
      <c r="E1923" s="7" t="s">
        <v>10</v>
      </c>
      <c r="F1923" s="7" t="s">
        <v>1426</v>
      </c>
    </row>
    <row r="1924" spans="1:6" ht="12.75">
      <c r="A1924" s="6">
        <v>45631.482791192131</v>
      </c>
      <c r="B1924" s="7" t="s">
        <v>289</v>
      </c>
      <c r="C1924" s="5" t="str">
        <f>LEFT(Form_Responses1[[#This Row],[問１　あなたは何年生ですか。]],3)</f>
        <v>小学校</v>
      </c>
      <c r="D1924" s="7" t="s">
        <v>12</v>
      </c>
      <c r="E1924" s="7" t="s">
        <v>10</v>
      </c>
      <c r="F1924" s="7" t="s">
        <v>1427</v>
      </c>
    </row>
    <row r="1925" spans="1:6" ht="12.75">
      <c r="A1925" s="6">
        <v>45631.48353592593</v>
      </c>
      <c r="B1925" s="7" t="s">
        <v>289</v>
      </c>
      <c r="C1925" s="5" t="str">
        <f>LEFT(Form_Responses1[[#This Row],[問１　あなたは何年生ですか。]],3)</f>
        <v>小学校</v>
      </c>
      <c r="D1925" s="7" t="s">
        <v>6</v>
      </c>
      <c r="E1925" s="7" t="s">
        <v>7</v>
      </c>
      <c r="F1925" s="7" t="s">
        <v>1428</v>
      </c>
    </row>
    <row r="1926" spans="1:6" ht="12.75">
      <c r="A1926" s="6">
        <v>45631.501100162037</v>
      </c>
      <c r="B1926" s="7" t="s">
        <v>289</v>
      </c>
      <c r="C1926" s="5" t="str">
        <f>LEFT(Form_Responses1[[#This Row],[問１　あなたは何年生ですか。]],3)</f>
        <v>小学校</v>
      </c>
      <c r="D1926" s="7" t="s">
        <v>6</v>
      </c>
      <c r="E1926" s="7" t="s">
        <v>10</v>
      </c>
      <c r="F1926" s="8"/>
    </row>
    <row r="1927" spans="1:6" ht="12.75">
      <c r="A1927" s="6">
        <v>45631.502040023144</v>
      </c>
      <c r="B1927" s="7" t="s">
        <v>289</v>
      </c>
      <c r="C1927" s="5" t="str">
        <f>LEFT(Form_Responses1[[#This Row],[問１　あなたは何年生ですか。]],3)</f>
        <v>小学校</v>
      </c>
      <c r="D1927" s="7" t="s">
        <v>22</v>
      </c>
      <c r="E1927" s="7" t="s">
        <v>10</v>
      </c>
      <c r="F1927" s="8"/>
    </row>
    <row r="1928" spans="1:6" ht="12.75">
      <c r="A1928" s="6">
        <v>45631.547876539349</v>
      </c>
      <c r="B1928" s="7" t="s">
        <v>289</v>
      </c>
      <c r="C1928" s="5" t="str">
        <f>LEFT(Form_Responses1[[#This Row],[問１　あなたは何年生ですか。]],3)</f>
        <v>小学校</v>
      </c>
      <c r="D1928" s="7" t="s">
        <v>24</v>
      </c>
      <c r="E1928" s="7" t="s">
        <v>10</v>
      </c>
      <c r="F1928" s="8"/>
    </row>
    <row r="1929" spans="1:6" ht="12.75">
      <c r="A1929" s="6">
        <v>45631.547947592597</v>
      </c>
      <c r="B1929" s="7" t="s">
        <v>289</v>
      </c>
      <c r="C1929" s="5" t="str">
        <f>LEFT(Form_Responses1[[#This Row],[問１　あなたは何年生ですか。]],3)</f>
        <v>小学校</v>
      </c>
      <c r="D1929" s="7" t="s">
        <v>6</v>
      </c>
      <c r="E1929" s="7" t="s">
        <v>7</v>
      </c>
      <c r="F1929" s="8"/>
    </row>
    <row r="1930" spans="1:6" ht="12.75">
      <c r="A1930" s="6">
        <v>45631.548155497687</v>
      </c>
      <c r="B1930" s="7" t="s">
        <v>289</v>
      </c>
      <c r="C1930" s="5" t="str">
        <f>LEFT(Form_Responses1[[#This Row],[問１　あなたは何年生ですか。]],3)</f>
        <v>小学校</v>
      </c>
      <c r="D1930" s="7" t="s">
        <v>9</v>
      </c>
      <c r="E1930" s="7" t="s">
        <v>10</v>
      </c>
      <c r="F1930" s="7" t="s">
        <v>1429</v>
      </c>
    </row>
    <row r="1931" spans="1:6" ht="12.75">
      <c r="A1931" s="6">
        <v>45631.548220127312</v>
      </c>
      <c r="B1931" s="7" t="s">
        <v>289</v>
      </c>
      <c r="C1931" s="5" t="str">
        <f>LEFT(Form_Responses1[[#This Row],[問１　あなたは何年生ですか。]],3)</f>
        <v>小学校</v>
      </c>
      <c r="D1931" s="7" t="s">
        <v>24</v>
      </c>
      <c r="E1931" s="7" t="s">
        <v>10</v>
      </c>
      <c r="F1931" s="8"/>
    </row>
    <row r="1932" spans="1:6" ht="12.75">
      <c r="A1932" s="6">
        <v>45631.548238738425</v>
      </c>
      <c r="B1932" s="7" t="s">
        <v>289</v>
      </c>
      <c r="C1932" s="5" t="str">
        <f>LEFT(Form_Responses1[[#This Row],[問１　あなたは何年生ですか。]],3)</f>
        <v>小学校</v>
      </c>
      <c r="D1932" s="7" t="s">
        <v>9</v>
      </c>
      <c r="E1932" s="7" t="s">
        <v>7</v>
      </c>
      <c r="F1932" s="7" t="s">
        <v>1430</v>
      </c>
    </row>
    <row r="1933" spans="1:6" ht="12.75">
      <c r="A1933" s="6">
        <v>45631.548264525467</v>
      </c>
      <c r="B1933" s="7" t="s">
        <v>289</v>
      </c>
      <c r="C1933" s="5" t="str">
        <f>LEFT(Form_Responses1[[#This Row],[問１　あなたは何年生ですか。]],3)</f>
        <v>小学校</v>
      </c>
      <c r="D1933" s="7" t="s">
        <v>6</v>
      </c>
      <c r="E1933" s="7" t="s">
        <v>7</v>
      </c>
      <c r="F1933" s="8"/>
    </row>
    <row r="1934" spans="1:6" ht="12.75">
      <c r="A1934" s="6">
        <v>45631.548545150465</v>
      </c>
      <c r="B1934" s="7" t="s">
        <v>289</v>
      </c>
      <c r="C1934" s="5" t="str">
        <f>LEFT(Form_Responses1[[#This Row],[問１　あなたは何年生ですか。]],3)</f>
        <v>小学校</v>
      </c>
      <c r="D1934" s="7" t="s">
        <v>14</v>
      </c>
      <c r="E1934" s="7" t="s">
        <v>10</v>
      </c>
      <c r="F1934" s="8"/>
    </row>
    <row r="1935" spans="1:6" ht="12.75">
      <c r="A1935" s="6">
        <v>45631.548584675926</v>
      </c>
      <c r="B1935" s="7" t="s">
        <v>289</v>
      </c>
      <c r="C1935" s="5" t="str">
        <f>LEFT(Form_Responses1[[#This Row],[問１　あなたは何年生ですか。]],3)</f>
        <v>小学校</v>
      </c>
      <c r="D1935" s="7" t="s">
        <v>19</v>
      </c>
      <c r="E1935" s="7" t="s">
        <v>15</v>
      </c>
      <c r="F1935" s="8"/>
    </row>
    <row r="1936" spans="1:6" ht="12.75">
      <c r="A1936" s="6">
        <v>45631.548899456015</v>
      </c>
      <c r="B1936" s="7" t="s">
        <v>289</v>
      </c>
      <c r="C1936" s="5" t="str">
        <f>LEFT(Form_Responses1[[#This Row],[問１　あなたは何年生ですか。]],3)</f>
        <v>小学校</v>
      </c>
      <c r="D1936" s="7" t="s">
        <v>6</v>
      </c>
      <c r="E1936" s="7" t="s">
        <v>7</v>
      </c>
      <c r="F1936" s="8"/>
    </row>
    <row r="1937" spans="1:6" ht="12.75">
      <c r="A1937" s="6">
        <v>45631.548937546293</v>
      </c>
      <c r="B1937" s="7" t="s">
        <v>289</v>
      </c>
      <c r="C1937" s="5" t="str">
        <f>LEFT(Form_Responses1[[#This Row],[問１　あなたは何年生ですか。]],3)</f>
        <v>小学校</v>
      </c>
      <c r="D1937" s="7" t="s">
        <v>19</v>
      </c>
      <c r="E1937" s="7" t="s">
        <v>15</v>
      </c>
      <c r="F1937" s="8"/>
    </row>
    <row r="1938" spans="1:6" ht="12.75">
      <c r="A1938" s="6">
        <v>45631.549342835649</v>
      </c>
      <c r="B1938" s="7" t="s">
        <v>289</v>
      </c>
      <c r="C1938" s="5" t="str">
        <f>LEFT(Form_Responses1[[#This Row],[問１　あなたは何年生ですか。]],3)</f>
        <v>小学校</v>
      </c>
      <c r="D1938" s="7" t="s">
        <v>6</v>
      </c>
      <c r="E1938" s="7" t="s">
        <v>7</v>
      </c>
      <c r="F1938" s="8"/>
    </row>
    <row r="1939" spans="1:6" ht="12.75">
      <c r="A1939" s="6">
        <v>45631.549387962965</v>
      </c>
      <c r="B1939" s="7" t="s">
        <v>11</v>
      </c>
      <c r="C1939" s="5" t="str">
        <f>LEFT(Form_Responses1[[#This Row],[問１　あなたは何年生ですか。]],3)</f>
        <v>小学校</v>
      </c>
      <c r="D1939" s="7" t="s">
        <v>24</v>
      </c>
      <c r="E1939" s="7" t="s">
        <v>10</v>
      </c>
      <c r="F1939" s="8"/>
    </row>
    <row r="1940" spans="1:6" ht="12.75">
      <c r="A1940" s="6">
        <v>45631.549593807867</v>
      </c>
      <c r="B1940" s="7" t="s">
        <v>289</v>
      </c>
      <c r="C1940" s="5" t="str">
        <f>LEFT(Form_Responses1[[#This Row],[問１　あなたは何年生ですか。]],3)</f>
        <v>小学校</v>
      </c>
      <c r="D1940" s="7" t="s">
        <v>6</v>
      </c>
      <c r="E1940" s="7" t="s">
        <v>10</v>
      </c>
      <c r="F1940" s="8"/>
    </row>
    <row r="1941" spans="1:6" ht="12.75">
      <c r="A1941" s="6">
        <v>45631.549898888887</v>
      </c>
      <c r="B1941" s="7" t="s">
        <v>11</v>
      </c>
      <c r="C1941" s="5" t="str">
        <f>LEFT(Form_Responses1[[#This Row],[問１　あなたは何年生ですか。]],3)</f>
        <v>小学校</v>
      </c>
      <c r="D1941" s="7" t="s">
        <v>121</v>
      </c>
      <c r="E1941" s="7" t="s">
        <v>15</v>
      </c>
      <c r="F1941" s="8"/>
    </row>
    <row r="1942" spans="1:6" ht="12.75">
      <c r="A1942" s="6">
        <v>45631.549934224538</v>
      </c>
      <c r="B1942" s="7" t="s">
        <v>11</v>
      </c>
      <c r="C1942" s="5" t="str">
        <f>LEFT(Form_Responses1[[#This Row],[問１　あなたは何年生ですか。]],3)</f>
        <v>小学校</v>
      </c>
      <c r="D1942" s="7" t="s">
        <v>12</v>
      </c>
      <c r="E1942" s="7" t="s">
        <v>10</v>
      </c>
      <c r="F1942" s="8"/>
    </row>
    <row r="1943" spans="1:6" ht="12.75">
      <c r="A1943" s="6">
        <v>45631.549959490745</v>
      </c>
      <c r="B1943" s="7" t="s">
        <v>289</v>
      </c>
      <c r="C1943" s="5" t="str">
        <f>LEFT(Form_Responses1[[#This Row],[問１　あなたは何年生ですか。]],3)</f>
        <v>小学校</v>
      </c>
      <c r="D1943" s="7" t="s">
        <v>6</v>
      </c>
      <c r="E1943" s="7" t="s">
        <v>10</v>
      </c>
      <c r="F1943" s="8"/>
    </row>
    <row r="1944" spans="1:6" ht="12.75">
      <c r="A1944" s="6">
        <v>45631.550035740744</v>
      </c>
      <c r="B1944" s="7" t="s">
        <v>289</v>
      </c>
      <c r="C1944" s="5" t="str">
        <f>LEFT(Form_Responses1[[#This Row],[問１　あなたは何年生ですか。]],3)</f>
        <v>小学校</v>
      </c>
      <c r="D1944" s="7" t="s">
        <v>6</v>
      </c>
      <c r="E1944" s="7" t="s">
        <v>10</v>
      </c>
      <c r="F1944" s="8"/>
    </row>
    <row r="1945" spans="1:6" ht="12.75">
      <c r="A1945" s="6">
        <v>45631.550084039351</v>
      </c>
      <c r="B1945" s="7" t="s">
        <v>11</v>
      </c>
      <c r="C1945" s="5" t="str">
        <f>LEFT(Form_Responses1[[#This Row],[問１　あなたは何年生ですか。]],3)</f>
        <v>小学校</v>
      </c>
      <c r="D1945" s="7" t="s">
        <v>24</v>
      </c>
      <c r="E1945" s="7" t="s">
        <v>10</v>
      </c>
      <c r="F1945" s="7" t="s">
        <v>299</v>
      </c>
    </row>
    <row r="1946" spans="1:6" ht="12.75">
      <c r="A1946" s="6">
        <v>45631.550188217589</v>
      </c>
      <c r="B1946" s="7" t="s">
        <v>289</v>
      </c>
      <c r="C1946" s="5" t="str">
        <f>LEFT(Form_Responses1[[#This Row],[問１　あなたは何年生ですか。]],3)</f>
        <v>小学校</v>
      </c>
      <c r="D1946" s="7" t="s">
        <v>6</v>
      </c>
      <c r="E1946" s="7" t="s">
        <v>10</v>
      </c>
      <c r="F1946" s="8"/>
    </row>
    <row r="1947" spans="1:6" ht="12.75">
      <c r="A1947" s="6">
        <v>45631.550297893518</v>
      </c>
      <c r="B1947" s="7" t="s">
        <v>289</v>
      </c>
      <c r="C1947" s="5" t="str">
        <f>LEFT(Form_Responses1[[#This Row],[問１　あなたは何年生ですか。]],3)</f>
        <v>小学校</v>
      </c>
      <c r="D1947" s="7" t="s">
        <v>6</v>
      </c>
      <c r="E1947" s="7" t="s">
        <v>10</v>
      </c>
      <c r="F1947" s="8"/>
    </row>
    <row r="1948" spans="1:6" ht="12.75">
      <c r="A1948" s="6">
        <v>45631.550370231482</v>
      </c>
      <c r="B1948" s="7" t="s">
        <v>289</v>
      </c>
      <c r="C1948" s="5" t="str">
        <f>LEFT(Form_Responses1[[#This Row],[問１　あなたは何年生ですか。]],3)</f>
        <v>小学校</v>
      </c>
      <c r="D1948" s="7" t="s">
        <v>6</v>
      </c>
      <c r="E1948" s="7" t="s">
        <v>10</v>
      </c>
      <c r="F1948" s="8"/>
    </row>
    <row r="1949" spans="1:6" ht="12.75">
      <c r="A1949" s="6">
        <v>45631.550551099535</v>
      </c>
      <c r="B1949" s="7" t="s">
        <v>11</v>
      </c>
      <c r="C1949" s="5" t="str">
        <f>LEFT(Form_Responses1[[#This Row],[問１　あなたは何年生ですか。]],3)</f>
        <v>小学校</v>
      </c>
      <c r="D1949" s="7" t="s">
        <v>6</v>
      </c>
      <c r="E1949" s="7" t="s">
        <v>10</v>
      </c>
      <c r="F1949" s="7" t="s">
        <v>1431</v>
      </c>
    </row>
    <row r="1950" spans="1:6" ht="12.75">
      <c r="A1950" s="6">
        <v>45631.550807789346</v>
      </c>
      <c r="B1950" s="7" t="s">
        <v>11</v>
      </c>
      <c r="C1950" s="5" t="str">
        <f>LEFT(Form_Responses1[[#This Row],[問１　あなたは何年生ですか。]],3)</f>
        <v>小学校</v>
      </c>
      <c r="D1950" s="7" t="s">
        <v>6</v>
      </c>
      <c r="E1950" s="7" t="s">
        <v>7</v>
      </c>
      <c r="F1950" s="8"/>
    </row>
    <row r="1951" spans="1:6" ht="12.75">
      <c r="A1951" s="6">
        <v>45631.550914155094</v>
      </c>
      <c r="B1951" s="7" t="s">
        <v>289</v>
      </c>
      <c r="C1951" s="5" t="str">
        <f>LEFT(Form_Responses1[[#This Row],[問１　あなたは何年生ですか。]],3)</f>
        <v>小学校</v>
      </c>
      <c r="D1951" s="7" t="s">
        <v>6</v>
      </c>
      <c r="E1951" s="7" t="s">
        <v>7</v>
      </c>
      <c r="F1951" s="8"/>
    </row>
    <row r="1952" spans="1:6" ht="12.75">
      <c r="A1952" s="6">
        <v>45631.550963020833</v>
      </c>
      <c r="B1952" s="7" t="s">
        <v>11</v>
      </c>
      <c r="C1952" s="5" t="str">
        <f>LEFT(Form_Responses1[[#This Row],[問１　あなたは何年生ですか。]],3)</f>
        <v>小学校</v>
      </c>
      <c r="D1952" s="7" t="s">
        <v>17</v>
      </c>
      <c r="E1952" s="7" t="s">
        <v>7</v>
      </c>
      <c r="F1952" s="8"/>
    </row>
    <row r="1953" spans="1:6" ht="12.75">
      <c r="A1953" s="6">
        <v>45631.551003912042</v>
      </c>
      <c r="B1953" s="7" t="s">
        <v>11</v>
      </c>
      <c r="C1953" s="5" t="str">
        <f>LEFT(Form_Responses1[[#This Row],[問１　あなたは何年生ですか。]],3)</f>
        <v>小学校</v>
      </c>
      <c r="D1953" s="7" t="s">
        <v>19</v>
      </c>
      <c r="E1953" s="7" t="s">
        <v>10</v>
      </c>
      <c r="F1953" s="8"/>
    </row>
    <row r="1954" spans="1:6" ht="12.75">
      <c r="A1954" s="6">
        <v>45631.551098865741</v>
      </c>
      <c r="B1954" s="7" t="s">
        <v>11</v>
      </c>
      <c r="C1954" s="5" t="str">
        <f>LEFT(Form_Responses1[[#This Row],[問１　あなたは何年生ですか。]],3)</f>
        <v>小学校</v>
      </c>
      <c r="D1954" s="7" t="s">
        <v>19</v>
      </c>
      <c r="E1954" s="7" t="s">
        <v>10</v>
      </c>
      <c r="F1954" s="7" t="s">
        <v>1432</v>
      </c>
    </row>
    <row r="1955" spans="1:6" ht="12.75">
      <c r="A1955" s="6">
        <v>45631.551119282405</v>
      </c>
      <c r="B1955" s="7" t="s">
        <v>11</v>
      </c>
      <c r="C1955" s="5" t="str">
        <f>LEFT(Form_Responses1[[#This Row],[問１　あなたは何年生ですか。]],3)</f>
        <v>小学校</v>
      </c>
      <c r="D1955" s="7" t="s">
        <v>91</v>
      </c>
      <c r="E1955" s="7" t="s">
        <v>10</v>
      </c>
      <c r="F1955" s="7" t="s">
        <v>52</v>
      </c>
    </row>
    <row r="1956" spans="1:6" ht="12.75">
      <c r="A1956" s="6">
        <v>45631.551273391204</v>
      </c>
      <c r="B1956" s="7" t="s">
        <v>289</v>
      </c>
      <c r="C1956" s="5" t="str">
        <f>LEFT(Form_Responses1[[#This Row],[問１　あなたは何年生ですか。]],3)</f>
        <v>小学校</v>
      </c>
      <c r="D1956" s="7" t="s">
        <v>1433</v>
      </c>
      <c r="E1956" s="7" t="s">
        <v>10</v>
      </c>
      <c r="F1956" s="8"/>
    </row>
    <row r="1957" spans="1:6" ht="12.75">
      <c r="A1957" s="6">
        <v>45631.551525659721</v>
      </c>
      <c r="B1957" s="7" t="s">
        <v>289</v>
      </c>
      <c r="C1957" s="5" t="str">
        <f>LEFT(Form_Responses1[[#This Row],[問１　あなたは何年生ですか。]],3)</f>
        <v>小学校</v>
      </c>
      <c r="D1957" s="7" t="s">
        <v>6</v>
      </c>
      <c r="E1957" s="7" t="s">
        <v>7</v>
      </c>
      <c r="F1957" s="8"/>
    </row>
    <row r="1958" spans="1:6" ht="12.75">
      <c r="A1958" s="6">
        <v>45631.551540578701</v>
      </c>
      <c r="B1958" s="7" t="s">
        <v>289</v>
      </c>
      <c r="C1958" s="5" t="str">
        <f>LEFT(Form_Responses1[[#This Row],[問１　あなたは何年生ですか。]],3)</f>
        <v>小学校</v>
      </c>
      <c r="D1958" s="7" t="s">
        <v>19</v>
      </c>
      <c r="E1958" s="7" t="s">
        <v>7</v>
      </c>
      <c r="F1958" s="8"/>
    </row>
    <row r="1959" spans="1:6" ht="12.75">
      <c r="A1959" s="6">
        <v>45631.551546562499</v>
      </c>
      <c r="B1959" s="7" t="s">
        <v>11</v>
      </c>
      <c r="C1959" s="5" t="str">
        <f>LEFT(Form_Responses1[[#This Row],[問１　あなたは何年生ですか。]],3)</f>
        <v>小学校</v>
      </c>
      <c r="D1959" s="7" t="s">
        <v>6</v>
      </c>
      <c r="E1959" s="7" t="s">
        <v>10</v>
      </c>
      <c r="F1959" s="7" t="s">
        <v>1434</v>
      </c>
    </row>
    <row r="1960" spans="1:6" ht="12.75">
      <c r="A1960" s="6">
        <v>45631.551618576384</v>
      </c>
      <c r="B1960" s="7" t="s">
        <v>11</v>
      </c>
      <c r="C1960" s="5" t="str">
        <f>LEFT(Form_Responses1[[#This Row],[問１　あなたは何年生ですか。]],3)</f>
        <v>小学校</v>
      </c>
      <c r="D1960" s="7" t="s">
        <v>24</v>
      </c>
      <c r="E1960" s="7" t="s">
        <v>10</v>
      </c>
      <c r="F1960" s="8"/>
    </row>
    <row r="1961" spans="1:6" ht="12.75">
      <c r="A1961" s="6">
        <v>45631.551654525465</v>
      </c>
      <c r="B1961" s="7" t="s">
        <v>289</v>
      </c>
      <c r="C1961" s="5" t="str">
        <f>LEFT(Form_Responses1[[#This Row],[問１　あなたは何年生ですか。]],3)</f>
        <v>小学校</v>
      </c>
      <c r="D1961" s="7" t="s">
        <v>983</v>
      </c>
      <c r="E1961" s="7" t="s">
        <v>10</v>
      </c>
      <c r="F1961" s="8"/>
    </row>
    <row r="1962" spans="1:6" ht="12.75">
      <c r="A1962" s="6">
        <v>45631.551718240742</v>
      </c>
      <c r="B1962" s="7" t="s">
        <v>11</v>
      </c>
      <c r="C1962" s="5" t="str">
        <f>LEFT(Form_Responses1[[#This Row],[問１　あなたは何年生ですか。]],3)</f>
        <v>小学校</v>
      </c>
      <c r="D1962" s="7" t="s">
        <v>19</v>
      </c>
      <c r="E1962" s="7" t="s">
        <v>67</v>
      </c>
      <c r="F1962" s="8"/>
    </row>
    <row r="1963" spans="1:6" ht="12.75">
      <c r="A1963" s="6">
        <v>45631.551725046302</v>
      </c>
      <c r="B1963" s="7" t="s">
        <v>289</v>
      </c>
      <c r="C1963" s="5" t="str">
        <f>LEFT(Form_Responses1[[#This Row],[問１　あなたは何年生ですか。]],3)</f>
        <v>小学校</v>
      </c>
      <c r="D1963" s="7" t="s">
        <v>1435</v>
      </c>
      <c r="E1963" s="7" t="s">
        <v>10</v>
      </c>
      <c r="F1963" s="8"/>
    </row>
    <row r="1964" spans="1:6" ht="12.75">
      <c r="A1964" s="6">
        <v>45631.551841481487</v>
      </c>
      <c r="B1964" s="7" t="s">
        <v>11</v>
      </c>
      <c r="C1964" s="5" t="str">
        <f>LEFT(Form_Responses1[[#This Row],[問１　あなたは何年生ですか。]],3)</f>
        <v>小学校</v>
      </c>
      <c r="D1964" s="7" t="s">
        <v>121</v>
      </c>
      <c r="E1964" s="7" t="s">
        <v>10</v>
      </c>
      <c r="F1964" s="7" t="s">
        <v>1436</v>
      </c>
    </row>
    <row r="1965" spans="1:6" ht="12.75">
      <c r="A1965" s="6">
        <v>45631.55194542824</v>
      </c>
      <c r="B1965" s="7" t="s">
        <v>11</v>
      </c>
      <c r="C1965" s="5" t="str">
        <f>LEFT(Form_Responses1[[#This Row],[問１　あなたは何年生ですか。]],3)</f>
        <v>小学校</v>
      </c>
      <c r="D1965" s="7" t="s">
        <v>22</v>
      </c>
      <c r="E1965" s="7" t="s">
        <v>7</v>
      </c>
      <c r="F1965" s="7" t="s">
        <v>1437</v>
      </c>
    </row>
    <row r="1966" spans="1:6" ht="12.75">
      <c r="A1966" s="6">
        <v>45631.551961689816</v>
      </c>
      <c r="B1966" s="7" t="s">
        <v>11</v>
      </c>
      <c r="C1966" s="5" t="str">
        <f>LEFT(Form_Responses1[[#This Row],[問１　あなたは何年生ですか。]],3)</f>
        <v>小学校</v>
      </c>
      <c r="D1966" s="7" t="s">
        <v>6</v>
      </c>
      <c r="E1966" s="7" t="s">
        <v>10</v>
      </c>
      <c r="F1966" s="7" t="s">
        <v>1438</v>
      </c>
    </row>
    <row r="1967" spans="1:6" ht="12.75">
      <c r="A1967" s="6">
        <v>45631.552006053244</v>
      </c>
      <c r="B1967" s="7" t="s">
        <v>11</v>
      </c>
      <c r="C1967" s="5" t="str">
        <f>LEFT(Form_Responses1[[#This Row],[問１　あなたは何年生ですか。]],3)</f>
        <v>小学校</v>
      </c>
      <c r="D1967" s="7" t="s">
        <v>6</v>
      </c>
      <c r="E1967" s="7" t="s">
        <v>10</v>
      </c>
      <c r="F1967" s="7" t="s">
        <v>1439</v>
      </c>
    </row>
    <row r="1968" spans="1:6" ht="12.75">
      <c r="A1968" s="6">
        <v>45631.552046643519</v>
      </c>
      <c r="B1968" s="7" t="s">
        <v>11</v>
      </c>
      <c r="C1968" s="5" t="str">
        <f>LEFT(Form_Responses1[[#This Row],[問１　あなたは何年生ですか。]],3)</f>
        <v>小学校</v>
      </c>
      <c r="D1968" s="7" t="s">
        <v>12</v>
      </c>
      <c r="E1968" s="7" t="s">
        <v>10</v>
      </c>
      <c r="F1968" s="7" t="s">
        <v>1440</v>
      </c>
    </row>
    <row r="1969" spans="1:6" ht="12.75">
      <c r="A1969" s="6">
        <v>45631.552188078706</v>
      </c>
      <c r="B1969" s="7" t="s">
        <v>11</v>
      </c>
      <c r="C1969" s="5" t="str">
        <f>LEFT(Form_Responses1[[#This Row],[問１　あなたは何年生ですか。]],3)</f>
        <v>小学校</v>
      </c>
      <c r="D1969" s="7" t="s">
        <v>6</v>
      </c>
      <c r="E1969" s="7" t="s">
        <v>10</v>
      </c>
      <c r="F1969" s="7" t="s">
        <v>1441</v>
      </c>
    </row>
    <row r="1970" spans="1:6" ht="12.75">
      <c r="A1970" s="6">
        <v>45631.552294004628</v>
      </c>
      <c r="B1970" s="7" t="s">
        <v>11</v>
      </c>
      <c r="C1970" s="5" t="str">
        <f>LEFT(Form_Responses1[[#This Row],[問１　あなたは何年生ですか。]],3)</f>
        <v>小学校</v>
      </c>
      <c r="D1970" s="7" t="s">
        <v>6</v>
      </c>
      <c r="E1970" s="7" t="s">
        <v>7</v>
      </c>
      <c r="F1970" s="7" t="s">
        <v>1442</v>
      </c>
    </row>
    <row r="1971" spans="1:6" ht="12.75">
      <c r="A1971" s="6">
        <v>45631.552320324074</v>
      </c>
      <c r="B1971" s="7" t="s">
        <v>11</v>
      </c>
      <c r="C1971" s="5" t="str">
        <f>LEFT(Form_Responses1[[#This Row],[問１　あなたは何年生ですか。]],3)</f>
        <v>小学校</v>
      </c>
      <c r="D1971" s="7" t="s">
        <v>17</v>
      </c>
      <c r="E1971" s="7" t="s">
        <v>7</v>
      </c>
      <c r="F1971" s="8"/>
    </row>
    <row r="1972" spans="1:6" ht="12.75">
      <c r="A1972" s="6">
        <v>45631.55233150463</v>
      </c>
      <c r="B1972" s="7" t="s">
        <v>11</v>
      </c>
      <c r="C1972" s="5" t="str">
        <f>LEFT(Form_Responses1[[#This Row],[問１　あなたは何年生ですか。]],3)</f>
        <v>小学校</v>
      </c>
      <c r="D1972" s="7" t="s">
        <v>6</v>
      </c>
      <c r="E1972" s="7" t="s">
        <v>7</v>
      </c>
      <c r="F1972" s="8"/>
    </row>
    <row r="1973" spans="1:6" ht="12.75">
      <c r="A1973" s="6">
        <v>45631.552437407408</v>
      </c>
      <c r="B1973" s="7" t="s">
        <v>11</v>
      </c>
      <c r="C1973" s="5" t="str">
        <f>LEFT(Form_Responses1[[#This Row],[問１　あなたは何年生ですか。]],3)</f>
        <v>小学校</v>
      </c>
      <c r="D1973" s="7" t="s">
        <v>6</v>
      </c>
      <c r="E1973" s="7" t="s">
        <v>7</v>
      </c>
      <c r="F1973" s="8"/>
    </row>
    <row r="1974" spans="1:6" ht="12.75">
      <c r="A1974" s="6">
        <v>45631.552515370371</v>
      </c>
      <c r="B1974" s="7" t="s">
        <v>11</v>
      </c>
      <c r="C1974" s="5" t="str">
        <f>LEFT(Form_Responses1[[#This Row],[問１　あなたは何年生ですか。]],3)</f>
        <v>小学校</v>
      </c>
      <c r="D1974" s="7" t="s">
        <v>24</v>
      </c>
      <c r="E1974" s="7" t="s">
        <v>10</v>
      </c>
      <c r="F1974" s="7" t="s">
        <v>1443</v>
      </c>
    </row>
    <row r="1975" spans="1:6" ht="12.75">
      <c r="A1975" s="6">
        <v>45631.552548680556</v>
      </c>
      <c r="B1975" s="7" t="s">
        <v>11</v>
      </c>
      <c r="C1975" s="5" t="str">
        <f>LEFT(Form_Responses1[[#This Row],[問１　あなたは何年生ですか。]],3)</f>
        <v>小学校</v>
      </c>
      <c r="D1975" s="7" t="s">
        <v>6</v>
      </c>
      <c r="E1975" s="7" t="s">
        <v>7</v>
      </c>
      <c r="F1975" s="8"/>
    </row>
    <row r="1976" spans="1:6" ht="12.75">
      <c r="A1976" s="6">
        <v>45631.55284462963</v>
      </c>
      <c r="B1976" s="7" t="s">
        <v>11</v>
      </c>
      <c r="C1976" s="5" t="str">
        <f>LEFT(Form_Responses1[[#This Row],[問１　あなたは何年生ですか。]],3)</f>
        <v>小学校</v>
      </c>
      <c r="D1976" s="7" t="s">
        <v>19</v>
      </c>
      <c r="E1976" s="7" t="s">
        <v>7</v>
      </c>
      <c r="F1976" s="7" t="s">
        <v>1444</v>
      </c>
    </row>
    <row r="1977" spans="1:6" ht="12.75">
      <c r="A1977" s="6">
        <v>45631.553446597223</v>
      </c>
      <c r="B1977" s="7" t="s">
        <v>11</v>
      </c>
      <c r="C1977" s="5" t="str">
        <f>LEFT(Form_Responses1[[#This Row],[問１　あなたは何年生ですか。]],3)</f>
        <v>小学校</v>
      </c>
      <c r="D1977" s="7" t="s">
        <v>6</v>
      </c>
      <c r="E1977" s="7" t="s">
        <v>10</v>
      </c>
      <c r="F1977" s="7" t="s">
        <v>1445</v>
      </c>
    </row>
    <row r="1978" spans="1:6" ht="12.75">
      <c r="A1978" s="6">
        <v>45631.55352292824</v>
      </c>
      <c r="B1978" s="7" t="s">
        <v>11</v>
      </c>
      <c r="C1978" s="5" t="str">
        <f>LEFT(Form_Responses1[[#This Row],[問１　あなたは何年生ですか。]],3)</f>
        <v>小学校</v>
      </c>
      <c r="D1978" s="7" t="s">
        <v>22</v>
      </c>
      <c r="E1978" s="7" t="s">
        <v>7</v>
      </c>
      <c r="F1978" s="8"/>
    </row>
    <row r="1979" spans="1:6" ht="12.75">
      <c r="A1979" s="6">
        <v>45631.554227650464</v>
      </c>
      <c r="B1979" s="7" t="s">
        <v>11</v>
      </c>
      <c r="C1979" s="5" t="str">
        <f>LEFT(Form_Responses1[[#This Row],[問１　あなたは何年生ですか。]],3)</f>
        <v>小学校</v>
      </c>
      <c r="D1979" s="7" t="s">
        <v>19</v>
      </c>
      <c r="E1979" s="7" t="s">
        <v>7</v>
      </c>
      <c r="F1979" s="7" t="s">
        <v>299</v>
      </c>
    </row>
    <row r="1980" spans="1:6" ht="12.75">
      <c r="A1980" s="6">
        <v>45631.555335567129</v>
      </c>
      <c r="B1980" s="7" t="s">
        <v>289</v>
      </c>
      <c r="C1980" s="5" t="str">
        <f>LEFT(Form_Responses1[[#This Row],[問１　あなたは何年生ですか。]],3)</f>
        <v>小学校</v>
      </c>
      <c r="D1980" s="7" t="s">
        <v>1446</v>
      </c>
      <c r="E1980" s="7" t="s">
        <v>7</v>
      </c>
      <c r="F1980" s="7" t="s">
        <v>1447</v>
      </c>
    </row>
    <row r="1981" spans="1:6" ht="12.75">
      <c r="A1981" s="6">
        <v>45631.558239363425</v>
      </c>
      <c r="B1981" s="7" t="s">
        <v>289</v>
      </c>
      <c r="C1981" s="5" t="str">
        <f>LEFT(Form_Responses1[[#This Row],[問１　あなたは何年生ですか。]],3)</f>
        <v>小学校</v>
      </c>
      <c r="D1981" s="7" t="s">
        <v>19</v>
      </c>
      <c r="E1981" s="7" t="s">
        <v>10</v>
      </c>
      <c r="F1981" s="8"/>
    </row>
    <row r="1982" spans="1:6" ht="12.75">
      <c r="A1982" s="6">
        <v>45631.577730127319</v>
      </c>
      <c r="B1982" s="7" t="s">
        <v>289</v>
      </c>
      <c r="C1982" s="5" t="str">
        <f>LEFT(Form_Responses1[[#This Row],[問１　あなたは何年生ですか。]],3)</f>
        <v>小学校</v>
      </c>
      <c r="D1982" s="7" t="s">
        <v>1448</v>
      </c>
      <c r="E1982" s="7" t="s">
        <v>10</v>
      </c>
      <c r="F1982" s="7" t="s">
        <v>1449</v>
      </c>
    </row>
    <row r="1983" spans="1:6" ht="12.75">
      <c r="A1983" s="6">
        <v>45631.578333541664</v>
      </c>
      <c r="B1983" s="7" t="s">
        <v>289</v>
      </c>
      <c r="C1983" s="5" t="str">
        <f>LEFT(Form_Responses1[[#This Row],[問１　あなたは何年生ですか。]],3)</f>
        <v>小学校</v>
      </c>
      <c r="D1983" s="7" t="s">
        <v>14</v>
      </c>
      <c r="E1983" s="7" t="s">
        <v>7</v>
      </c>
      <c r="F1983" s="8"/>
    </row>
    <row r="1984" spans="1:6" ht="12.75">
      <c r="A1984" s="6">
        <v>45631.57922748843</v>
      </c>
      <c r="B1984" s="7" t="s">
        <v>289</v>
      </c>
      <c r="C1984" s="5" t="str">
        <f>LEFT(Form_Responses1[[#This Row],[問１　あなたは何年生ですか。]],3)</f>
        <v>小学校</v>
      </c>
      <c r="D1984" s="7" t="s">
        <v>24</v>
      </c>
      <c r="E1984" s="7" t="s">
        <v>10</v>
      </c>
      <c r="F1984" s="7" t="s">
        <v>1450</v>
      </c>
    </row>
    <row r="1985" spans="1:6" ht="12.75">
      <c r="A1985" s="6">
        <v>45631.579331006942</v>
      </c>
      <c r="B1985" s="7" t="s">
        <v>289</v>
      </c>
      <c r="C1985" s="5" t="str">
        <f>LEFT(Form_Responses1[[#This Row],[問１　あなたは何年生ですか。]],3)</f>
        <v>小学校</v>
      </c>
      <c r="D1985" s="7" t="s">
        <v>6</v>
      </c>
      <c r="E1985" s="7" t="s">
        <v>10</v>
      </c>
      <c r="F1985" s="7" t="s">
        <v>1451</v>
      </c>
    </row>
    <row r="1986" spans="1:6" ht="12.75">
      <c r="A1986" s="6">
        <v>45631.57943622685</v>
      </c>
      <c r="B1986" s="7" t="s">
        <v>289</v>
      </c>
      <c r="C1986" s="5" t="str">
        <f>LEFT(Form_Responses1[[#This Row],[問１　あなたは何年生ですか。]],3)</f>
        <v>小学校</v>
      </c>
      <c r="D1986" s="7" t="s">
        <v>6</v>
      </c>
      <c r="E1986" s="7" t="s">
        <v>7</v>
      </c>
      <c r="F1986" s="8"/>
    </row>
    <row r="1987" spans="1:6" ht="12.75">
      <c r="A1987" s="6">
        <v>45631.579677719907</v>
      </c>
      <c r="B1987" s="7" t="s">
        <v>8</v>
      </c>
      <c r="C1987" s="5" t="str">
        <f>LEFT(Form_Responses1[[#This Row],[問１　あなたは何年生ですか。]],3)</f>
        <v>小学校</v>
      </c>
      <c r="D1987" s="7" t="s">
        <v>24</v>
      </c>
      <c r="E1987" s="7" t="s">
        <v>10</v>
      </c>
      <c r="F1987" s="7" t="s">
        <v>52</v>
      </c>
    </row>
    <row r="1988" spans="1:6" ht="12.75">
      <c r="A1988" s="6">
        <v>45631.579698055561</v>
      </c>
      <c r="B1988" s="7" t="s">
        <v>289</v>
      </c>
      <c r="C1988" s="5" t="str">
        <f>LEFT(Form_Responses1[[#This Row],[問１　あなたは何年生ですか。]],3)</f>
        <v>小学校</v>
      </c>
      <c r="D1988" s="7" t="s">
        <v>14</v>
      </c>
      <c r="E1988" s="7" t="s">
        <v>7</v>
      </c>
      <c r="F1988" s="7" t="s">
        <v>1452</v>
      </c>
    </row>
    <row r="1989" spans="1:6" ht="12.75">
      <c r="A1989" s="6">
        <v>45631.579832650459</v>
      </c>
      <c r="B1989" s="7" t="s">
        <v>289</v>
      </c>
      <c r="C1989" s="5" t="str">
        <f>LEFT(Form_Responses1[[#This Row],[問１　あなたは何年生ですか。]],3)</f>
        <v>小学校</v>
      </c>
      <c r="D1989" s="7" t="s">
        <v>24</v>
      </c>
      <c r="E1989" s="7" t="s">
        <v>10</v>
      </c>
      <c r="F1989" s="7" t="s">
        <v>1453</v>
      </c>
    </row>
    <row r="1990" spans="1:6" ht="12.75">
      <c r="A1990" s="6">
        <v>45631.580333657403</v>
      </c>
      <c r="B1990" s="7" t="s">
        <v>289</v>
      </c>
      <c r="C1990" s="5" t="str">
        <f>LEFT(Form_Responses1[[#This Row],[問１　あなたは何年生ですか。]],3)</f>
        <v>小学校</v>
      </c>
      <c r="D1990" s="7" t="s">
        <v>6</v>
      </c>
      <c r="E1990" s="7" t="s">
        <v>7</v>
      </c>
      <c r="F1990" s="7" t="s">
        <v>1454</v>
      </c>
    </row>
    <row r="1991" spans="1:6" ht="12.75">
      <c r="A1991" s="6">
        <v>45631.580489618056</v>
      </c>
      <c r="B1991" s="7" t="s">
        <v>289</v>
      </c>
      <c r="C1991" s="5" t="str">
        <f>LEFT(Form_Responses1[[#This Row],[問１　あなたは何年生ですか。]],3)</f>
        <v>小学校</v>
      </c>
      <c r="D1991" s="7" t="s">
        <v>24</v>
      </c>
      <c r="E1991" s="7" t="s">
        <v>10</v>
      </c>
      <c r="F1991" s="7" t="s">
        <v>1455</v>
      </c>
    </row>
    <row r="1992" spans="1:6" ht="12.75">
      <c r="A1992" s="6">
        <v>45631.580495104165</v>
      </c>
      <c r="B1992" s="7" t="s">
        <v>289</v>
      </c>
      <c r="C1992" s="5" t="str">
        <f>LEFT(Form_Responses1[[#This Row],[問１　あなたは何年生ですか。]],3)</f>
        <v>小学校</v>
      </c>
      <c r="D1992" s="7" t="s">
        <v>24</v>
      </c>
      <c r="E1992" s="7" t="s">
        <v>10</v>
      </c>
      <c r="F1992" s="7" t="s">
        <v>1456</v>
      </c>
    </row>
    <row r="1993" spans="1:6" ht="12.75">
      <c r="A1993" s="6">
        <v>45631.58055150463</v>
      </c>
      <c r="B1993" s="7" t="s">
        <v>289</v>
      </c>
      <c r="C1993" s="5" t="str">
        <f>LEFT(Form_Responses1[[#This Row],[問１　あなたは何年生ですか。]],3)</f>
        <v>小学校</v>
      </c>
      <c r="D1993" s="7" t="s">
        <v>22</v>
      </c>
      <c r="E1993" s="7" t="s">
        <v>10</v>
      </c>
      <c r="F1993" s="7" t="s">
        <v>1457</v>
      </c>
    </row>
    <row r="1994" spans="1:6" ht="12.75">
      <c r="A1994" s="6">
        <v>45631.581087175931</v>
      </c>
      <c r="B1994" s="7" t="s">
        <v>289</v>
      </c>
      <c r="C1994" s="5" t="str">
        <f>LEFT(Form_Responses1[[#This Row],[問１　あなたは何年生ですか。]],3)</f>
        <v>小学校</v>
      </c>
      <c r="D1994" s="7" t="s">
        <v>19</v>
      </c>
      <c r="E1994" s="7" t="s">
        <v>7</v>
      </c>
      <c r="F1994" s="7" t="s">
        <v>1458</v>
      </c>
    </row>
    <row r="1995" spans="1:6" ht="12.75">
      <c r="A1995" s="6">
        <v>45631.581537303238</v>
      </c>
      <c r="B1995" s="7" t="s">
        <v>289</v>
      </c>
      <c r="C1995" s="5" t="str">
        <f>LEFT(Form_Responses1[[#This Row],[問１　あなたは何年生ですか。]],3)</f>
        <v>小学校</v>
      </c>
      <c r="D1995" s="7" t="s">
        <v>24</v>
      </c>
      <c r="E1995" s="7" t="s">
        <v>10</v>
      </c>
      <c r="F1995" s="8"/>
    </row>
    <row r="1996" spans="1:6" ht="12.75">
      <c r="A1996" s="6">
        <v>45631.58164462963</v>
      </c>
      <c r="B1996" s="7" t="s">
        <v>289</v>
      </c>
      <c r="C1996" s="5" t="str">
        <f>LEFT(Form_Responses1[[#This Row],[問１　あなたは何年生ですか。]],3)</f>
        <v>小学校</v>
      </c>
      <c r="D1996" s="7" t="s">
        <v>24</v>
      </c>
      <c r="E1996" s="7" t="s">
        <v>10</v>
      </c>
      <c r="F1996" s="7" t="s">
        <v>1459</v>
      </c>
    </row>
    <row r="1997" spans="1:6" ht="12.75">
      <c r="A1997" s="6">
        <v>45631.581920821758</v>
      </c>
      <c r="B1997" s="7" t="s">
        <v>289</v>
      </c>
      <c r="C1997" s="5" t="str">
        <f>LEFT(Form_Responses1[[#This Row],[問１　あなたは何年生ですか。]],3)</f>
        <v>小学校</v>
      </c>
      <c r="D1997" s="7" t="s">
        <v>24</v>
      </c>
      <c r="E1997" s="7" t="s">
        <v>10</v>
      </c>
      <c r="F1997" s="7" t="s">
        <v>1460</v>
      </c>
    </row>
    <row r="1998" spans="1:6" ht="12.75">
      <c r="A1998" s="6">
        <v>45631.582277361114</v>
      </c>
      <c r="B1998" s="7" t="s">
        <v>289</v>
      </c>
      <c r="C1998" s="5" t="str">
        <f>LEFT(Form_Responses1[[#This Row],[問１　あなたは何年生ですか。]],3)</f>
        <v>小学校</v>
      </c>
      <c r="D1998" s="7" t="s">
        <v>24</v>
      </c>
      <c r="E1998" s="7" t="s">
        <v>10</v>
      </c>
      <c r="F1998" s="7" t="s">
        <v>1459</v>
      </c>
    </row>
    <row r="1999" spans="1:6" ht="12.75">
      <c r="A1999" s="6">
        <v>45631.58250675926</v>
      </c>
      <c r="B1999" s="7" t="s">
        <v>289</v>
      </c>
      <c r="C1999" s="5" t="str">
        <f>LEFT(Form_Responses1[[#This Row],[問１　あなたは何年生ですか。]],3)</f>
        <v>小学校</v>
      </c>
      <c r="D1999" s="7" t="s">
        <v>6</v>
      </c>
      <c r="E1999" s="7" t="s">
        <v>10</v>
      </c>
      <c r="F1999" s="7" t="s">
        <v>1461</v>
      </c>
    </row>
    <row r="2000" spans="1:6" ht="12.75">
      <c r="A2000" s="6">
        <v>45631.582796215276</v>
      </c>
      <c r="B2000" s="7" t="s">
        <v>289</v>
      </c>
      <c r="C2000" s="5" t="str">
        <f>LEFT(Form_Responses1[[#This Row],[問１　あなたは何年生ですか。]],3)</f>
        <v>小学校</v>
      </c>
      <c r="D2000" s="7" t="s">
        <v>24</v>
      </c>
      <c r="E2000" s="7" t="s">
        <v>10</v>
      </c>
      <c r="F2000" s="7" t="s">
        <v>1462</v>
      </c>
    </row>
    <row r="2001" spans="1:6" ht="12.75">
      <c r="A2001" s="6">
        <v>45631.583493634258</v>
      </c>
      <c r="B2001" s="7" t="s">
        <v>289</v>
      </c>
      <c r="C2001" s="5" t="str">
        <f>LEFT(Form_Responses1[[#This Row],[問１　あなたは何年生ですか。]],3)</f>
        <v>小学校</v>
      </c>
      <c r="D2001" s="7" t="s">
        <v>24</v>
      </c>
      <c r="E2001" s="7" t="s">
        <v>10</v>
      </c>
      <c r="F2001" s="7" t="s">
        <v>1463</v>
      </c>
    </row>
    <row r="2002" spans="1:6" ht="12.75">
      <c r="A2002" s="6">
        <v>45631.584607349534</v>
      </c>
      <c r="B2002" s="7" t="s">
        <v>289</v>
      </c>
      <c r="C2002" s="5" t="str">
        <f>LEFT(Form_Responses1[[#This Row],[問１　あなたは何年生ですか。]],3)</f>
        <v>小学校</v>
      </c>
      <c r="D2002" s="7" t="s">
        <v>6</v>
      </c>
      <c r="E2002" s="7" t="s">
        <v>10</v>
      </c>
      <c r="F2002" s="7" t="s">
        <v>1464</v>
      </c>
    </row>
    <row r="2003" spans="1:6" ht="12.75">
      <c r="A2003" s="6">
        <v>45631.59298887731</v>
      </c>
      <c r="B2003" s="7" t="s">
        <v>289</v>
      </c>
      <c r="C2003" s="5" t="str">
        <f>LEFT(Form_Responses1[[#This Row],[問１　あなたは何年生ですか。]],3)</f>
        <v>小学校</v>
      </c>
      <c r="D2003" s="7" t="s">
        <v>24</v>
      </c>
      <c r="E2003" s="7" t="s">
        <v>10</v>
      </c>
      <c r="F2003" s="7" t="s">
        <v>1465</v>
      </c>
    </row>
    <row r="2004" spans="1:6" ht="12.75">
      <c r="A2004" s="6">
        <v>45631.593862557871</v>
      </c>
      <c r="B2004" s="7" t="s">
        <v>289</v>
      </c>
      <c r="C2004" s="5" t="str">
        <f>LEFT(Form_Responses1[[#This Row],[問１　あなたは何年生ですか。]],3)</f>
        <v>小学校</v>
      </c>
      <c r="D2004" s="7" t="s">
        <v>24</v>
      </c>
      <c r="E2004" s="7" t="s">
        <v>10</v>
      </c>
      <c r="F2004" s="7" t="s">
        <v>1466</v>
      </c>
    </row>
    <row r="2005" spans="1:6" ht="12.75">
      <c r="A2005" s="6">
        <v>45631.604698703704</v>
      </c>
      <c r="B2005" s="7" t="s">
        <v>21</v>
      </c>
      <c r="C2005" s="5" t="str">
        <f>LEFT(Form_Responses1[[#This Row],[問１　あなたは何年生ですか。]],3)</f>
        <v>小学校</v>
      </c>
      <c r="D2005" s="7" t="s">
        <v>6</v>
      </c>
      <c r="E2005" s="7" t="s">
        <v>7</v>
      </c>
      <c r="F2005" s="8"/>
    </row>
    <row r="2006" spans="1:6" ht="12.75">
      <c r="A2006" s="6">
        <v>45631.604647256943</v>
      </c>
      <c r="B2006" s="7" t="s">
        <v>21</v>
      </c>
      <c r="C2006" s="5" t="str">
        <f>LEFT(Form_Responses1[[#This Row],[問１　あなたは何年生ですか。]],3)</f>
        <v>小学校</v>
      </c>
      <c r="D2006" s="7" t="s">
        <v>6</v>
      </c>
      <c r="E2006" s="7" t="s">
        <v>7</v>
      </c>
      <c r="F2006" s="8"/>
    </row>
    <row r="2007" spans="1:6" ht="12.75">
      <c r="A2007" s="6">
        <v>45631.605017256945</v>
      </c>
      <c r="B2007" s="7" t="s">
        <v>21</v>
      </c>
      <c r="C2007" s="5" t="str">
        <f>LEFT(Form_Responses1[[#This Row],[問１　あなたは何年生ですか。]],3)</f>
        <v>小学校</v>
      </c>
      <c r="D2007" s="7" t="s">
        <v>6</v>
      </c>
      <c r="E2007" s="7" t="s">
        <v>10</v>
      </c>
      <c r="F2007" s="8"/>
    </row>
    <row r="2008" spans="1:6" ht="12.75">
      <c r="A2008" s="6">
        <v>45631.605077291664</v>
      </c>
      <c r="B2008" s="7" t="s">
        <v>21</v>
      </c>
      <c r="C2008" s="5" t="str">
        <f>LEFT(Form_Responses1[[#This Row],[問１　あなたは何年生ですか。]],3)</f>
        <v>小学校</v>
      </c>
      <c r="D2008" s="7" t="s">
        <v>6</v>
      </c>
      <c r="E2008" s="7" t="s">
        <v>10</v>
      </c>
      <c r="F2008" s="8"/>
    </row>
    <row r="2009" spans="1:6" ht="12.75">
      <c r="A2009" s="6">
        <v>45631.605154895835</v>
      </c>
      <c r="B2009" s="7" t="s">
        <v>21</v>
      </c>
      <c r="C2009" s="5" t="str">
        <f>LEFT(Form_Responses1[[#This Row],[問１　あなたは何年生ですか。]],3)</f>
        <v>小学校</v>
      </c>
      <c r="D2009" s="7" t="s">
        <v>24</v>
      </c>
      <c r="E2009" s="7" t="s">
        <v>10</v>
      </c>
      <c r="F2009" s="8"/>
    </row>
    <row r="2010" spans="1:6" ht="12.75">
      <c r="A2010" s="6">
        <v>45631.605193356481</v>
      </c>
      <c r="B2010" s="7" t="s">
        <v>21</v>
      </c>
      <c r="C2010" s="5" t="str">
        <f>LEFT(Form_Responses1[[#This Row],[問１　あなたは何年生ですか。]],3)</f>
        <v>小学校</v>
      </c>
      <c r="D2010" s="7" t="s">
        <v>12</v>
      </c>
      <c r="E2010" s="7" t="s">
        <v>67</v>
      </c>
      <c r="F2010" s="8"/>
    </row>
    <row r="2011" spans="1:6" ht="12.75">
      <c r="A2011" s="6">
        <v>45631.605233796297</v>
      </c>
      <c r="B2011" s="7" t="s">
        <v>21</v>
      </c>
      <c r="C2011" s="5" t="str">
        <f>LEFT(Form_Responses1[[#This Row],[問１　あなたは何年生ですか。]],3)</f>
        <v>小学校</v>
      </c>
      <c r="D2011" s="7" t="s">
        <v>6</v>
      </c>
      <c r="E2011" s="7" t="s">
        <v>7</v>
      </c>
      <c r="F2011" s="8"/>
    </row>
    <row r="2012" spans="1:6" ht="12.75">
      <c r="A2012" s="6">
        <v>45631.60538006945</v>
      </c>
      <c r="B2012" s="7" t="s">
        <v>21</v>
      </c>
      <c r="C2012" s="5" t="str">
        <f>LEFT(Form_Responses1[[#This Row],[問１　あなたは何年生ですか。]],3)</f>
        <v>小学校</v>
      </c>
      <c r="D2012" s="7" t="s">
        <v>6</v>
      </c>
      <c r="E2012" s="7" t="s">
        <v>10</v>
      </c>
      <c r="F2012" s="8"/>
    </row>
    <row r="2013" spans="1:6" ht="12.75">
      <c r="A2013" s="6">
        <v>45631.605421423606</v>
      </c>
      <c r="B2013" s="7" t="s">
        <v>21</v>
      </c>
      <c r="C2013" s="5" t="str">
        <f>LEFT(Form_Responses1[[#This Row],[問１　あなたは何年生ですか。]],3)</f>
        <v>小学校</v>
      </c>
      <c r="D2013" s="7" t="s">
        <v>6</v>
      </c>
      <c r="E2013" s="7" t="s">
        <v>7</v>
      </c>
      <c r="F2013" s="8"/>
    </row>
    <row r="2014" spans="1:6" ht="12.75">
      <c r="A2014" s="6">
        <v>45631.606104791666</v>
      </c>
      <c r="B2014" s="7" t="s">
        <v>21</v>
      </c>
      <c r="C2014" s="5" t="str">
        <f>LEFT(Form_Responses1[[#This Row],[問１　あなたは何年生ですか。]],3)</f>
        <v>小学校</v>
      </c>
      <c r="D2014" s="7" t="s">
        <v>6</v>
      </c>
      <c r="E2014" s="7" t="s">
        <v>10</v>
      </c>
      <c r="F2014" s="7" t="s">
        <v>1467</v>
      </c>
    </row>
    <row r="2015" spans="1:6" ht="12.75">
      <c r="A2015" s="6">
        <v>45631.606195069442</v>
      </c>
      <c r="B2015" s="7" t="s">
        <v>21</v>
      </c>
      <c r="C2015" s="5" t="str">
        <f>LEFT(Form_Responses1[[#This Row],[問１　あなたは何年生ですか。]],3)</f>
        <v>小学校</v>
      </c>
      <c r="D2015" s="7" t="s">
        <v>6</v>
      </c>
      <c r="E2015" s="7" t="s">
        <v>10</v>
      </c>
      <c r="F2015" s="7" t="s">
        <v>1468</v>
      </c>
    </row>
    <row r="2016" spans="1:6" ht="12.75">
      <c r="A2016" s="6">
        <v>45631.606214664353</v>
      </c>
      <c r="B2016" s="7" t="s">
        <v>18</v>
      </c>
      <c r="C2016" s="5" t="str">
        <f>LEFT(Form_Responses1[[#This Row],[問１　あなたは何年生ですか。]],3)</f>
        <v>中学校</v>
      </c>
      <c r="D2016" s="7" t="s">
        <v>6</v>
      </c>
      <c r="E2016" s="7" t="s">
        <v>10</v>
      </c>
      <c r="F2016" s="7" t="s">
        <v>1469</v>
      </c>
    </row>
    <row r="2017" spans="1:6" ht="12.75">
      <c r="A2017" s="6">
        <v>45631.606261828703</v>
      </c>
      <c r="B2017" s="7" t="s">
        <v>21</v>
      </c>
      <c r="C2017" s="5" t="str">
        <f>LEFT(Form_Responses1[[#This Row],[問１　あなたは何年生ですか。]],3)</f>
        <v>小学校</v>
      </c>
      <c r="D2017" s="7" t="s">
        <v>24</v>
      </c>
      <c r="E2017" s="7" t="s">
        <v>10</v>
      </c>
      <c r="F2017" s="7" t="s">
        <v>1470</v>
      </c>
    </row>
    <row r="2018" spans="1:6" ht="12.75">
      <c r="A2018" s="6">
        <v>45631.606858263884</v>
      </c>
      <c r="B2018" s="7" t="s">
        <v>21</v>
      </c>
      <c r="C2018" s="5" t="str">
        <f>LEFT(Form_Responses1[[#This Row],[問１　あなたは何年生ですか。]],3)</f>
        <v>小学校</v>
      </c>
      <c r="D2018" s="7" t="s">
        <v>6</v>
      </c>
      <c r="E2018" s="7" t="s">
        <v>7</v>
      </c>
      <c r="F2018" s="8"/>
    </row>
    <row r="2019" spans="1:6" ht="12.75">
      <c r="A2019" s="6">
        <v>45631.606858460647</v>
      </c>
      <c r="B2019" s="7" t="s">
        <v>21</v>
      </c>
      <c r="C2019" s="5" t="str">
        <f>LEFT(Form_Responses1[[#This Row],[問１　あなたは何年生ですか。]],3)</f>
        <v>小学校</v>
      </c>
      <c r="D2019" s="7" t="s">
        <v>19</v>
      </c>
      <c r="E2019" s="7" t="s">
        <v>7</v>
      </c>
      <c r="F2019" s="7" t="s">
        <v>1471</v>
      </c>
    </row>
    <row r="2020" spans="1:6" ht="12.75">
      <c r="A2020" s="6">
        <v>45631.606895949073</v>
      </c>
      <c r="B2020" s="7" t="s">
        <v>21</v>
      </c>
      <c r="C2020" s="5" t="str">
        <f>LEFT(Form_Responses1[[#This Row],[問１　あなたは何年生ですか。]],3)</f>
        <v>小学校</v>
      </c>
      <c r="D2020" s="7" t="s">
        <v>1472</v>
      </c>
      <c r="E2020" s="7" t="s">
        <v>7</v>
      </c>
      <c r="F2020" s="7" t="s">
        <v>1473</v>
      </c>
    </row>
    <row r="2021" spans="1:6" ht="12.75">
      <c r="A2021" s="6">
        <v>45631.607143634261</v>
      </c>
      <c r="B2021" s="7" t="s">
        <v>21</v>
      </c>
      <c r="C2021" s="5" t="str">
        <f>LEFT(Form_Responses1[[#This Row],[問１　あなたは何年生ですか。]],3)</f>
        <v>小学校</v>
      </c>
      <c r="D2021" s="7" t="s">
        <v>22</v>
      </c>
      <c r="E2021" s="7" t="s">
        <v>10</v>
      </c>
      <c r="F2021" s="7" t="s">
        <v>1474</v>
      </c>
    </row>
    <row r="2022" spans="1:6" ht="12.75">
      <c r="A2022" s="6">
        <v>45631.607186759255</v>
      </c>
      <c r="B2022" s="7" t="s">
        <v>21</v>
      </c>
      <c r="C2022" s="5" t="str">
        <f>LEFT(Form_Responses1[[#This Row],[問１　あなたは何年生ですか。]],3)</f>
        <v>小学校</v>
      </c>
      <c r="D2022" s="7" t="s">
        <v>22</v>
      </c>
      <c r="E2022" s="7" t="s">
        <v>7</v>
      </c>
      <c r="F2022" s="7" t="s">
        <v>1475</v>
      </c>
    </row>
    <row r="2023" spans="1:6" ht="12.75">
      <c r="A2023" s="6">
        <v>45631.607385671297</v>
      </c>
      <c r="B2023" s="7" t="s">
        <v>21</v>
      </c>
      <c r="C2023" s="5" t="str">
        <f>LEFT(Form_Responses1[[#This Row],[問１　あなたは何年生ですか。]],3)</f>
        <v>小学校</v>
      </c>
      <c r="D2023" s="7" t="s">
        <v>6</v>
      </c>
      <c r="E2023" s="7" t="s">
        <v>10</v>
      </c>
      <c r="F2023" s="7" t="s">
        <v>1476</v>
      </c>
    </row>
    <row r="2024" spans="1:6" ht="12.75">
      <c r="A2024" s="6">
        <v>45631.608159988427</v>
      </c>
      <c r="B2024" s="7" t="s">
        <v>21</v>
      </c>
      <c r="C2024" s="5" t="str">
        <f>LEFT(Form_Responses1[[#This Row],[問１　あなたは何年生ですか。]],3)</f>
        <v>小学校</v>
      </c>
      <c r="D2024" s="7" t="s">
        <v>6</v>
      </c>
      <c r="E2024" s="7" t="s">
        <v>10</v>
      </c>
      <c r="F2024" s="8"/>
    </row>
    <row r="2025" spans="1:6" ht="12.75">
      <c r="A2025" s="6">
        <v>45631.608840266199</v>
      </c>
      <c r="B2025" s="7" t="s">
        <v>21</v>
      </c>
      <c r="C2025" s="5" t="str">
        <f>LEFT(Form_Responses1[[#This Row],[問１　あなたは何年生ですか。]],3)</f>
        <v>小学校</v>
      </c>
      <c r="D2025" s="7" t="s">
        <v>22</v>
      </c>
      <c r="E2025" s="7" t="s">
        <v>10</v>
      </c>
      <c r="F2025" s="7" t="s">
        <v>1477</v>
      </c>
    </row>
    <row r="2026" spans="1:6" ht="12.75">
      <c r="A2026" s="6">
        <v>45631.69286362268</v>
      </c>
      <c r="B2026" s="7" t="s">
        <v>21</v>
      </c>
      <c r="C2026" s="5" t="str">
        <f>LEFT(Form_Responses1[[#This Row],[問１　あなたは何年生ですか。]],3)</f>
        <v>小学校</v>
      </c>
      <c r="D2026" s="7" t="s">
        <v>24</v>
      </c>
      <c r="E2026" s="7" t="s">
        <v>10</v>
      </c>
      <c r="F2026" s="8"/>
    </row>
    <row r="2027" spans="1:6" ht="12.75">
      <c r="A2027" s="6">
        <v>45632.3452215625</v>
      </c>
      <c r="B2027" s="7" t="s">
        <v>21</v>
      </c>
      <c r="C2027" s="5" t="str">
        <f>LEFT(Form_Responses1[[#This Row],[問１　あなたは何年生ですか。]],3)</f>
        <v>小学校</v>
      </c>
      <c r="D2027" s="7" t="s">
        <v>1478</v>
      </c>
      <c r="E2027" s="7" t="s">
        <v>67</v>
      </c>
      <c r="F2027" s="8"/>
    </row>
    <row r="2028" spans="1:6" ht="12.75">
      <c r="A2028" s="6">
        <v>45632.345602534726</v>
      </c>
      <c r="B2028" s="7" t="s">
        <v>21</v>
      </c>
      <c r="C2028" s="5" t="str">
        <f>LEFT(Form_Responses1[[#This Row],[問１　あなたは何年生ですか。]],3)</f>
        <v>小学校</v>
      </c>
      <c r="D2028" s="7" t="s">
        <v>9</v>
      </c>
      <c r="E2028" s="7" t="s">
        <v>10</v>
      </c>
      <c r="F2028" s="8"/>
    </row>
    <row r="2029" spans="1:6" ht="12.75">
      <c r="A2029" s="6">
        <v>45632.345610810182</v>
      </c>
      <c r="B2029" s="7" t="s">
        <v>21</v>
      </c>
      <c r="C2029" s="5" t="str">
        <f>LEFT(Form_Responses1[[#This Row],[問１　あなたは何年生ですか。]],3)</f>
        <v>小学校</v>
      </c>
      <c r="D2029" s="7" t="s">
        <v>19</v>
      </c>
      <c r="E2029" s="7" t="s">
        <v>7</v>
      </c>
      <c r="F2029" s="8"/>
    </row>
    <row r="2030" spans="1:6" ht="12.75">
      <c r="A2030" s="6">
        <v>45632.34562364583</v>
      </c>
      <c r="B2030" s="7" t="s">
        <v>13</v>
      </c>
      <c r="C2030" s="5" t="str">
        <f>LEFT(Form_Responses1[[#This Row],[問１　あなたは何年生ですか。]],3)</f>
        <v>小学校</v>
      </c>
      <c r="D2030" s="7" t="s">
        <v>6</v>
      </c>
      <c r="E2030" s="7" t="s">
        <v>10</v>
      </c>
      <c r="F2030" s="8"/>
    </row>
    <row r="2031" spans="1:6" ht="12.75">
      <c r="A2031" s="6">
        <v>45632.345641203705</v>
      </c>
      <c r="B2031" s="7" t="s">
        <v>21</v>
      </c>
      <c r="C2031" s="5" t="str">
        <f>LEFT(Form_Responses1[[#This Row],[問１　あなたは何年生ですか。]],3)</f>
        <v>小学校</v>
      </c>
      <c r="D2031" s="7" t="s">
        <v>24</v>
      </c>
      <c r="E2031" s="7" t="s">
        <v>10</v>
      </c>
      <c r="F2031" s="8"/>
    </row>
    <row r="2032" spans="1:6" ht="12.75">
      <c r="A2032" s="6">
        <v>45632.345728437504</v>
      </c>
      <c r="B2032" s="7" t="s">
        <v>21</v>
      </c>
      <c r="C2032" s="5" t="str">
        <f>LEFT(Form_Responses1[[#This Row],[問１　あなたは何年生ですか。]],3)</f>
        <v>小学校</v>
      </c>
      <c r="D2032" s="7" t="s">
        <v>24</v>
      </c>
      <c r="E2032" s="7" t="s">
        <v>10</v>
      </c>
      <c r="F2032" s="8"/>
    </row>
    <row r="2033" spans="1:6" ht="12.75">
      <c r="A2033" s="6">
        <v>45632.345775590278</v>
      </c>
      <c r="B2033" s="7" t="s">
        <v>21</v>
      </c>
      <c r="C2033" s="5" t="str">
        <f>LEFT(Form_Responses1[[#This Row],[問１　あなたは何年生ですか。]],3)</f>
        <v>小学校</v>
      </c>
      <c r="D2033" s="7" t="s">
        <v>24</v>
      </c>
      <c r="E2033" s="7" t="s">
        <v>7</v>
      </c>
      <c r="F2033" s="8"/>
    </row>
    <row r="2034" spans="1:6" ht="12.75">
      <c r="A2034" s="6">
        <v>45632.345919988424</v>
      </c>
      <c r="B2034" s="7" t="s">
        <v>21</v>
      </c>
      <c r="C2034" s="5" t="str">
        <f>LEFT(Form_Responses1[[#This Row],[問１　あなたは何年生ですか。]],3)</f>
        <v>小学校</v>
      </c>
      <c r="D2034" s="7" t="s">
        <v>6</v>
      </c>
      <c r="E2034" s="7" t="s">
        <v>7</v>
      </c>
      <c r="F2034" s="8"/>
    </row>
    <row r="2035" spans="1:6" ht="12.75">
      <c r="A2035" s="6">
        <v>45632.346006805557</v>
      </c>
      <c r="B2035" s="7" t="s">
        <v>21</v>
      </c>
      <c r="C2035" s="5" t="str">
        <f>LEFT(Form_Responses1[[#This Row],[問１　あなたは何年生ですか。]],3)</f>
        <v>小学校</v>
      </c>
      <c r="D2035" s="7" t="s">
        <v>12</v>
      </c>
      <c r="E2035" s="7" t="s">
        <v>10</v>
      </c>
      <c r="F2035" s="8"/>
    </row>
    <row r="2036" spans="1:6" ht="12.75">
      <c r="A2036" s="6">
        <v>45632.346012928239</v>
      </c>
      <c r="B2036" s="7" t="s">
        <v>21</v>
      </c>
      <c r="C2036" s="5" t="str">
        <f>LEFT(Form_Responses1[[#This Row],[問１　あなたは何年生ですか。]],3)</f>
        <v>小学校</v>
      </c>
      <c r="D2036" s="7" t="s">
        <v>6</v>
      </c>
      <c r="E2036" s="7" t="s">
        <v>7</v>
      </c>
      <c r="F2036" s="8"/>
    </row>
    <row r="2037" spans="1:6" ht="12.75">
      <c r="A2037" s="6">
        <v>45632.346804270834</v>
      </c>
      <c r="B2037" s="7" t="s">
        <v>21</v>
      </c>
      <c r="C2037" s="5" t="str">
        <f>LEFT(Form_Responses1[[#This Row],[問１　あなたは何年生ですか。]],3)</f>
        <v>小学校</v>
      </c>
      <c r="D2037" s="7" t="s">
        <v>24</v>
      </c>
      <c r="E2037" s="7" t="s">
        <v>10</v>
      </c>
      <c r="F2037" s="7" t="s">
        <v>1479</v>
      </c>
    </row>
    <row r="2038" spans="1:6" ht="12.75">
      <c r="A2038" s="6">
        <v>45632.346869907407</v>
      </c>
      <c r="B2038" s="7" t="s">
        <v>21</v>
      </c>
      <c r="C2038" s="5" t="str">
        <f>LEFT(Form_Responses1[[#This Row],[問１　あなたは何年生ですか。]],3)</f>
        <v>小学校</v>
      </c>
      <c r="D2038" s="7" t="s">
        <v>6</v>
      </c>
      <c r="E2038" s="7" t="s">
        <v>7</v>
      </c>
      <c r="F2038" s="8"/>
    </row>
    <row r="2039" spans="1:6" ht="12.75">
      <c r="A2039" s="6">
        <v>45632.347068206014</v>
      </c>
      <c r="B2039" s="7" t="s">
        <v>21</v>
      </c>
      <c r="C2039" s="5" t="str">
        <f>LEFT(Form_Responses1[[#This Row],[問１　あなたは何年生ですか。]],3)</f>
        <v>小学校</v>
      </c>
      <c r="D2039" s="7" t="s">
        <v>24</v>
      </c>
      <c r="E2039" s="7" t="s">
        <v>10</v>
      </c>
      <c r="F2039" s="8"/>
    </row>
    <row r="2040" spans="1:6" ht="12.75">
      <c r="A2040" s="6">
        <v>45632.347869363424</v>
      </c>
      <c r="B2040" s="7" t="s">
        <v>21</v>
      </c>
      <c r="C2040" s="5" t="str">
        <f>LEFT(Form_Responses1[[#This Row],[問１　あなたは何年生ですか。]],3)</f>
        <v>小学校</v>
      </c>
      <c r="D2040" s="7" t="s">
        <v>6</v>
      </c>
      <c r="E2040" s="7" t="s">
        <v>10</v>
      </c>
      <c r="F2040" s="8"/>
    </row>
    <row r="2041" spans="1:6" ht="12.75">
      <c r="A2041" s="6">
        <v>45632.34790523148</v>
      </c>
      <c r="B2041" s="7" t="s">
        <v>21</v>
      </c>
      <c r="C2041" s="5" t="str">
        <f>LEFT(Form_Responses1[[#This Row],[問１　あなたは何年生ですか。]],3)</f>
        <v>小学校</v>
      </c>
      <c r="D2041" s="7" t="s">
        <v>24</v>
      </c>
      <c r="E2041" s="7" t="s">
        <v>10</v>
      </c>
      <c r="F2041" s="8"/>
    </row>
    <row r="2042" spans="1:6" ht="12.75">
      <c r="A2042" s="6">
        <v>45632.348007766202</v>
      </c>
      <c r="B2042" s="7" t="s">
        <v>21</v>
      </c>
      <c r="C2042" s="5" t="str">
        <f>LEFT(Form_Responses1[[#This Row],[問１　あなたは何年生ですか。]],3)</f>
        <v>小学校</v>
      </c>
      <c r="D2042" s="7" t="s">
        <v>6</v>
      </c>
      <c r="E2042" s="7" t="s">
        <v>7</v>
      </c>
      <c r="F2042" s="7" t="s">
        <v>1480</v>
      </c>
    </row>
    <row r="2043" spans="1:6" ht="12.75">
      <c r="A2043" s="6">
        <v>45632.348047812498</v>
      </c>
      <c r="B2043" s="7" t="s">
        <v>21</v>
      </c>
      <c r="C2043" s="5" t="str">
        <f>LEFT(Form_Responses1[[#This Row],[問１　あなたは何年生ですか。]],3)</f>
        <v>小学校</v>
      </c>
      <c r="D2043" s="7" t="s">
        <v>6</v>
      </c>
      <c r="E2043" s="7" t="s">
        <v>7</v>
      </c>
      <c r="F2043" s="8"/>
    </row>
    <row r="2044" spans="1:6" ht="12.75">
      <c r="A2044" s="6">
        <v>45632.348828298607</v>
      </c>
      <c r="B2044" s="7" t="s">
        <v>21</v>
      </c>
      <c r="C2044" s="5" t="str">
        <f>LEFT(Form_Responses1[[#This Row],[問１　あなたは何年生ですか。]],3)</f>
        <v>小学校</v>
      </c>
      <c r="D2044" s="7" t="s">
        <v>6</v>
      </c>
      <c r="E2044" s="7" t="s">
        <v>7</v>
      </c>
      <c r="F2044" s="7" t="s">
        <v>1481</v>
      </c>
    </row>
    <row r="2045" spans="1:6" ht="12.75">
      <c r="A2045" s="6">
        <v>45632.348837094905</v>
      </c>
      <c r="B2045" s="7" t="s">
        <v>21</v>
      </c>
      <c r="C2045" s="5" t="str">
        <f>LEFT(Form_Responses1[[#This Row],[問１　あなたは何年生ですか。]],3)</f>
        <v>小学校</v>
      </c>
      <c r="D2045" s="7" t="s">
        <v>6</v>
      </c>
      <c r="E2045" s="7" t="s">
        <v>10</v>
      </c>
      <c r="F2045" s="8"/>
    </row>
    <row r="2046" spans="1:6" ht="12.75">
      <c r="A2046" s="6">
        <v>45632.349514513888</v>
      </c>
      <c r="B2046" s="7" t="s">
        <v>21</v>
      </c>
      <c r="C2046" s="5" t="str">
        <f>LEFT(Form_Responses1[[#This Row],[問１　あなたは何年生ですか。]],3)</f>
        <v>小学校</v>
      </c>
      <c r="D2046" s="7" t="s">
        <v>12</v>
      </c>
      <c r="E2046" s="7" t="s">
        <v>10</v>
      </c>
      <c r="F2046" s="8"/>
    </row>
    <row r="2047" spans="1:6" ht="12.75">
      <c r="A2047" s="6">
        <v>45632.35345008102</v>
      </c>
      <c r="B2047" s="7" t="s">
        <v>289</v>
      </c>
      <c r="C2047" s="5" t="str">
        <f>LEFT(Form_Responses1[[#This Row],[問１　あなたは何年生ですか。]],3)</f>
        <v>小学校</v>
      </c>
      <c r="D2047" s="7" t="s">
        <v>6</v>
      </c>
      <c r="E2047" s="7" t="s">
        <v>7</v>
      </c>
      <c r="F2047" s="7" t="s">
        <v>1482</v>
      </c>
    </row>
    <row r="2048" spans="1:6" ht="12.75">
      <c r="A2048" s="6">
        <v>45632.353602858799</v>
      </c>
      <c r="B2048" s="7" t="s">
        <v>289</v>
      </c>
      <c r="C2048" s="5" t="str">
        <f>LEFT(Form_Responses1[[#This Row],[問１　あなたは何年生ですか。]],3)</f>
        <v>小学校</v>
      </c>
      <c r="D2048" s="7" t="s">
        <v>24</v>
      </c>
      <c r="E2048" s="7" t="s">
        <v>10</v>
      </c>
      <c r="F2048" s="7" t="s">
        <v>1483</v>
      </c>
    </row>
    <row r="2049" spans="1:6" ht="12.75">
      <c r="A2049" s="6">
        <v>45632.353727187496</v>
      </c>
      <c r="B2049" s="7" t="s">
        <v>289</v>
      </c>
      <c r="C2049" s="5" t="str">
        <f>LEFT(Form_Responses1[[#This Row],[問１　あなたは何年生ですか。]],3)</f>
        <v>小学校</v>
      </c>
      <c r="D2049" s="7" t="s">
        <v>6</v>
      </c>
      <c r="E2049" s="7" t="s">
        <v>10</v>
      </c>
      <c r="F2049" s="7" t="s">
        <v>1484</v>
      </c>
    </row>
    <row r="2050" spans="1:6" ht="12.75">
      <c r="A2050" s="6">
        <v>45632.353834108799</v>
      </c>
      <c r="B2050" s="7" t="s">
        <v>289</v>
      </c>
      <c r="C2050" s="5" t="str">
        <f>LEFT(Form_Responses1[[#This Row],[問１　あなたは何年生ですか。]],3)</f>
        <v>小学校</v>
      </c>
      <c r="D2050" s="7" t="s">
        <v>24</v>
      </c>
      <c r="E2050" s="7" t="s">
        <v>10</v>
      </c>
      <c r="F2050" s="7" t="s">
        <v>454</v>
      </c>
    </row>
    <row r="2051" spans="1:6" ht="12.75">
      <c r="A2051" s="6">
        <v>45632.353936631946</v>
      </c>
      <c r="B2051" s="7" t="s">
        <v>289</v>
      </c>
      <c r="C2051" s="5" t="str">
        <f>LEFT(Form_Responses1[[#This Row],[問１　あなたは何年生ですか。]],3)</f>
        <v>小学校</v>
      </c>
      <c r="D2051" s="7" t="s">
        <v>24</v>
      </c>
      <c r="E2051" s="7" t="s">
        <v>7</v>
      </c>
      <c r="F2051" s="7" t="s">
        <v>1485</v>
      </c>
    </row>
    <row r="2052" spans="1:6" ht="12.75">
      <c r="A2052" s="6">
        <v>45632.353959085653</v>
      </c>
      <c r="B2052" s="7" t="s">
        <v>289</v>
      </c>
      <c r="C2052" s="5" t="str">
        <f>LEFT(Form_Responses1[[#This Row],[問１　あなたは何年生ですか。]],3)</f>
        <v>小学校</v>
      </c>
      <c r="D2052" s="7" t="s">
        <v>6</v>
      </c>
      <c r="E2052" s="7" t="s">
        <v>7</v>
      </c>
      <c r="F2052" s="7" t="s">
        <v>1486</v>
      </c>
    </row>
    <row r="2053" spans="1:6" ht="12.75">
      <c r="A2053" s="6">
        <v>45632.354086574072</v>
      </c>
      <c r="B2053" s="7" t="s">
        <v>289</v>
      </c>
      <c r="C2053" s="5" t="str">
        <f>LEFT(Form_Responses1[[#This Row],[問１　あなたは何年生ですか。]],3)</f>
        <v>小学校</v>
      </c>
      <c r="D2053" s="7" t="s">
        <v>6</v>
      </c>
      <c r="E2053" s="7" t="s">
        <v>10</v>
      </c>
      <c r="F2053" s="7" t="s">
        <v>1487</v>
      </c>
    </row>
    <row r="2054" spans="1:6" ht="12.75">
      <c r="A2054" s="6">
        <v>45632.354108449072</v>
      </c>
      <c r="B2054" s="7" t="s">
        <v>289</v>
      </c>
      <c r="C2054" s="5" t="str">
        <f>LEFT(Form_Responses1[[#This Row],[問１　あなたは何年生ですか。]],3)</f>
        <v>小学校</v>
      </c>
      <c r="D2054" s="7" t="s">
        <v>6</v>
      </c>
      <c r="E2054" s="7" t="s">
        <v>7</v>
      </c>
      <c r="F2054" s="7" t="s">
        <v>1488</v>
      </c>
    </row>
    <row r="2055" spans="1:6" ht="12.75">
      <c r="A2055" s="6">
        <v>45632.354112650464</v>
      </c>
      <c r="B2055" s="7" t="s">
        <v>289</v>
      </c>
      <c r="C2055" s="5" t="str">
        <f>LEFT(Form_Responses1[[#This Row],[問１　あなたは何年生ですか。]],3)</f>
        <v>小学校</v>
      </c>
      <c r="D2055" s="7" t="s">
        <v>6</v>
      </c>
      <c r="E2055" s="7" t="s">
        <v>15</v>
      </c>
      <c r="F2055" s="7" t="s">
        <v>1489</v>
      </c>
    </row>
    <row r="2056" spans="1:6" ht="12.75">
      <c r="A2056" s="6">
        <v>45632.354114189817</v>
      </c>
      <c r="B2056" s="7" t="s">
        <v>289</v>
      </c>
      <c r="C2056" s="5" t="str">
        <f>LEFT(Form_Responses1[[#This Row],[問１　あなたは何年生ですか。]],3)</f>
        <v>小学校</v>
      </c>
      <c r="D2056" s="7" t="s">
        <v>22</v>
      </c>
      <c r="E2056" s="7" t="s">
        <v>7</v>
      </c>
      <c r="F2056" s="7" t="s">
        <v>1490</v>
      </c>
    </row>
    <row r="2057" spans="1:6" ht="12.75">
      <c r="A2057" s="6">
        <v>45632.354280960644</v>
      </c>
      <c r="B2057" s="7" t="s">
        <v>289</v>
      </c>
      <c r="C2057" s="5" t="str">
        <f>LEFT(Form_Responses1[[#This Row],[問１　あなたは何年生ですか。]],3)</f>
        <v>小学校</v>
      </c>
      <c r="D2057" s="7" t="s">
        <v>22</v>
      </c>
      <c r="E2057" s="7" t="s">
        <v>10</v>
      </c>
      <c r="F2057" s="7" t="s">
        <v>1491</v>
      </c>
    </row>
    <row r="2058" spans="1:6" ht="12.75">
      <c r="A2058" s="6">
        <v>45632.354314861106</v>
      </c>
      <c r="B2058" s="7" t="s">
        <v>289</v>
      </c>
      <c r="C2058" s="5" t="str">
        <f>LEFT(Form_Responses1[[#This Row],[問１　あなたは何年生ですか。]],3)</f>
        <v>小学校</v>
      </c>
      <c r="D2058" s="7" t="s">
        <v>14</v>
      </c>
      <c r="E2058" s="7" t="s">
        <v>10</v>
      </c>
      <c r="F2058" s="7" t="s">
        <v>1492</v>
      </c>
    </row>
    <row r="2059" spans="1:6" ht="12.75">
      <c r="A2059" s="6">
        <v>45632.354380254634</v>
      </c>
      <c r="B2059" s="7" t="s">
        <v>289</v>
      </c>
      <c r="C2059" s="5" t="str">
        <f>LEFT(Form_Responses1[[#This Row],[問１　あなたは何年生ですか。]],3)</f>
        <v>小学校</v>
      </c>
      <c r="D2059" s="7" t="s">
        <v>24</v>
      </c>
      <c r="E2059" s="7" t="s">
        <v>10</v>
      </c>
      <c r="F2059" s="7" t="s">
        <v>1493</v>
      </c>
    </row>
    <row r="2060" spans="1:6" ht="12.75">
      <c r="A2060" s="6">
        <v>45632.354381666664</v>
      </c>
      <c r="B2060" s="7" t="s">
        <v>289</v>
      </c>
      <c r="C2060" s="5" t="str">
        <f>LEFT(Form_Responses1[[#This Row],[問１　あなたは何年生ですか。]],3)</f>
        <v>小学校</v>
      </c>
      <c r="D2060" s="7" t="s">
        <v>24</v>
      </c>
      <c r="E2060" s="7" t="s">
        <v>10</v>
      </c>
      <c r="F2060" s="7" t="s">
        <v>1494</v>
      </c>
    </row>
    <row r="2061" spans="1:6" ht="12.75">
      <c r="A2061" s="6">
        <v>45632.354413229172</v>
      </c>
      <c r="B2061" s="7" t="s">
        <v>289</v>
      </c>
      <c r="C2061" s="5" t="str">
        <f>LEFT(Form_Responses1[[#This Row],[問１　あなたは何年生ですか。]],3)</f>
        <v>小学校</v>
      </c>
      <c r="D2061" s="7" t="s">
        <v>14</v>
      </c>
      <c r="E2061" s="7" t="s">
        <v>10</v>
      </c>
      <c r="F2061" s="7" t="s">
        <v>1495</v>
      </c>
    </row>
    <row r="2062" spans="1:6" ht="12.75">
      <c r="A2062" s="6">
        <v>45632.354467337966</v>
      </c>
      <c r="B2062" s="7" t="s">
        <v>289</v>
      </c>
      <c r="C2062" s="5" t="str">
        <f>LEFT(Form_Responses1[[#This Row],[問１　あなたは何年生ですか。]],3)</f>
        <v>小学校</v>
      </c>
      <c r="D2062" s="7" t="s">
        <v>24</v>
      </c>
      <c r="E2062" s="7" t="s">
        <v>10</v>
      </c>
      <c r="F2062" s="7" t="s">
        <v>1496</v>
      </c>
    </row>
    <row r="2063" spans="1:6" ht="12.75">
      <c r="A2063" s="6">
        <v>45632.354494189814</v>
      </c>
      <c r="B2063" s="7" t="s">
        <v>289</v>
      </c>
      <c r="C2063" s="5" t="str">
        <f>LEFT(Form_Responses1[[#This Row],[問１　あなたは何年生ですか。]],3)</f>
        <v>小学校</v>
      </c>
      <c r="D2063" s="7" t="s">
        <v>6</v>
      </c>
      <c r="E2063" s="7" t="s">
        <v>7</v>
      </c>
      <c r="F2063" s="7" t="s">
        <v>1497</v>
      </c>
    </row>
    <row r="2064" spans="1:6" ht="12.75">
      <c r="A2064" s="6">
        <v>45632.354702222219</v>
      </c>
      <c r="B2064" s="7" t="s">
        <v>289</v>
      </c>
      <c r="C2064" s="5" t="str">
        <f>LEFT(Form_Responses1[[#This Row],[問１　あなたは何年生ですか。]],3)</f>
        <v>小学校</v>
      </c>
      <c r="D2064" s="7" t="s">
        <v>24</v>
      </c>
      <c r="E2064" s="7" t="s">
        <v>10</v>
      </c>
      <c r="F2064" s="7" t="s">
        <v>1498</v>
      </c>
    </row>
    <row r="2065" spans="1:6" ht="12.75">
      <c r="A2065" s="6">
        <v>45632.354717141206</v>
      </c>
      <c r="B2065" s="7" t="s">
        <v>289</v>
      </c>
      <c r="C2065" s="5" t="str">
        <f>LEFT(Form_Responses1[[#This Row],[問１　あなたは何年生ですか。]],3)</f>
        <v>小学校</v>
      </c>
      <c r="D2065" s="7" t="s">
        <v>6</v>
      </c>
      <c r="E2065" s="7" t="s">
        <v>10</v>
      </c>
      <c r="F2065" s="7" t="s">
        <v>1499</v>
      </c>
    </row>
    <row r="2066" spans="1:6" ht="12.75">
      <c r="A2066" s="6">
        <v>45632.354839756939</v>
      </c>
      <c r="B2066" s="7" t="s">
        <v>289</v>
      </c>
      <c r="C2066" s="5" t="str">
        <f>LEFT(Form_Responses1[[#This Row],[問１　あなたは何年生ですか。]],3)</f>
        <v>小学校</v>
      </c>
      <c r="D2066" s="7" t="s">
        <v>22</v>
      </c>
      <c r="E2066" s="7" t="s">
        <v>10</v>
      </c>
      <c r="F2066" s="8"/>
    </row>
    <row r="2067" spans="1:6" ht="12.75">
      <c r="A2067" s="6">
        <v>45632.354847997689</v>
      </c>
      <c r="B2067" s="7" t="s">
        <v>289</v>
      </c>
      <c r="C2067" s="5" t="str">
        <f>LEFT(Form_Responses1[[#This Row],[問１　あなたは何年生ですか。]],3)</f>
        <v>小学校</v>
      </c>
      <c r="D2067" s="7" t="s">
        <v>14</v>
      </c>
      <c r="E2067" s="7" t="s">
        <v>10</v>
      </c>
      <c r="F2067" s="7" t="s">
        <v>1500</v>
      </c>
    </row>
    <row r="2068" spans="1:6" ht="12.75">
      <c r="A2068" s="6">
        <v>45632.355087129632</v>
      </c>
      <c r="B2068" s="7" t="s">
        <v>289</v>
      </c>
      <c r="C2068" s="5" t="str">
        <f>LEFT(Form_Responses1[[#This Row],[問１　あなたは何年生ですか。]],3)</f>
        <v>小学校</v>
      </c>
      <c r="D2068" s="7" t="s">
        <v>6</v>
      </c>
      <c r="E2068" s="7" t="s">
        <v>15</v>
      </c>
      <c r="F2068" s="7" t="s">
        <v>1501</v>
      </c>
    </row>
    <row r="2069" spans="1:6" ht="12.75">
      <c r="A2069" s="6">
        <v>45632.355088506942</v>
      </c>
      <c r="B2069" s="7" t="s">
        <v>289</v>
      </c>
      <c r="C2069" s="5" t="str">
        <f>LEFT(Form_Responses1[[#This Row],[問１　あなたは何年生ですか。]],3)</f>
        <v>小学校</v>
      </c>
      <c r="D2069" s="7" t="s">
        <v>6</v>
      </c>
      <c r="E2069" s="7" t="s">
        <v>10</v>
      </c>
      <c r="F2069" s="7" t="s">
        <v>1502</v>
      </c>
    </row>
    <row r="2070" spans="1:6" ht="12.75">
      <c r="A2070" s="6">
        <v>45632.355113576385</v>
      </c>
      <c r="B2070" s="7" t="s">
        <v>289</v>
      </c>
      <c r="C2070" s="5" t="str">
        <f>LEFT(Form_Responses1[[#This Row],[問１　あなたは何年生ですか。]],3)</f>
        <v>小学校</v>
      </c>
      <c r="D2070" s="7" t="s">
        <v>6</v>
      </c>
      <c r="E2070" s="7" t="s">
        <v>10</v>
      </c>
      <c r="F2070" s="7" t="s">
        <v>1503</v>
      </c>
    </row>
    <row r="2071" spans="1:6" ht="12.75">
      <c r="A2071" s="6">
        <v>45632.355184988424</v>
      </c>
      <c r="B2071" s="7" t="s">
        <v>289</v>
      </c>
      <c r="C2071" s="5" t="str">
        <f>LEFT(Form_Responses1[[#This Row],[問１　あなたは何年生ですか。]],3)</f>
        <v>小学校</v>
      </c>
      <c r="D2071" s="7" t="s">
        <v>24</v>
      </c>
      <c r="E2071" s="7" t="s">
        <v>10</v>
      </c>
      <c r="F2071" s="7" t="s">
        <v>1504</v>
      </c>
    </row>
    <row r="2072" spans="1:6" ht="12.75">
      <c r="A2072" s="6">
        <v>45632.355343692128</v>
      </c>
      <c r="B2072" s="7" t="s">
        <v>289</v>
      </c>
      <c r="C2072" s="5" t="str">
        <f>LEFT(Form_Responses1[[#This Row],[問１　あなたは何年生ですか。]],3)</f>
        <v>小学校</v>
      </c>
      <c r="D2072" s="7" t="s">
        <v>6</v>
      </c>
      <c r="E2072" s="7" t="s">
        <v>10</v>
      </c>
      <c r="F2072" s="7" t="s">
        <v>1505</v>
      </c>
    </row>
    <row r="2073" spans="1:6" ht="12.75">
      <c r="A2073" s="6">
        <v>45632.355430138894</v>
      </c>
      <c r="B2073" s="7" t="s">
        <v>289</v>
      </c>
      <c r="C2073" s="5" t="str">
        <f>LEFT(Form_Responses1[[#This Row],[問１　あなたは何年生ですか。]],3)</f>
        <v>小学校</v>
      </c>
      <c r="D2073" s="7" t="s">
        <v>6</v>
      </c>
      <c r="E2073" s="7" t="s">
        <v>10</v>
      </c>
      <c r="F2073" s="7" t="s">
        <v>1506</v>
      </c>
    </row>
    <row r="2074" spans="1:6" ht="12.75">
      <c r="A2074" s="6">
        <v>45632.355644861113</v>
      </c>
      <c r="B2074" s="7" t="s">
        <v>289</v>
      </c>
      <c r="C2074" s="5" t="str">
        <f>LEFT(Form_Responses1[[#This Row],[問１　あなたは何年生ですか。]],3)</f>
        <v>小学校</v>
      </c>
      <c r="D2074" s="7" t="s">
        <v>6</v>
      </c>
      <c r="E2074" s="7" t="s">
        <v>10</v>
      </c>
      <c r="F2074" s="7" t="s">
        <v>1507</v>
      </c>
    </row>
    <row r="2075" spans="1:6" ht="12.75">
      <c r="A2075" s="6">
        <v>45632.355735960649</v>
      </c>
      <c r="B2075" s="7" t="s">
        <v>289</v>
      </c>
      <c r="C2075" s="5" t="str">
        <f>LEFT(Form_Responses1[[#This Row],[問１　あなたは何年生ですか。]],3)</f>
        <v>小学校</v>
      </c>
      <c r="D2075" s="7" t="s">
        <v>19</v>
      </c>
      <c r="E2075" s="7" t="s">
        <v>15</v>
      </c>
      <c r="F2075" s="7" t="s">
        <v>1508</v>
      </c>
    </row>
    <row r="2076" spans="1:6" ht="12.75">
      <c r="A2076" s="6">
        <v>45632.355803888888</v>
      </c>
      <c r="B2076" s="7" t="s">
        <v>289</v>
      </c>
      <c r="C2076" s="5" t="str">
        <f>LEFT(Form_Responses1[[#This Row],[問１　あなたは何年生ですか。]],3)</f>
        <v>小学校</v>
      </c>
      <c r="D2076" s="7" t="s">
        <v>22</v>
      </c>
      <c r="E2076" s="7" t="s">
        <v>7</v>
      </c>
      <c r="F2076" s="7" t="s">
        <v>1509</v>
      </c>
    </row>
    <row r="2077" spans="1:6" ht="12.75">
      <c r="A2077" s="6">
        <v>45632.356556018523</v>
      </c>
      <c r="B2077" s="7" t="s">
        <v>289</v>
      </c>
      <c r="C2077" s="5" t="str">
        <f>LEFT(Form_Responses1[[#This Row],[問１　あなたは何年生ですか。]],3)</f>
        <v>小学校</v>
      </c>
      <c r="D2077" s="7" t="s">
        <v>6</v>
      </c>
      <c r="E2077" s="7" t="s">
        <v>15</v>
      </c>
      <c r="F2077" s="7" t="s">
        <v>1510</v>
      </c>
    </row>
    <row r="2078" spans="1:6" ht="12.75">
      <c r="A2078" s="6">
        <v>45632.357044907403</v>
      </c>
      <c r="B2078" s="7" t="s">
        <v>289</v>
      </c>
      <c r="C2078" s="5" t="str">
        <f>LEFT(Form_Responses1[[#This Row],[問１　あなたは何年生ですか。]],3)</f>
        <v>小学校</v>
      </c>
      <c r="D2078" s="7" t="s">
        <v>6</v>
      </c>
      <c r="E2078" s="7" t="s">
        <v>10</v>
      </c>
      <c r="F2078" s="7" t="s">
        <v>1511</v>
      </c>
    </row>
    <row r="2079" spans="1:6" ht="12.75">
      <c r="A2079" s="6">
        <v>45632.375612511576</v>
      </c>
      <c r="B2079" s="7" t="s">
        <v>8</v>
      </c>
      <c r="C2079" s="5" t="str">
        <f>LEFT(Form_Responses1[[#This Row],[問１　あなたは何年生ですか。]],3)</f>
        <v>小学校</v>
      </c>
      <c r="D2079" s="7" t="s">
        <v>12</v>
      </c>
      <c r="E2079" s="7" t="s">
        <v>10</v>
      </c>
      <c r="F2079" s="7" t="s">
        <v>1512</v>
      </c>
    </row>
    <row r="2080" spans="1:6" ht="12.75">
      <c r="A2080" s="6">
        <v>45632.378335543981</v>
      </c>
      <c r="B2080" s="7" t="s">
        <v>289</v>
      </c>
      <c r="C2080" s="5" t="str">
        <f>LEFT(Form_Responses1[[#This Row],[問１　あなたは何年生ですか。]],3)</f>
        <v>小学校</v>
      </c>
      <c r="D2080" s="7" t="s">
        <v>6</v>
      </c>
      <c r="E2080" s="7" t="s">
        <v>15</v>
      </c>
      <c r="F2080" s="7" t="s">
        <v>1513</v>
      </c>
    </row>
    <row r="2081" spans="1:6" ht="12.75">
      <c r="A2081" s="6">
        <v>45632.380538784724</v>
      </c>
      <c r="B2081" s="7" t="s">
        <v>23</v>
      </c>
      <c r="C2081" s="5" t="str">
        <f>LEFT(Form_Responses1[[#This Row],[問１　あなたは何年生ですか。]],3)</f>
        <v>小学校</v>
      </c>
      <c r="D2081" s="7" t="s">
        <v>1514</v>
      </c>
      <c r="E2081" s="7" t="s">
        <v>10</v>
      </c>
      <c r="F2081" s="7" t="s">
        <v>1515</v>
      </c>
    </row>
    <row r="2082" spans="1:6" ht="12.75">
      <c r="A2082" s="6">
        <v>45632.389027048615</v>
      </c>
      <c r="B2082" s="7" t="s">
        <v>8</v>
      </c>
      <c r="C2082" s="5" t="str">
        <f>LEFT(Form_Responses1[[#This Row],[問１　あなたは何年生ですか。]],3)</f>
        <v>小学校</v>
      </c>
      <c r="D2082" s="7" t="s">
        <v>6</v>
      </c>
      <c r="E2082" s="7" t="s">
        <v>7</v>
      </c>
      <c r="F2082" s="8"/>
    </row>
    <row r="2083" spans="1:6" ht="12.75">
      <c r="A2083" s="6">
        <v>45632.389024722223</v>
      </c>
      <c r="B2083" s="7" t="s">
        <v>8</v>
      </c>
      <c r="C2083" s="5" t="str">
        <f>LEFT(Form_Responses1[[#This Row],[問１　あなたは何年生ですか。]],3)</f>
        <v>小学校</v>
      </c>
      <c r="D2083" s="7" t="s">
        <v>14</v>
      </c>
      <c r="E2083" s="7" t="s">
        <v>10</v>
      </c>
      <c r="F2083" s="8"/>
    </row>
    <row r="2084" spans="1:6" ht="12.75">
      <c r="A2084" s="6">
        <v>45632.389028078702</v>
      </c>
      <c r="B2084" s="7" t="s">
        <v>8</v>
      </c>
      <c r="C2084" s="5" t="str">
        <f>LEFT(Form_Responses1[[#This Row],[問１　あなたは何年生ですか。]],3)</f>
        <v>小学校</v>
      </c>
      <c r="D2084" s="7" t="s">
        <v>22</v>
      </c>
      <c r="E2084" s="7" t="s">
        <v>7</v>
      </c>
      <c r="F2084" s="8"/>
    </row>
    <row r="2085" spans="1:6" ht="12.75">
      <c r="A2085" s="6">
        <v>45632.38902884259</v>
      </c>
      <c r="B2085" s="7" t="s">
        <v>8</v>
      </c>
      <c r="C2085" s="5" t="str">
        <f>LEFT(Form_Responses1[[#This Row],[問１　あなたは何年生ですか。]],3)</f>
        <v>小学校</v>
      </c>
      <c r="D2085" s="7" t="s">
        <v>22</v>
      </c>
      <c r="E2085" s="7" t="s">
        <v>10</v>
      </c>
      <c r="F2085" s="8"/>
    </row>
    <row r="2086" spans="1:6" ht="12.75">
      <c r="A2086" s="6">
        <v>45632.389033229163</v>
      </c>
      <c r="B2086" s="7" t="s">
        <v>8</v>
      </c>
      <c r="C2086" s="5" t="str">
        <f>LEFT(Form_Responses1[[#This Row],[問１　あなたは何年生ですか。]],3)</f>
        <v>小学校</v>
      </c>
      <c r="D2086" s="7" t="s">
        <v>24</v>
      </c>
      <c r="E2086" s="7" t="s">
        <v>7</v>
      </c>
      <c r="F2086" s="8"/>
    </row>
    <row r="2087" spans="1:6" ht="12.75">
      <c r="A2087" s="6">
        <v>45632.389034675929</v>
      </c>
      <c r="B2087" s="7" t="s">
        <v>8</v>
      </c>
      <c r="C2087" s="5" t="str">
        <f>LEFT(Form_Responses1[[#This Row],[問１　あなたは何年生ですか。]],3)</f>
        <v>小学校</v>
      </c>
      <c r="D2087" s="7" t="s">
        <v>24</v>
      </c>
      <c r="E2087" s="7" t="s">
        <v>10</v>
      </c>
      <c r="F2087" s="8"/>
    </row>
    <row r="2088" spans="1:6" ht="12.75">
      <c r="A2088" s="6">
        <v>45632.389039189817</v>
      </c>
      <c r="B2088" s="7" t="s">
        <v>8</v>
      </c>
      <c r="C2088" s="5" t="str">
        <f>LEFT(Form_Responses1[[#This Row],[問１　あなたは何年生ですか。]],3)</f>
        <v>小学校</v>
      </c>
      <c r="D2088" s="7" t="s">
        <v>6</v>
      </c>
      <c r="E2088" s="7" t="s">
        <v>10</v>
      </c>
      <c r="F2088" s="8"/>
    </row>
    <row r="2089" spans="1:6" ht="12.75">
      <c r="A2089" s="6">
        <v>45632.389042280091</v>
      </c>
      <c r="B2089" s="7" t="s">
        <v>8</v>
      </c>
      <c r="C2089" s="5" t="str">
        <f>LEFT(Form_Responses1[[#This Row],[問１　あなたは何年生ですか。]],3)</f>
        <v>小学校</v>
      </c>
      <c r="D2089" s="7" t="s">
        <v>12</v>
      </c>
      <c r="E2089" s="7" t="s">
        <v>10</v>
      </c>
      <c r="F2089" s="8"/>
    </row>
    <row r="2090" spans="1:6" ht="12.75">
      <c r="A2090" s="6">
        <v>45632.389073634258</v>
      </c>
      <c r="B2090" s="7" t="s">
        <v>8</v>
      </c>
      <c r="C2090" s="5" t="str">
        <f>LEFT(Form_Responses1[[#This Row],[問１　あなたは何年生ですか。]],3)</f>
        <v>小学校</v>
      </c>
      <c r="D2090" s="7" t="s">
        <v>22</v>
      </c>
      <c r="E2090" s="7" t="s">
        <v>10</v>
      </c>
      <c r="F2090" s="8"/>
    </row>
    <row r="2091" spans="1:6" ht="12.75">
      <c r="A2091" s="6">
        <v>45632.389130023148</v>
      </c>
      <c r="B2091" s="7" t="s">
        <v>8</v>
      </c>
      <c r="C2091" s="5" t="str">
        <f>LEFT(Form_Responses1[[#This Row],[問１　あなたは何年生ですか。]],3)</f>
        <v>小学校</v>
      </c>
      <c r="D2091" s="7" t="s">
        <v>6</v>
      </c>
      <c r="E2091" s="7" t="s">
        <v>7</v>
      </c>
      <c r="F2091" s="8"/>
    </row>
    <row r="2092" spans="1:6" ht="12.75">
      <c r="A2092" s="6">
        <v>45632.389135486112</v>
      </c>
      <c r="B2092" s="7" t="s">
        <v>8</v>
      </c>
      <c r="C2092" s="5" t="str">
        <f>LEFT(Form_Responses1[[#This Row],[問１　あなたは何年生ですか。]],3)</f>
        <v>小学校</v>
      </c>
      <c r="D2092" s="7" t="s">
        <v>9</v>
      </c>
      <c r="E2092" s="7" t="s">
        <v>10</v>
      </c>
      <c r="F2092" s="8"/>
    </row>
    <row r="2093" spans="1:6" ht="12.75">
      <c r="A2093" s="6">
        <v>45632.389160324077</v>
      </c>
      <c r="B2093" s="7" t="s">
        <v>8</v>
      </c>
      <c r="C2093" s="5" t="str">
        <f>LEFT(Form_Responses1[[#This Row],[問１　あなたは何年生ですか。]],3)</f>
        <v>小学校</v>
      </c>
      <c r="D2093" s="7" t="s">
        <v>6</v>
      </c>
      <c r="E2093" s="7" t="s">
        <v>10</v>
      </c>
      <c r="F2093" s="7" t="s">
        <v>1516</v>
      </c>
    </row>
    <row r="2094" spans="1:6" ht="12.75">
      <c r="A2094" s="6">
        <v>45632.389166574074</v>
      </c>
      <c r="B2094" s="7" t="s">
        <v>8</v>
      </c>
      <c r="C2094" s="5" t="str">
        <f>LEFT(Form_Responses1[[#This Row],[問１　あなたは何年生ですか。]],3)</f>
        <v>小学校</v>
      </c>
      <c r="D2094" s="7" t="s">
        <v>17</v>
      </c>
      <c r="E2094" s="7" t="s">
        <v>10</v>
      </c>
      <c r="F2094" s="8"/>
    </row>
    <row r="2095" spans="1:6" ht="12.75">
      <c r="A2095" s="6">
        <v>45632.389181527775</v>
      </c>
      <c r="B2095" s="7" t="s">
        <v>8</v>
      </c>
      <c r="C2095" s="5" t="str">
        <f>LEFT(Form_Responses1[[#This Row],[問１　あなたは何年生ですか。]],3)</f>
        <v>小学校</v>
      </c>
      <c r="D2095" s="7" t="s">
        <v>19</v>
      </c>
      <c r="E2095" s="7" t="s">
        <v>10</v>
      </c>
      <c r="F2095" s="8"/>
    </row>
    <row r="2096" spans="1:6" ht="12.75">
      <c r="A2096" s="6">
        <v>45632.389194525458</v>
      </c>
      <c r="B2096" s="7" t="s">
        <v>8</v>
      </c>
      <c r="C2096" s="5" t="str">
        <f>LEFT(Form_Responses1[[#This Row],[問１　あなたは何年生ですか。]],3)</f>
        <v>小学校</v>
      </c>
      <c r="D2096" s="7" t="s">
        <v>12</v>
      </c>
      <c r="E2096" s="7" t="s">
        <v>10</v>
      </c>
      <c r="F2096" s="8"/>
    </row>
    <row r="2097" spans="1:6" ht="12.75">
      <c r="A2097" s="6">
        <v>45632.389325277778</v>
      </c>
      <c r="B2097" s="7" t="s">
        <v>8</v>
      </c>
      <c r="C2097" s="5" t="str">
        <f>LEFT(Form_Responses1[[#This Row],[問１　あなたは何年生ですか。]],3)</f>
        <v>小学校</v>
      </c>
      <c r="D2097" s="7" t="s">
        <v>6</v>
      </c>
      <c r="E2097" s="7" t="s">
        <v>7</v>
      </c>
      <c r="F2097" s="8"/>
    </row>
    <row r="2098" spans="1:6" ht="12.75">
      <c r="A2098" s="6">
        <v>45632.389405173613</v>
      </c>
      <c r="B2098" s="7" t="s">
        <v>8</v>
      </c>
      <c r="C2098" s="5" t="str">
        <f>LEFT(Form_Responses1[[#This Row],[問１　あなたは何年生ですか。]],3)</f>
        <v>小学校</v>
      </c>
      <c r="D2098" s="7" t="s">
        <v>12</v>
      </c>
      <c r="E2098" s="7" t="s">
        <v>10</v>
      </c>
      <c r="F2098" s="8"/>
    </row>
    <row r="2099" spans="1:6" ht="12.75">
      <c r="A2099" s="6">
        <v>45632.389454942131</v>
      </c>
      <c r="B2099" s="7" t="s">
        <v>8</v>
      </c>
      <c r="C2099" s="5" t="str">
        <f>LEFT(Form_Responses1[[#This Row],[問１　あなたは何年生ですか。]],3)</f>
        <v>小学校</v>
      </c>
      <c r="D2099" s="7" t="s">
        <v>12</v>
      </c>
      <c r="E2099" s="7" t="s">
        <v>7</v>
      </c>
      <c r="F2099" s="8"/>
    </row>
    <row r="2100" spans="1:6" ht="12.75">
      <c r="A2100" s="6">
        <v>45632.390470763887</v>
      </c>
      <c r="B2100" s="7" t="s">
        <v>8</v>
      </c>
      <c r="C2100" s="5" t="str">
        <f>LEFT(Form_Responses1[[#This Row],[問１　あなたは何年生ですか。]],3)</f>
        <v>小学校</v>
      </c>
      <c r="D2100" s="7" t="s">
        <v>9</v>
      </c>
      <c r="E2100" s="7" t="s">
        <v>7</v>
      </c>
      <c r="F2100" s="8"/>
    </row>
    <row r="2101" spans="1:6" ht="12.75">
      <c r="A2101" s="6">
        <v>45632.390515439816</v>
      </c>
      <c r="B2101" s="7" t="s">
        <v>8</v>
      </c>
      <c r="C2101" s="5" t="str">
        <f>LEFT(Form_Responses1[[#This Row],[問１　あなたは何年生ですか。]],3)</f>
        <v>小学校</v>
      </c>
      <c r="D2101" s="7" t="s">
        <v>12</v>
      </c>
      <c r="E2101" s="7" t="s">
        <v>10</v>
      </c>
      <c r="F2101" s="8"/>
    </row>
    <row r="2102" spans="1:6" ht="12.75">
      <c r="A2102" s="6">
        <v>45632.390558796294</v>
      </c>
      <c r="B2102" s="7" t="s">
        <v>8</v>
      </c>
      <c r="C2102" s="5" t="str">
        <f>LEFT(Form_Responses1[[#This Row],[問１　あなたは何年生ですか。]],3)</f>
        <v>小学校</v>
      </c>
      <c r="D2102" s="7" t="s">
        <v>6</v>
      </c>
      <c r="E2102" s="7" t="s">
        <v>7</v>
      </c>
      <c r="F2102" s="8"/>
    </row>
    <row r="2103" spans="1:6" ht="12.75">
      <c r="A2103" s="6">
        <v>45632.391138391205</v>
      </c>
      <c r="B2103" s="7" t="s">
        <v>8</v>
      </c>
      <c r="C2103" s="5" t="str">
        <f>LEFT(Form_Responses1[[#This Row],[問１　あなたは何年生ですか。]],3)</f>
        <v>小学校</v>
      </c>
      <c r="D2103" s="7" t="s">
        <v>24</v>
      </c>
      <c r="E2103" s="7" t="s">
        <v>10</v>
      </c>
      <c r="F2103" s="7" t="s">
        <v>1517</v>
      </c>
    </row>
    <row r="2104" spans="1:6" ht="12.75">
      <c r="A2104" s="6">
        <v>45632.403383564815</v>
      </c>
      <c r="B2104" s="7" t="s">
        <v>16</v>
      </c>
      <c r="C2104" s="5" t="str">
        <f>LEFT(Form_Responses1[[#This Row],[問１　あなたは何年生ですか。]],3)</f>
        <v>中学校</v>
      </c>
      <c r="D2104" s="7" t="s">
        <v>6</v>
      </c>
      <c r="E2104" s="7" t="s">
        <v>10</v>
      </c>
      <c r="F2104" s="7" t="s">
        <v>862</v>
      </c>
    </row>
    <row r="2105" spans="1:6" ht="12.75">
      <c r="A2105" s="6">
        <v>45632.420545972222</v>
      </c>
      <c r="B2105" s="7" t="s">
        <v>11</v>
      </c>
      <c r="C2105" s="5" t="str">
        <f>LEFT(Form_Responses1[[#This Row],[問１　あなたは何年生ですか。]],3)</f>
        <v>小学校</v>
      </c>
      <c r="D2105" s="7" t="s">
        <v>6</v>
      </c>
      <c r="E2105" s="7" t="s">
        <v>7</v>
      </c>
      <c r="F2105" s="8"/>
    </row>
    <row r="2106" spans="1:6" ht="12.75">
      <c r="A2106" s="6">
        <v>45632.421671851851</v>
      </c>
      <c r="B2106" s="7" t="s">
        <v>11</v>
      </c>
      <c r="C2106" s="5" t="str">
        <f>LEFT(Form_Responses1[[#This Row],[問１　あなたは何年生ですか。]],3)</f>
        <v>小学校</v>
      </c>
      <c r="D2106" s="7" t="s">
        <v>6</v>
      </c>
      <c r="E2106" s="7" t="s">
        <v>7</v>
      </c>
      <c r="F2106" s="7" t="s">
        <v>1518</v>
      </c>
    </row>
    <row r="2107" spans="1:6" ht="12.75">
      <c r="A2107" s="6">
        <v>45632.421686087968</v>
      </c>
      <c r="B2107" s="7" t="s">
        <v>11</v>
      </c>
      <c r="C2107" s="5" t="str">
        <f>LEFT(Form_Responses1[[#This Row],[問１　あなたは何年生ですか。]],3)</f>
        <v>小学校</v>
      </c>
      <c r="D2107" s="7" t="s">
        <v>6</v>
      </c>
      <c r="E2107" s="7" t="s">
        <v>10</v>
      </c>
      <c r="F2107" s="7" t="s">
        <v>1519</v>
      </c>
    </row>
    <row r="2108" spans="1:6" ht="12.75">
      <c r="A2108" s="6">
        <v>45632.421923865739</v>
      </c>
      <c r="B2108" s="7" t="s">
        <v>11</v>
      </c>
      <c r="C2108" s="5" t="str">
        <f>LEFT(Form_Responses1[[#This Row],[問１　あなたは何年生ですか。]],3)</f>
        <v>小学校</v>
      </c>
      <c r="D2108" s="7" t="s">
        <v>24</v>
      </c>
      <c r="E2108" s="7" t="s">
        <v>10</v>
      </c>
      <c r="F2108" s="7" t="s">
        <v>1520</v>
      </c>
    </row>
    <row r="2109" spans="1:6" ht="12.75">
      <c r="A2109" s="6">
        <v>45632.422249988427</v>
      </c>
      <c r="B2109" s="7" t="s">
        <v>11</v>
      </c>
      <c r="C2109" s="5" t="str">
        <f>LEFT(Form_Responses1[[#This Row],[問１　あなたは何年生ですか。]],3)</f>
        <v>小学校</v>
      </c>
      <c r="D2109" s="7" t="s">
        <v>6</v>
      </c>
      <c r="E2109" s="7" t="s">
        <v>10</v>
      </c>
      <c r="F2109" s="7" t="s">
        <v>1521</v>
      </c>
    </row>
    <row r="2110" spans="1:6" ht="12.75">
      <c r="A2110" s="6">
        <v>45632.422370057873</v>
      </c>
      <c r="B2110" s="7" t="s">
        <v>11</v>
      </c>
      <c r="C2110" s="5" t="str">
        <f>LEFT(Form_Responses1[[#This Row],[問１　あなたは何年生ですか。]],3)</f>
        <v>小学校</v>
      </c>
      <c r="D2110" s="7" t="s">
        <v>12</v>
      </c>
      <c r="E2110" s="7" t="s">
        <v>10</v>
      </c>
      <c r="F2110" s="7" t="s">
        <v>1522</v>
      </c>
    </row>
    <row r="2111" spans="1:6" ht="12.75">
      <c r="A2111" s="6">
        <v>45632.42239501157</v>
      </c>
      <c r="B2111" s="7" t="s">
        <v>11</v>
      </c>
      <c r="C2111" s="5" t="str">
        <f>LEFT(Form_Responses1[[#This Row],[問１　あなたは何年生ですか。]],3)</f>
        <v>小学校</v>
      </c>
      <c r="D2111" s="7" t="s">
        <v>6</v>
      </c>
      <c r="E2111" s="7" t="s">
        <v>10</v>
      </c>
      <c r="F2111" s="7" t="s">
        <v>1523</v>
      </c>
    </row>
    <row r="2112" spans="1:6" ht="12.75">
      <c r="A2112" s="6">
        <v>45632.422426516205</v>
      </c>
      <c r="B2112" s="7" t="s">
        <v>11</v>
      </c>
      <c r="C2112" s="5" t="str">
        <f>LEFT(Form_Responses1[[#This Row],[問１　あなたは何年生ですか。]],3)</f>
        <v>小学校</v>
      </c>
      <c r="D2112" s="7" t="s">
        <v>6</v>
      </c>
      <c r="E2112" s="7" t="s">
        <v>10</v>
      </c>
      <c r="F2112" s="7" t="s">
        <v>1524</v>
      </c>
    </row>
    <row r="2113" spans="1:6" ht="12.75">
      <c r="A2113" s="6">
        <v>45632.422453425927</v>
      </c>
      <c r="B2113" s="7" t="s">
        <v>11</v>
      </c>
      <c r="C2113" s="5" t="str">
        <f>LEFT(Form_Responses1[[#This Row],[問１　あなたは何年生ですか。]],3)</f>
        <v>小学校</v>
      </c>
      <c r="D2113" s="7" t="s">
        <v>24</v>
      </c>
      <c r="E2113" s="7" t="s">
        <v>10</v>
      </c>
      <c r="F2113" s="7" t="s">
        <v>1525</v>
      </c>
    </row>
    <row r="2114" spans="1:6" ht="12.75">
      <c r="A2114" s="6">
        <v>45632.422585532404</v>
      </c>
      <c r="B2114" s="7" t="s">
        <v>11</v>
      </c>
      <c r="C2114" s="5" t="str">
        <f>LEFT(Form_Responses1[[#This Row],[問１　あなたは何年生ですか。]],3)</f>
        <v>小学校</v>
      </c>
      <c r="D2114" s="7" t="s">
        <v>6</v>
      </c>
      <c r="E2114" s="7" t="s">
        <v>10</v>
      </c>
      <c r="F2114" s="7" t="s">
        <v>1526</v>
      </c>
    </row>
    <row r="2115" spans="1:6" ht="12.75">
      <c r="A2115" s="6">
        <v>45632.422696041671</v>
      </c>
      <c r="B2115" s="7" t="s">
        <v>11</v>
      </c>
      <c r="C2115" s="5" t="str">
        <f>LEFT(Form_Responses1[[#This Row],[問１　あなたは何年生ですか。]],3)</f>
        <v>小学校</v>
      </c>
      <c r="D2115" s="7" t="s">
        <v>12</v>
      </c>
      <c r="E2115" s="7" t="s">
        <v>10</v>
      </c>
      <c r="F2115" s="7" t="s">
        <v>1527</v>
      </c>
    </row>
    <row r="2116" spans="1:6" ht="12.75">
      <c r="A2116" s="6">
        <v>45632.422957835646</v>
      </c>
      <c r="B2116" s="7" t="s">
        <v>11</v>
      </c>
      <c r="C2116" s="5" t="str">
        <f>LEFT(Form_Responses1[[#This Row],[問１　あなたは何年生ですか。]],3)</f>
        <v>小学校</v>
      </c>
      <c r="D2116" s="7" t="s">
        <v>24</v>
      </c>
      <c r="E2116" s="7" t="s">
        <v>10</v>
      </c>
      <c r="F2116" s="7" t="s">
        <v>1528</v>
      </c>
    </row>
    <row r="2117" spans="1:6" ht="12.75">
      <c r="A2117" s="6">
        <v>45632.42322434028</v>
      </c>
      <c r="B2117" s="7" t="s">
        <v>11</v>
      </c>
      <c r="C2117" s="5" t="str">
        <f>LEFT(Form_Responses1[[#This Row],[問１　あなたは何年生ですか。]],3)</f>
        <v>小学校</v>
      </c>
      <c r="D2117" s="7" t="s">
        <v>24</v>
      </c>
      <c r="E2117" s="7" t="s">
        <v>10</v>
      </c>
      <c r="F2117" s="7" t="s">
        <v>1529</v>
      </c>
    </row>
    <row r="2118" spans="1:6" ht="12.75">
      <c r="A2118" s="6">
        <v>45632.423333043982</v>
      </c>
      <c r="B2118" s="7" t="s">
        <v>11</v>
      </c>
      <c r="C2118" s="5" t="str">
        <f>LEFT(Form_Responses1[[#This Row],[問１　あなたは何年生ですか。]],3)</f>
        <v>小学校</v>
      </c>
      <c r="D2118" s="7" t="s">
        <v>12</v>
      </c>
      <c r="E2118" s="7" t="s">
        <v>10</v>
      </c>
      <c r="F2118" s="7" t="s">
        <v>1530</v>
      </c>
    </row>
    <row r="2119" spans="1:6" ht="12.75">
      <c r="A2119" s="6">
        <v>45632.42334356482</v>
      </c>
      <c r="B2119" s="7" t="s">
        <v>11</v>
      </c>
      <c r="C2119" s="5" t="str">
        <f>LEFT(Form_Responses1[[#This Row],[問１　あなたは何年生ですか。]],3)</f>
        <v>小学校</v>
      </c>
      <c r="D2119" s="7" t="s">
        <v>19</v>
      </c>
      <c r="E2119" s="7" t="s">
        <v>7</v>
      </c>
      <c r="F2119" s="7" t="s">
        <v>1531</v>
      </c>
    </row>
    <row r="2120" spans="1:6" ht="12.75">
      <c r="A2120" s="6">
        <v>45632.423494849536</v>
      </c>
      <c r="B2120" s="7" t="s">
        <v>11</v>
      </c>
      <c r="C2120" s="5" t="str">
        <f>LEFT(Form_Responses1[[#This Row],[問１　あなたは何年生ですか。]],3)</f>
        <v>小学校</v>
      </c>
      <c r="D2120" s="7" t="s">
        <v>6</v>
      </c>
      <c r="E2120" s="7" t="s">
        <v>10</v>
      </c>
      <c r="F2120" s="7" t="s">
        <v>1532</v>
      </c>
    </row>
    <row r="2121" spans="1:6" ht="12.75">
      <c r="A2121" s="6">
        <v>45632.423523888894</v>
      </c>
      <c r="B2121" s="7" t="s">
        <v>11</v>
      </c>
      <c r="C2121" s="5" t="str">
        <f>LEFT(Form_Responses1[[#This Row],[問１　あなたは何年生ですか。]],3)</f>
        <v>小学校</v>
      </c>
      <c r="D2121" s="7" t="s">
        <v>12</v>
      </c>
      <c r="E2121" s="7" t="s">
        <v>10</v>
      </c>
      <c r="F2121" s="7" t="s">
        <v>1533</v>
      </c>
    </row>
    <row r="2122" spans="1:6" ht="12.75">
      <c r="A2122" s="6">
        <v>45632.423672673613</v>
      </c>
      <c r="B2122" s="7" t="s">
        <v>11</v>
      </c>
      <c r="C2122" s="5" t="str">
        <f>LEFT(Form_Responses1[[#This Row],[問１　あなたは何年生ですか。]],3)</f>
        <v>小学校</v>
      </c>
      <c r="D2122" s="7" t="s">
        <v>24</v>
      </c>
      <c r="E2122" s="7" t="s">
        <v>7</v>
      </c>
      <c r="F2122" s="7" t="s">
        <v>1534</v>
      </c>
    </row>
    <row r="2123" spans="1:6" ht="12.75">
      <c r="A2123" s="6">
        <v>45632.42369487269</v>
      </c>
      <c r="B2123" s="7" t="s">
        <v>11</v>
      </c>
      <c r="C2123" s="5" t="str">
        <f>LEFT(Form_Responses1[[#This Row],[問１　あなたは何年生ですか。]],3)</f>
        <v>小学校</v>
      </c>
      <c r="D2123" s="7" t="s">
        <v>6</v>
      </c>
      <c r="E2123" s="7" t="s">
        <v>7</v>
      </c>
      <c r="F2123" s="7" t="s">
        <v>1535</v>
      </c>
    </row>
    <row r="2124" spans="1:6" ht="12.75">
      <c r="A2124" s="6">
        <v>45632.423818055555</v>
      </c>
      <c r="B2124" s="7" t="s">
        <v>11</v>
      </c>
      <c r="C2124" s="5" t="str">
        <f>LEFT(Form_Responses1[[#This Row],[問１　あなたは何年生ですか。]],3)</f>
        <v>小学校</v>
      </c>
      <c r="D2124" s="7" t="s">
        <v>6</v>
      </c>
      <c r="E2124" s="7" t="s">
        <v>10</v>
      </c>
      <c r="F2124" s="7" t="s">
        <v>1536</v>
      </c>
    </row>
    <row r="2125" spans="1:6" ht="12.75">
      <c r="A2125" s="6">
        <v>45632.423838287039</v>
      </c>
      <c r="B2125" s="7" t="s">
        <v>11</v>
      </c>
      <c r="C2125" s="5" t="str">
        <f>LEFT(Form_Responses1[[#This Row],[問１　あなたは何年生ですか。]],3)</f>
        <v>小学校</v>
      </c>
      <c r="D2125" s="7" t="s">
        <v>24</v>
      </c>
      <c r="E2125" s="7" t="s">
        <v>10</v>
      </c>
      <c r="F2125" s="7" t="s">
        <v>1537</v>
      </c>
    </row>
    <row r="2126" spans="1:6" ht="12.75">
      <c r="A2126" s="6">
        <v>45632.424023391199</v>
      </c>
      <c r="B2126" s="7" t="s">
        <v>11</v>
      </c>
      <c r="C2126" s="5" t="str">
        <f>LEFT(Form_Responses1[[#This Row],[問１　あなたは何年生ですか。]],3)</f>
        <v>小学校</v>
      </c>
      <c r="D2126" s="7" t="s">
        <v>9</v>
      </c>
      <c r="E2126" s="7" t="s">
        <v>10</v>
      </c>
      <c r="F2126" s="7" t="s">
        <v>1538</v>
      </c>
    </row>
    <row r="2127" spans="1:6" ht="12.75">
      <c r="A2127" s="6">
        <v>45632.424130891202</v>
      </c>
      <c r="B2127" s="7" t="s">
        <v>11</v>
      </c>
      <c r="C2127" s="5" t="str">
        <f>LEFT(Form_Responses1[[#This Row],[問１　あなたは何年生ですか。]],3)</f>
        <v>小学校</v>
      </c>
      <c r="D2127" s="7" t="s">
        <v>19</v>
      </c>
      <c r="E2127" s="7" t="s">
        <v>10</v>
      </c>
      <c r="F2127" s="7" t="s">
        <v>1539</v>
      </c>
    </row>
    <row r="2128" spans="1:6" ht="12.75">
      <c r="A2128" s="6">
        <v>45632.424258819447</v>
      </c>
      <c r="B2128" s="7" t="s">
        <v>11</v>
      </c>
      <c r="C2128" s="5" t="str">
        <f>LEFT(Form_Responses1[[#This Row],[問１　あなたは何年生ですか。]],3)</f>
        <v>小学校</v>
      </c>
      <c r="D2128" s="7" t="s">
        <v>1540</v>
      </c>
      <c r="E2128" s="7" t="s">
        <v>10</v>
      </c>
      <c r="F2128" s="7" t="s">
        <v>1541</v>
      </c>
    </row>
    <row r="2129" spans="1:6" ht="12.75">
      <c r="A2129" s="6">
        <v>45632.424266307869</v>
      </c>
      <c r="B2129" s="7" t="s">
        <v>11</v>
      </c>
      <c r="C2129" s="5" t="str">
        <f>LEFT(Form_Responses1[[#This Row],[問１　あなたは何年生ですか。]],3)</f>
        <v>小学校</v>
      </c>
      <c r="D2129" s="7" t="s">
        <v>24</v>
      </c>
      <c r="E2129" s="7" t="s">
        <v>10</v>
      </c>
      <c r="F2129" s="7" t="s">
        <v>1542</v>
      </c>
    </row>
    <row r="2130" spans="1:6" ht="12.75">
      <c r="A2130" s="6">
        <v>45632.424407094906</v>
      </c>
      <c r="B2130" s="7" t="s">
        <v>11</v>
      </c>
      <c r="C2130" s="5" t="str">
        <f>LEFT(Form_Responses1[[#This Row],[問１　あなたは何年生ですか。]],3)</f>
        <v>小学校</v>
      </c>
      <c r="D2130" s="7" t="s">
        <v>22</v>
      </c>
      <c r="E2130" s="7" t="s">
        <v>10</v>
      </c>
      <c r="F2130" s="7" t="s">
        <v>1543</v>
      </c>
    </row>
    <row r="2131" spans="1:6" ht="12.75">
      <c r="A2131" s="6">
        <v>45632.424507442134</v>
      </c>
      <c r="B2131" s="7" t="s">
        <v>11</v>
      </c>
      <c r="C2131" s="5" t="str">
        <f>LEFT(Form_Responses1[[#This Row],[問１　あなたは何年生ですか。]],3)</f>
        <v>小学校</v>
      </c>
      <c r="D2131" s="7" t="s">
        <v>19</v>
      </c>
      <c r="E2131" s="7" t="s">
        <v>10</v>
      </c>
      <c r="F2131" s="7" t="s">
        <v>1544</v>
      </c>
    </row>
    <row r="2132" spans="1:6" ht="12.75">
      <c r="A2132" s="6">
        <v>45632.424520659726</v>
      </c>
      <c r="B2132" s="7" t="s">
        <v>11</v>
      </c>
      <c r="C2132" s="5" t="str">
        <f>LEFT(Form_Responses1[[#This Row],[問１　あなたは何年生ですか。]],3)</f>
        <v>小学校</v>
      </c>
      <c r="D2132" s="7" t="s">
        <v>24</v>
      </c>
      <c r="E2132" s="7" t="s">
        <v>10</v>
      </c>
      <c r="F2132" s="7" t="s">
        <v>1545</v>
      </c>
    </row>
    <row r="2133" spans="1:6" ht="12.75">
      <c r="A2133" s="6">
        <v>45632.429739050931</v>
      </c>
      <c r="B2133" s="7" t="s">
        <v>13</v>
      </c>
      <c r="C2133" s="5" t="str">
        <f>LEFT(Form_Responses1[[#This Row],[問１　あなたは何年生ですか。]],3)</f>
        <v>小学校</v>
      </c>
      <c r="D2133" s="7" t="s">
        <v>22</v>
      </c>
      <c r="E2133" s="7" t="s">
        <v>10</v>
      </c>
      <c r="F2133" s="7" t="s">
        <v>1546</v>
      </c>
    </row>
    <row r="2134" spans="1:6" ht="12.75">
      <c r="A2134" s="6">
        <v>45632.433243356485</v>
      </c>
      <c r="B2134" s="7" t="s">
        <v>11</v>
      </c>
      <c r="C2134" s="5" t="str">
        <f>LEFT(Form_Responses1[[#This Row],[問１　あなたは何年生ですか。]],3)</f>
        <v>小学校</v>
      </c>
      <c r="D2134" s="7" t="s">
        <v>19</v>
      </c>
      <c r="E2134" s="7" t="s">
        <v>10</v>
      </c>
      <c r="F2134" s="7" t="s">
        <v>1547</v>
      </c>
    </row>
    <row r="2135" spans="1:6" ht="12.75">
      <c r="A2135" s="6">
        <v>45632.436081967593</v>
      </c>
      <c r="B2135" s="7" t="s">
        <v>289</v>
      </c>
      <c r="C2135" s="5" t="str">
        <f>LEFT(Form_Responses1[[#This Row],[問１　あなたは何年生ですか。]],3)</f>
        <v>小学校</v>
      </c>
      <c r="D2135" s="7" t="s">
        <v>6</v>
      </c>
      <c r="E2135" s="7" t="s">
        <v>10</v>
      </c>
      <c r="F2135" s="7" t="s">
        <v>244</v>
      </c>
    </row>
    <row r="2136" spans="1:6" ht="12.75">
      <c r="A2136" s="6">
        <v>45632.440192118054</v>
      </c>
      <c r="B2136" s="7" t="s">
        <v>11</v>
      </c>
      <c r="C2136" s="5" t="str">
        <f>LEFT(Form_Responses1[[#This Row],[問１　あなたは何年生ですか。]],3)</f>
        <v>小学校</v>
      </c>
      <c r="D2136" s="7" t="s">
        <v>1548</v>
      </c>
      <c r="E2136" s="7" t="s">
        <v>10</v>
      </c>
      <c r="F2136" s="7" t="s">
        <v>301</v>
      </c>
    </row>
    <row r="2137" spans="1:6" ht="12.75">
      <c r="A2137" s="6">
        <v>45632.440228831023</v>
      </c>
      <c r="B2137" s="7" t="s">
        <v>11</v>
      </c>
      <c r="C2137" s="5" t="str">
        <f>LEFT(Form_Responses1[[#This Row],[問１　あなたは何年生ですか。]],3)</f>
        <v>小学校</v>
      </c>
      <c r="D2137" s="7" t="s">
        <v>24</v>
      </c>
      <c r="E2137" s="7" t="s">
        <v>10</v>
      </c>
      <c r="F2137" s="7" t="s">
        <v>1549</v>
      </c>
    </row>
    <row r="2138" spans="1:6" ht="12.75">
      <c r="A2138" s="6">
        <v>45632.44027846065</v>
      </c>
      <c r="B2138" s="7" t="s">
        <v>11</v>
      </c>
      <c r="C2138" s="5" t="str">
        <f>LEFT(Form_Responses1[[#This Row],[問１　あなたは何年生ですか。]],3)</f>
        <v>小学校</v>
      </c>
      <c r="D2138" s="7" t="s">
        <v>24</v>
      </c>
      <c r="E2138" s="7" t="s">
        <v>10</v>
      </c>
      <c r="F2138" s="7" t="s">
        <v>1550</v>
      </c>
    </row>
    <row r="2139" spans="1:6" ht="12.75">
      <c r="A2139" s="6">
        <v>45632.440569965278</v>
      </c>
      <c r="B2139" s="7" t="s">
        <v>11</v>
      </c>
      <c r="C2139" s="5" t="str">
        <f>LEFT(Form_Responses1[[#This Row],[問１　あなたは何年生ですか。]],3)</f>
        <v>小学校</v>
      </c>
      <c r="D2139" s="7" t="s">
        <v>12</v>
      </c>
      <c r="E2139" s="7" t="s">
        <v>10</v>
      </c>
      <c r="F2139" s="7" t="s">
        <v>1551</v>
      </c>
    </row>
    <row r="2140" spans="1:6" ht="12.75">
      <c r="A2140" s="6">
        <v>45632.440815289352</v>
      </c>
      <c r="B2140" s="7" t="s">
        <v>11</v>
      </c>
      <c r="C2140" s="5" t="str">
        <f>LEFT(Form_Responses1[[#This Row],[問１　あなたは何年生ですか。]],3)</f>
        <v>小学校</v>
      </c>
      <c r="D2140" s="7" t="s">
        <v>19</v>
      </c>
      <c r="E2140" s="7" t="s">
        <v>10</v>
      </c>
      <c r="F2140" s="7" t="s">
        <v>1552</v>
      </c>
    </row>
    <row r="2141" spans="1:6" ht="12.75">
      <c r="A2141" s="6">
        <v>45632.440924583338</v>
      </c>
      <c r="B2141" s="7" t="s">
        <v>11</v>
      </c>
      <c r="C2141" s="5" t="str">
        <f>LEFT(Form_Responses1[[#This Row],[問１　あなたは何年生ですか。]],3)</f>
        <v>小学校</v>
      </c>
      <c r="D2141" s="7" t="s">
        <v>6</v>
      </c>
      <c r="E2141" s="7" t="s">
        <v>10</v>
      </c>
      <c r="F2141" s="7" t="s">
        <v>1553</v>
      </c>
    </row>
    <row r="2142" spans="1:6" ht="12.75">
      <c r="A2142" s="6">
        <v>45632.441043553241</v>
      </c>
      <c r="B2142" s="7" t="s">
        <v>11</v>
      </c>
      <c r="C2142" s="5" t="str">
        <f>LEFT(Form_Responses1[[#This Row],[問１　あなたは何年生ですか。]],3)</f>
        <v>小学校</v>
      </c>
      <c r="D2142" s="7" t="s">
        <v>24</v>
      </c>
      <c r="E2142" s="7" t="s">
        <v>10</v>
      </c>
      <c r="F2142" s="7" t="s">
        <v>1554</v>
      </c>
    </row>
    <row r="2143" spans="1:6" ht="12.75">
      <c r="A2143" s="6">
        <v>45632.441087465282</v>
      </c>
      <c r="B2143" s="7" t="s">
        <v>11</v>
      </c>
      <c r="C2143" s="5" t="str">
        <f>LEFT(Form_Responses1[[#This Row],[問１　あなたは何年生ですか。]],3)</f>
        <v>小学校</v>
      </c>
      <c r="D2143" s="7" t="s">
        <v>1555</v>
      </c>
      <c r="E2143" s="7" t="s">
        <v>15</v>
      </c>
      <c r="F2143" s="7" t="s">
        <v>15</v>
      </c>
    </row>
    <row r="2144" spans="1:6" ht="12.75">
      <c r="A2144" s="6">
        <v>45632.441177939814</v>
      </c>
      <c r="B2144" s="7" t="s">
        <v>11</v>
      </c>
      <c r="C2144" s="5" t="str">
        <f>LEFT(Form_Responses1[[#This Row],[問１　あなたは何年生ですか。]],3)</f>
        <v>小学校</v>
      </c>
      <c r="D2144" s="7" t="s">
        <v>6</v>
      </c>
      <c r="E2144" s="7" t="s">
        <v>7</v>
      </c>
      <c r="F2144" s="7" t="s">
        <v>1556</v>
      </c>
    </row>
    <row r="2145" spans="1:6" ht="12.75">
      <c r="A2145" s="6">
        <v>45632.441686851853</v>
      </c>
      <c r="B2145" s="7" t="s">
        <v>11</v>
      </c>
      <c r="C2145" s="5" t="str">
        <f>LEFT(Form_Responses1[[#This Row],[問１　あなたは何年生ですか。]],3)</f>
        <v>小学校</v>
      </c>
      <c r="D2145" s="7" t="s">
        <v>1557</v>
      </c>
      <c r="E2145" s="7" t="s">
        <v>15</v>
      </c>
      <c r="F2145" s="7" t="s">
        <v>1558</v>
      </c>
    </row>
    <row r="2146" spans="1:6" ht="12.75">
      <c r="A2146" s="6">
        <v>45632.441726770834</v>
      </c>
      <c r="B2146" s="7" t="s">
        <v>21</v>
      </c>
      <c r="C2146" s="5" t="str">
        <f>LEFT(Form_Responses1[[#This Row],[問１　あなたは何年生ですか。]],3)</f>
        <v>小学校</v>
      </c>
      <c r="D2146" s="7" t="s">
        <v>6</v>
      </c>
      <c r="E2146" s="7" t="s">
        <v>7</v>
      </c>
      <c r="F2146" s="7" t="s">
        <v>1559</v>
      </c>
    </row>
    <row r="2147" spans="1:6" ht="12.75">
      <c r="A2147" s="6">
        <v>45632.44193458333</v>
      </c>
      <c r="B2147" s="7" t="s">
        <v>11</v>
      </c>
      <c r="C2147" s="5" t="str">
        <f>LEFT(Form_Responses1[[#This Row],[問１　あなたは何年生ですか。]],3)</f>
        <v>小学校</v>
      </c>
      <c r="D2147" s="7" t="s">
        <v>22</v>
      </c>
      <c r="E2147" s="7" t="s">
        <v>10</v>
      </c>
      <c r="F2147" s="7" t="s">
        <v>1560</v>
      </c>
    </row>
    <row r="2148" spans="1:6" ht="12.75">
      <c r="A2148" s="6">
        <v>45632.442381724541</v>
      </c>
      <c r="B2148" s="7" t="s">
        <v>11</v>
      </c>
      <c r="C2148" s="5" t="str">
        <f>LEFT(Form_Responses1[[#This Row],[問１　あなたは何年生ですか。]],3)</f>
        <v>小学校</v>
      </c>
      <c r="D2148" s="7" t="s">
        <v>6</v>
      </c>
      <c r="E2148" s="7" t="s">
        <v>7</v>
      </c>
      <c r="F2148" s="7" t="s">
        <v>1561</v>
      </c>
    </row>
    <row r="2149" spans="1:6" ht="12.75">
      <c r="A2149" s="6">
        <v>45632.446825081017</v>
      </c>
      <c r="B2149" s="7" t="s">
        <v>11</v>
      </c>
      <c r="C2149" s="5" t="str">
        <f>LEFT(Form_Responses1[[#This Row],[問１　あなたは何年生ですか。]],3)</f>
        <v>小学校</v>
      </c>
      <c r="D2149" s="7" t="s">
        <v>9</v>
      </c>
      <c r="E2149" s="7" t="s">
        <v>7</v>
      </c>
      <c r="F2149" s="8"/>
    </row>
    <row r="2150" spans="1:6" ht="12.75">
      <c r="A2150" s="6">
        <v>45632.448630983796</v>
      </c>
      <c r="B2150" s="7" t="s">
        <v>11</v>
      </c>
      <c r="C2150" s="5" t="str">
        <f>LEFT(Form_Responses1[[#This Row],[問１　あなたは何年生ですか。]],3)</f>
        <v>小学校</v>
      </c>
      <c r="D2150" s="7" t="s">
        <v>19</v>
      </c>
      <c r="E2150" s="7" t="s">
        <v>15</v>
      </c>
      <c r="F2150" s="7" t="s">
        <v>1562</v>
      </c>
    </row>
    <row r="2151" spans="1:6" ht="12.75">
      <c r="A2151" s="6">
        <v>45632.448779791666</v>
      </c>
      <c r="B2151" s="7" t="s">
        <v>11</v>
      </c>
      <c r="C2151" s="5" t="str">
        <f>LEFT(Form_Responses1[[#This Row],[問１　あなたは何年生ですか。]],3)</f>
        <v>小学校</v>
      </c>
      <c r="D2151" s="7" t="s">
        <v>6</v>
      </c>
      <c r="E2151" s="7" t="s">
        <v>7</v>
      </c>
      <c r="F2151" s="7" t="s">
        <v>1563</v>
      </c>
    </row>
    <row r="2152" spans="1:6" ht="12.75">
      <c r="A2152" s="6">
        <v>45632.449342256943</v>
      </c>
      <c r="B2152" s="7" t="s">
        <v>11</v>
      </c>
      <c r="C2152" s="5" t="str">
        <f>LEFT(Form_Responses1[[#This Row],[問１　あなたは何年生ですか。]],3)</f>
        <v>小学校</v>
      </c>
      <c r="D2152" s="7" t="s">
        <v>1564</v>
      </c>
      <c r="E2152" s="7" t="s">
        <v>10</v>
      </c>
      <c r="F2152" s="7" t="s">
        <v>1565</v>
      </c>
    </row>
    <row r="2153" spans="1:6" ht="12.75">
      <c r="A2153" s="6">
        <v>45632.452427395838</v>
      </c>
      <c r="B2153" s="7" t="s">
        <v>11</v>
      </c>
      <c r="C2153" s="5" t="str">
        <f>LEFT(Form_Responses1[[#This Row],[問１　あなたは何年生ですか。]],3)</f>
        <v>小学校</v>
      </c>
      <c r="D2153" s="7" t="s">
        <v>6</v>
      </c>
      <c r="E2153" s="7" t="s">
        <v>10</v>
      </c>
      <c r="F2153" s="7" t="s">
        <v>52</v>
      </c>
    </row>
    <row r="2154" spans="1:6" ht="12.75">
      <c r="A2154" s="6">
        <v>45632.452617789357</v>
      </c>
      <c r="B2154" s="7" t="s">
        <v>11</v>
      </c>
      <c r="C2154" s="5" t="str">
        <f>LEFT(Form_Responses1[[#This Row],[問１　あなたは何年生ですか。]],3)</f>
        <v>小学校</v>
      </c>
      <c r="D2154" s="7" t="s">
        <v>24</v>
      </c>
      <c r="E2154" s="7" t="s">
        <v>10</v>
      </c>
      <c r="F2154" s="7" t="s">
        <v>1566</v>
      </c>
    </row>
    <row r="2155" spans="1:6" ht="12.75">
      <c r="A2155" s="6">
        <v>45632.452843796302</v>
      </c>
      <c r="B2155" s="7" t="s">
        <v>11</v>
      </c>
      <c r="C2155" s="5" t="str">
        <f>LEFT(Form_Responses1[[#This Row],[問１　あなたは何年生ですか。]],3)</f>
        <v>小学校</v>
      </c>
      <c r="D2155" s="7" t="s">
        <v>12</v>
      </c>
      <c r="E2155" s="7" t="s">
        <v>7</v>
      </c>
      <c r="F2155" s="8"/>
    </row>
    <row r="2156" spans="1:6" ht="12.75">
      <c r="A2156" s="6">
        <v>45632.453233773151</v>
      </c>
      <c r="B2156" s="7" t="s">
        <v>11</v>
      </c>
      <c r="C2156" s="5" t="str">
        <f>LEFT(Form_Responses1[[#This Row],[問１　あなたは何年生ですか。]],3)</f>
        <v>小学校</v>
      </c>
      <c r="D2156" s="7" t="s">
        <v>14</v>
      </c>
      <c r="E2156" s="7" t="s">
        <v>10</v>
      </c>
      <c r="F2156" s="7" t="s">
        <v>1567</v>
      </c>
    </row>
    <row r="2157" spans="1:6" ht="12.75">
      <c r="A2157" s="6">
        <v>45632.453233460648</v>
      </c>
      <c r="B2157" s="7" t="s">
        <v>11</v>
      </c>
      <c r="C2157" s="5" t="str">
        <f>LEFT(Form_Responses1[[#This Row],[問１　あなたは何年生ですか。]],3)</f>
        <v>小学校</v>
      </c>
      <c r="D2157" s="7" t="s">
        <v>24</v>
      </c>
      <c r="E2157" s="7" t="s">
        <v>10</v>
      </c>
      <c r="F2157" s="7" t="s">
        <v>1568</v>
      </c>
    </row>
    <row r="2158" spans="1:6" ht="12.75">
      <c r="A2158" s="6">
        <v>45632.453248703707</v>
      </c>
      <c r="B2158" s="7" t="s">
        <v>11</v>
      </c>
      <c r="C2158" s="5" t="str">
        <f>LEFT(Form_Responses1[[#This Row],[問１　あなたは何年生ですか。]],3)</f>
        <v>小学校</v>
      </c>
      <c r="D2158" s="7" t="s">
        <v>24</v>
      </c>
      <c r="E2158" s="7" t="s">
        <v>10</v>
      </c>
      <c r="F2158" s="7" t="s">
        <v>1569</v>
      </c>
    </row>
    <row r="2159" spans="1:6" ht="12.75">
      <c r="A2159" s="6">
        <v>45632.453284155097</v>
      </c>
      <c r="B2159" s="7" t="s">
        <v>11</v>
      </c>
      <c r="C2159" s="5" t="str">
        <f>LEFT(Form_Responses1[[#This Row],[問１　あなたは何年生ですか。]],3)</f>
        <v>小学校</v>
      </c>
      <c r="D2159" s="7" t="s">
        <v>19</v>
      </c>
      <c r="E2159" s="7" t="s">
        <v>7</v>
      </c>
      <c r="F2159" s="7" t="s">
        <v>1570</v>
      </c>
    </row>
    <row r="2160" spans="1:6" ht="12.75">
      <c r="A2160" s="6">
        <v>45632.453323495371</v>
      </c>
      <c r="B2160" s="7" t="s">
        <v>11</v>
      </c>
      <c r="C2160" s="5" t="str">
        <f>LEFT(Form_Responses1[[#This Row],[問１　あなたは何年生ですか。]],3)</f>
        <v>小学校</v>
      </c>
      <c r="D2160" s="7" t="s">
        <v>24</v>
      </c>
      <c r="E2160" s="7" t="s">
        <v>10</v>
      </c>
      <c r="F2160" s="7" t="s">
        <v>1571</v>
      </c>
    </row>
    <row r="2161" spans="1:6" ht="12.75">
      <c r="A2161" s="6">
        <v>45632.453351747681</v>
      </c>
      <c r="B2161" s="7" t="s">
        <v>11</v>
      </c>
      <c r="C2161" s="5" t="str">
        <f>LEFT(Form_Responses1[[#This Row],[問１　あなたは何年生ですか。]],3)</f>
        <v>小学校</v>
      </c>
      <c r="D2161" s="7" t="s">
        <v>14</v>
      </c>
      <c r="E2161" s="7" t="s">
        <v>10</v>
      </c>
      <c r="F2161" s="7" t="s">
        <v>1572</v>
      </c>
    </row>
    <row r="2162" spans="1:6" ht="12.75">
      <c r="A2162" s="6">
        <v>45632.453383645829</v>
      </c>
      <c r="B2162" s="7" t="s">
        <v>11</v>
      </c>
      <c r="C2162" s="5" t="str">
        <f>LEFT(Form_Responses1[[#This Row],[問１　あなたは何年生ですか。]],3)</f>
        <v>小学校</v>
      </c>
      <c r="D2162" s="7" t="s">
        <v>19</v>
      </c>
      <c r="E2162" s="7" t="s">
        <v>10</v>
      </c>
      <c r="F2162" s="7" t="s">
        <v>1573</v>
      </c>
    </row>
    <row r="2163" spans="1:6" ht="12.75">
      <c r="A2163" s="6">
        <v>45632.453399363425</v>
      </c>
      <c r="B2163" s="7" t="s">
        <v>11</v>
      </c>
      <c r="C2163" s="5" t="str">
        <f>LEFT(Form_Responses1[[#This Row],[問１　あなたは何年生ですか。]],3)</f>
        <v>小学校</v>
      </c>
      <c r="D2163" s="7" t="s">
        <v>1574</v>
      </c>
      <c r="E2163" s="7" t="s">
        <v>67</v>
      </c>
      <c r="F2163" s="7" t="s">
        <v>1575</v>
      </c>
    </row>
    <row r="2164" spans="1:6" ht="12.75">
      <c r="A2164" s="6">
        <v>45632.453412048606</v>
      </c>
      <c r="B2164" s="7" t="s">
        <v>11</v>
      </c>
      <c r="C2164" s="5" t="str">
        <f>LEFT(Form_Responses1[[#This Row],[問１　あなたは何年生ですか。]],3)</f>
        <v>小学校</v>
      </c>
      <c r="D2164" s="7" t="s">
        <v>19</v>
      </c>
      <c r="E2164" s="7" t="s">
        <v>15</v>
      </c>
      <c r="F2164" s="8"/>
    </row>
    <row r="2165" spans="1:6" ht="12.75">
      <c r="A2165" s="6">
        <v>45632.453428877314</v>
      </c>
      <c r="B2165" s="7" t="s">
        <v>11</v>
      </c>
      <c r="C2165" s="5" t="str">
        <f>LEFT(Form_Responses1[[#This Row],[問１　あなたは何年生ですか。]],3)</f>
        <v>小学校</v>
      </c>
      <c r="D2165" s="7" t="s">
        <v>1576</v>
      </c>
      <c r="E2165" s="7" t="s">
        <v>7</v>
      </c>
      <c r="F2165" s="7" t="s">
        <v>1577</v>
      </c>
    </row>
    <row r="2166" spans="1:6" ht="12.75">
      <c r="A2166" s="6">
        <v>45632.453438599536</v>
      </c>
      <c r="B2166" s="7" t="s">
        <v>11</v>
      </c>
      <c r="C2166" s="5" t="str">
        <f>LEFT(Form_Responses1[[#This Row],[問１　あなたは何年生ですか。]],3)</f>
        <v>小学校</v>
      </c>
      <c r="D2166" s="7" t="s">
        <v>19</v>
      </c>
      <c r="E2166" s="7" t="s">
        <v>10</v>
      </c>
      <c r="F2166" s="7" t="s">
        <v>1578</v>
      </c>
    </row>
    <row r="2167" spans="1:6" ht="12.75">
      <c r="A2167" s="6">
        <v>45632.453470057866</v>
      </c>
      <c r="B2167" s="7" t="s">
        <v>11</v>
      </c>
      <c r="C2167" s="5" t="str">
        <f>LEFT(Form_Responses1[[#This Row],[問１　あなたは何年生ですか。]],3)</f>
        <v>小学校</v>
      </c>
      <c r="D2167" s="7" t="s">
        <v>24</v>
      </c>
      <c r="E2167" s="7" t="s">
        <v>10</v>
      </c>
      <c r="F2167" s="7" t="s">
        <v>1579</v>
      </c>
    </row>
    <row r="2168" spans="1:6" ht="12.75">
      <c r="A2168" s="6">
        <v>45632.453502835648</v>
      </c>
      <c r="B2168" s="7" t="s">
        <v>11</v>
      </c>
      <c r="C2168" s="5" t="str">
        <f>LEFT(Form_Responses1[[#This Row],[問１　あなたは何年生ですか。]],3)</f>
        <v>小学校</v>
      </c>
      <c r="D2168" s="7" t="s">
        <v>1580</v>
      </c>
      <c r="E2168" s="7" t="s">
        <v>67</v>
      </c>
      <c r="F2168" s="8"/>
    </row>
    <row r="2169" spans="1:6" ht="12.75">
      <c r="A2169" s="6">
        <v>45632.453554386579</v>
      </c>
      <c r="B2169" s="7" t="s">
        <v>11</v>
      </c>
      <c r="C2169" s="5" t="str">
        <f>LEFT(Form_Responses1[[#This Row],[問１　あなたは何年生ですか。]],3)</f>
        <v>小学校</v>
      </c>
      <c r="D2169" s="7" t="s">
        <v>24</v>
      </c>
      <c r="E2169" s="7" t="s">
        <v>10</v>
      </c>
      <c r="F2169" s="7" t="s">
        <v>1581</v>
      </c>
    </row>
    <row r="2170" spans="1:6" ht="12.75">
      <c r="A2170" s="6">
        <v>45632.453561863425</v>
      </c>
      <c r="B2170" s="7" t="s">
        <v>11</v>
      </c>
      <c r="C2170" s="5" t="str">
        <f>LEFT(Form_Responses1[[#This Row],[問１　あなたは何年生ですか。]],3)</f>
        <v>小学校</v>
      </c>
      <c r="D2170" s="7" t="s">
        <v>6</v>
      </c>
      <c r="E2170" s="7" t="s">
        <v>7</v>
      </c>
      <c r="F2170" s="7" t="s">
        <v>1582</v>
      </c>
    </row>
    <row r="2171" spans="1:6" ht="12.75">
      <c r="A2171" s="6">
        <v>45632.453606655094</v>
      </c>
      <c r="B2171" s="7" t="s">
        <v>11</v>
      </c>
      <c r="C2171" s="5" t="str">
        <f>LEFT(Form_Responses1[[#This Row],[問１　あなたは何年生ですか。]],3)</f>
        <v>小学校</v>
      </c>
      <c r="D2171" s="7" t="s">
        <v>24</v>
      </c>
      <c r="E2171" s="7" t="s">
        <v>10</v>
      </c>
      <c r="F2171" s="7" t="s">
        <v>1583</v>
      </c>
    </row>
    <row r="2172" spans="1:6" ht="12.75">
      <c r="A2172" s="6">
        <v>45632.453674247685</v>
      </c>
      <c r="B2172" s="7" t="s">
        <v>11</v>
      </c>
      <c r="C2172" s="5" t="str">
        <f>LEFT(Form_Responses1[[#This Row],[問１　あなたは何年生ですか。]],3)</f>
        <v>小学校</v>
      </c>
      <c r="D2172" s="7" t="s">
        <v>9</v>
      </c>
      <c r="E2172" s="7" t="s">
        <v>10</v>
      </c>
      <c r="F2172" s="7" t="s">
        <v>1584</v>
      </c>
    </row>
    <row r="2173" spans="1:6" ht="12.75">
      <c r="A2173" s="6">
        <v>45632.45368658565</v>
      </c>
      <c r="B2173" s="7" t="s">
        <v>11</v>
      </c>
      <c r="C2173" s="5" t="str">
        <f>LEFT(Form_Responses1[[#This Row],[問１　あなたは何年生ですか。]],3)</f>
        <v>小学校</v>
      </c>
      <c r="D2173" s="7" t="s">
        <v>24</v>
      </c>
      <c r="E2173" s="7" t="s">
        <v>10</v>
      </c>
      <c r="F2173" s="7" t="s">
        <v>1568</v>
      </c>
    </row>
    <row r="2174" spans="1:6" ht="12.75">
      <c r="A2174" s="6">
        <v>45632.453699548612</v>
      </c>
      <c r="B2174" s="7" t="s">
        <v>11</v>
      </c>
      <c r="C2174" s="5" t="str">
        <f>LEFT(Form_Responses1[[#This Row],[問１　あなたは何年生ですか。]],3)</f>
        <v>小学校</v>
      </c>
      <c r="D2174" s="7" t="s">
        <v>14</v>
      </c>
      <c r="E2174" s="7" t="s">
        <v>10</v>
      </c>
      <c r="F2174" s="7" t="s">
        <v>1585</v>
      </c>
    </row>
    <row r="2175" spans="1:6" ht="12.75">
      <c r="A2175" s="6">
        <v>45632.453750729168</v>
      </c>
      <c r="B2175" s="7" t="s">
        <v>11</v>
      </c>
      <c r="C2175" s="5" t="str">
        <f>LEFT(Form_Responses1[[#This Row],[問１　あなたは何年生ですか。]],3)</f>
        <v>小学校</v>
      </c>
      <c r="D2175" s="7" t="s">
        <v>19</v>
      </c>
      <c r="E2175" s="7" t="s">
        <v>10</v>
      </c>
      <c r="F2175" s="8"/>
    </row>
    <row r="2176" spans="1:6" ht="12.75">
      <c r="A2176" s="6">
        <v>45632.453784745376</v>
      </c>
      <c r="B2176" s="7" t="s">
        <v>11</v>
      </c>
      <c r="C2176" s="5" t="str">
        <f>LEFT(Form_Responses1[[#This Row],[問１　あなたは何年生ですか。]],3)</f>
        <v>小学校</v>
      </c>
      <c r="D2176" s="7" t="s">
        <v>6</v>
      </c>
      <c r="E2176" s="7" t="s">
        <v>7</v>
      </c>
      <c r="F2176" s="7" t="s">
        <v>1586</v>
      </c>
    </row>
    <row r="2177" spans="1:6" ht="12.75">
      <c r="A2177" s="6">
        <v>45632.454036157404</v>
      </c>
      <c r="B2177" s="7" t="s">
        <v>16</v>
      </c>
      <c r="C2177" s="5" t="str">
        <f>LEFT(Form_Responses1[[#This Row],[問１　あなたは何年生ですか。]],3)</f>
        <v>中学校</v>
      </c>
      <c r="D2177" s="7" t="s">
        <v>17</v>
      </c>
      <c r="E2177" s="7" t="s">
        <v>7</v>
      </c>
      <c r="F2177" s="7" t="s">
        <v>52</v>
      </c>
    </row>
    <row r="2178" spans="1:6" ht="12.75">
      <c r="A2178" s="6">
        <v>45632.454113425927</v>
      </c>
      <c r="B2178" s="7" t="s">
        <v>11</v>
      </c>
      <c r="C2178" s="5" t="str">
        <f>LEFT(Form_Responses1[[#This Row],[問１　あなたは何年生ですか。]],3)</f>
        <v>小学校</v>
      </c>
      <c r="D2178" s="7" t="s">
        <v>1587</v>
      </c>
      <c r="E2178" s="7" t="s">
        <v>10</v>
      </c>
      <c r="F2178" s="7" t="s">
        <v>1588</v>
      </c>
    </row>
    <row r="2179" spans="1:6" ht="12.75">
      <c r="A2179" s="6">
        <v>45632.454336284718</v>
      </c>
      <c r="B2179" s="7" t="s">
        <v>11</v>
      </c>
      <c r="C2179" s="5" t="str">
        <f>LEFT(Form_Responses1[[#This Row],[問１　あなたは何年生ですか。]],3)</f>
        <v>小学校</v>
      </c>
      <c r="D2179" s="7" t="s">
        <v>30</v>
      </c>
      <c r="E2179" s="7" t="s">
        <v>10</v>
      </c>
      <c r="F2179" s="7" t="s">
        <v>1589</v>
      </c>
    </row>
    <row r="2180" spans="1:6" ht="12.75">
      <c r="A2180" s="6">
        <v>45632.454462858797</v>
      </c>
      <c r="B2180" s="7" t="s">
        <v>11</v>
      </c>
      <c r="C2180" s="5" t="str">
        <f>LEFT(Form_Responses1[[#This Row],[問１　あなたは何年生ですか。]],3)</f>
        <v>小学校</v>
      </c>
      <c r="D2180" s="7" t="s">
        <v>19</v>
      </c>
      <c r="E2180" s="7" t="s">
        <v>7</v>
      </c>
      <c r="F2180" s="7" t="s">
        <v>52</v>
      </c>
    </row>
    <row r="2181" spans="1:6" ht="12.75">
      <c r="A2181" s="6">
        <v>45632.454753379629</v>
      </c>
      <c r="B2181" s="7" t="s">
        <v>11</v>
      </c>
      <c r="C2181" s="5" t="str">
        <f>LEFT(Form_Responses1[[#This Row],[問１　あなたは何年生ですか。]],3)</f>
        <v>小学校</v>
      </c>
      <c r="D2181" s="7" t="s">
        <v>1587</v>
      </c>
      <c r="E2181" s="7" t="s">
        <v>10</v>
      </c>
      <c r="F2181" s="7" t="s">
        <v>1590</v>
      </c>
    </row>
    <row r="2182" spans="1:6" ht="12.75">
      <c r="A2182" s="6">
        <v>45632.454863368053</v>
      </c>
      <c r="B2182" s="7" t="s">
        <v>11</v>
      </c>
      <c r="C2182" s="5" t="str">
        <f>LEFT(Form_Responses1[[#This Row],[問１　あなたは何年生ですか。]],3)</f>
        <v>小学校</v>
      </c>
      <c r="D2182" s="7" t="s">
        <v>14</v>
      </c>
      <c r="E2182" s="7" t="s">
        <v>10</v>
      </c>
      <c r="F2182" s="7" t="s">
        <v>1591</v>
      </c>
    </row>
    <row r="2183" spans="1:6" ht="12.75">
      <c r="A2183" s="6">
        <v>45632.456929594904</v>
      </c>
      <c r="B2183" s="7" t="s">
        <v>11</v>
      </c>
      <c r="C2183" s="5" t="str">
        <f>LEFT(Form_Responses1[[#This Row],[問１　あなたは何年生ですか。]],3)</f>
        <v>小学校</v>
      </c>
      <c r="D2183" s="7" t="s">
        <v>12</v>
      </c>
      <c r="E2183" s="7" t="s">
        <v>10</v>
      </c>
      <c r="F2183" s="8"/>
    </row>
    <row r="2184" spans="1:6" ht="12.75">
      <c r="A2184" s="6">
        <v>45632.459739745369</v>
      </c>
      <c r="B2184" s="7" t="s">
        <v>11</v>
      </c>
      <c r="C2184" s="5" t="str">
        <f>LEFT(Form_Responses1[[#This Row],[問１　あなたは何年生ですか。]],3)</f>
        <v>小学校</v>
      </c>
      <c r="D2184" s="7" t="s">
        <v>12</v>
      </c>
      <c r="E2184" s="7" t="s">
        <v>7</v>
      </c>
      <c r="F2184" s="8"/>
    </row>
    <row r="2185" spans="1:6" ht="12.75">
      <c r="A2185" s="6">
        <v>45632.467639421295</v>
      </c>
      <c r="B2185" s="7" t="s">
        <v>11</v>
      </c>
      <c r="C2185" s="5" t="str">
        <f>LEFT(Form_Responses1[[#This Row],[問１　あなたは何年生ですか。]],3)</f>
        <v>小学校</v>
      </c>
      <c r="D2185" s="7" t="s">
        <v>6</v>
      </c>
      <c r="E2185" s="7" t="s">
        <v>10</v>
      </c>
      <c r="F2185" s="7" t="s">
        <v>1592</v>
      </c>
    </row>
    <row r="2186" spans="1:6" ht="12.75">
      <c r="A2186" s="6">
        <v>45632.475645486113</v>
      </c>
      <c r="B2186" s="7" t="s">
        <v>21</v>
      </c>
      <c r="C2186" s="5" t="str">
        <f>LEFT(Form_Responses1[[#This Row],[問１　あなたは何年生ですか。]],3)</f>
        <v>小学校</v>
      </c>
      <c r="D2186" s="7" t="s">
        <v>6</v>
      </c>
      <c r="E2186" s="7" t="s">
        <v>10</v>
      </c>
      <c r="F2186" s="7" t="s">
        <v>1593</v>
      </c>
    </row>
    <row r="2187" spans="1:6" ht="12.75">
      <c r="A2187" s="6">
        <v>45632.47575153935</v>
      </c>
      <c r="B2187" s="7" t="s">
        <v>8</v>
      </c>
      <c r="C2187" s="5" t="str">
        <f>LEFT(Form_Responses1[[#This Row],[問１　あなたは何年生ですか。]],3)</f>
        <v>小学校</v>
      </c>
      <c r="D2187" s="7" t="s">
        <v>30</v>
      </c>
      <c r="E2187" s="7" t="s">
        <v>7</v>
      </c>
      <c r="F2187" s="8"/>
    </row>
    <row r="2188" spans="1:6" ht="12.75">
      <c r="A2188" s="6">
        <v>45632.47594502315</v>
      </c>
      <c r="B2188" s="7" t="s">
        <v>8</v>
      </c>
      <c r="C2188" s="5" t="str">
        <f>LEFT(Form_Responses1[[#This Row],[問１　あなたは何年生ですか。]],3)</f>
        <v>小学校</v>
      </c>
      <c r="D2188" s="7" t="s">
        <v>6</v>
      </c>
      <c r="E2188" s="7" t="s">
        <v>10</v>
      </c>
      <c r="F2188" s="8"/>
    </row>
    <row r="2189" spans="1:6" ht="12.75">
      <c r="A2189" s="6">
        <v>45632.476290254628</v>
      </c>
      <c r="B2189" s="7" t="s">
        <v>8</v>
      </c>
      <c r="C2189" s="5" t="str">
        <f>LEFT(Form_Responses1[[#This Row],[問１　あなたは何年生ですか。]],3)</f>
        <v>小学校</v>
      </c>
      <c r="D2189" s="7" t="s">
        <v>22</v>
      </c>
      <c r="E2189" s="7" t="s">
        <v>67</v>
      </c>
      <c r="F2189" s="8"/>
    </row>
    <row r="2190" spans="1:6" ht="12.75">
      <c r="A2190" s="6">
        <v>45632.476419930557</v>
      </c>
      <c r="B2190" s="7" t="s">
        <v>21</v>
      </c>
      <c r="C2190" s="5" t="str">
        <f>LEFT(Form_Responses1[[#This Row],[問１　あなたは何年生ですか。]],3)</f>
        <v>小学校</v>
      </c>
      <c r="D2190" s="7" t="s">
        <v>24</v>
      </c>
      <c r="E2190" s="7" t="s">
        <v>7</v>
      </c>
      <c r="F2190" s="7" t="s">
        <v>1594</v>
      </c>
    </row>
    <row r="2191" spans="1:6" ht="12.75">
      <c r="A2191" s="6">
        <v>45632.476489201392</v>
      </c>
      <c r="B2191" s="7" t="s">
        <v>8</v>
      </c>
      <c r="C2191" s="5" t="str">
        <f>LEFT(Form_Responses1[[#This Row],[問１　あなたは何年生ですか。]],3)</f>
        <v>小学校</v>
      </c>
      <c r="D2191" s="7" t="s">
        <v>24</v>
      </c>
      <c r="E2191" s="7" t="s">
        <v>7</v>
      </c>
      <c r="F2191" s="8"/>
    </row>
    <row r="2192" spans="1:6" ht="12.75">
      <c r="A2192" s="6">
        <v>45632.476502384263</v>
      </c>
      <c r="B2192" s="7" t="s">
        <v>8</v>
      </c>
      <c r="C2192" s="5" t="str">
        <f>LEFT(Form_Responses1[[#This Row],[問１　あなたは何年生ですか。]],3)</f>
        <v>小学校</v>
      </c>
      <c r="D2192" s="7" t="s">
        <v>24</v>
      </c>
      <c r="E2192" s="7" t="s">
        <v>10</v>
      </c>
      <c r="F2192" s="8"/>
    </row>
    <row r="2193" spans="1:6" ht="12.75">
      <c r="A2193" s="6">
        <v>45632.476558449074</v>
      </c>
      <c r="B2193" s="7" t="s">
        <v>21</v>
      </c>
      <c r="C2193" s="5" t="str">
        <f>LEFT(Form_Responses1[[#This Row],[問１　あなたは何年生ですか。]],3)</f>
        <v>小学校</v>
      </c>
      <c r="D2193" s="7" t="s">
        <v>24</v>
      </c>
      <c r="E2193" s="7" t="s">
        <v>10</v>
      </c>
      <c r="F2193" s="7" t="s">
        <v>1595</v>
      </c>
    </row>
    <row r="2194" spans="1:6" ht="12.75">
      <c r="A2194" s="6">
        <v>45632.476585543976</v>
      </c>
      <c r="B2194" s="7" t="s">
        <v>8</v>
      </c>
      <c r="C2194" s="5" t="str">
        <f>LEFT(Form_Responses1[[#This Row],[問１　あなたは何年生ですか。]],3)</f>
        <v>小学校</v>
      </c>
      <c r="D2194" s="7" t="s">
        <v>6</v>
      </c>
      <c r="E2194" s="7" t="s">
        <v>10</v>
      </c>
      <c r="F2194" s="8"/>
    </row>
    <row r="2195" spans="1:6" ht="12.75">
      <c r="A2195" s="6">
        <v>45632.476605937496</v>
      </c>
      <c r="B2195" s="7" t="s">
        <v>8</v>
      </c>
      <c r="C2195" s="5" t="str">
        <f>LEFT(Form_Responses1[[#This Row],[問１　あなたは何年生ですか。]],3)</f>
        <v>小学校</v>
      </c>
      <c r="D2195" s="7" t="s">
        <v>17</v>
      </c>
      <c r="E2195" s="7" t="s">
        <v>7</v>
      </c>
      <c r="F2195" s="7" t="s">
        <v>1596</v>
      </c>
    </row>
    <row r="2196" spans="1:6" ht="12.75">
      <c r="A2196" s="6">
        <v>45632.476686087961</v>
      </c>
      <c r="B2196" s="7" t="s">
        <v>8</v>
      </c>
      <c r="C2196" s="5" t="str">
        <f>LEFT(Form_Responses1[[#This Row],[問１　あなたは何年生ですか。]],3)</f>
        <v>小学校</v>
      </c>
      <c r="D2196" s="7" t="s">
        <v>24</v>
      </c>
      <c r="E2196" s="7" t="s">
        <v>10</v>
      </c>
      <c r="F2196" s="8"/>
    </row>
    <row r="2197" spans="1:6" ht="12.75">
      <c r="A2197" s="6">
        <v>45632.476700972227</v>
      </c>
      <c r="B2197" s="7" t="s">
        <v>21</v>
      </c>
      <c r="C2197" s="5" t="str">
        <f>LEFT(Form_Responses1[[#This Row],[問１　あなたは何年生ですか。]],3)</f>
        <v>小学校</v>
      </c>
      <c r="D2197" s="7" t="s">
        <v>24</v>
      </c>
      <c r="E2197" s="7" t="s">
        <v>10</v>
      </c>
      <c r="F2197" s="7" t="s">
        <v>1597</v>
      </c>
    </row>
    <row r="2198" spans="1:6" ht="12.75">
      <c r="A2198" s="6">
        <v>45632.476841261574</v>
      </c>
      <c r="B2198" s="7" t="s">
        <v>8</v>
      </c>
      <c r="C2198" s="5" t="str">
        <f>LEFT(Form_Responses1[[#This Row],[問１　あなたは何年生ですか。]],3)</f>
        <v>小学校</v>
      </c>
      <c r="D2198" s="7" t="s">
        <v>24</v>
      </c>
      <c r="E2198" s="7" t="s">
        <v>7</v>
      </c>
      <c r="F2198" s="8"/>
    </row>
    <row r="2199" spans="1:6" ht="12.75">
      <c r="A2199" s="6">
        <v>45632.477154351851</v>
      </c>
      <c r="B2199" s="7" t="s">
        <v>8</v>
      </c>
      <c r="C2199" s="5" t="str">
        <f>LEFT(Form_Responses1[[#This Row],[問１　あなたは何年生ですか。]],3)</f>
        <v>小学校</v>
      </c>
      <c r="D2199" s="7" t="s">
        <v>6</v>
      </c>
      <c r="E2199" s="7" t="s">
        <v>10</v>
      </c>
      <c r="F2199" s="8"/>
    </row>
    <row r="2200" spans="1:6" ht="12.75">
      <c r="A2200" s="6">
        <v>45632.477205219911</v>
      </c>
      <c r="B2200" s="7" t="s">
        <v>21</v>
      </c>
      <c r="C2200" s="5" t="str">
        <f>LEFT(Form_Responses1[[#This Row],[問１　あなたは何年生ですか。]],3)</f>
        <v>小学校</v>
      </c>
      <c r="D2200" s="7" t="s">
        <v>6</v>
      </c>
      <c r="E2200" s="7" t="s">
        <v>10</v>
      </c>
      <c r="F2200" s="7" t="s">
        <v>1598</v>
      </c>
    </row>
    <row r="2201" spans="1:6" ht="12.75">
      <c r="A2201" s="6">
        <v>45632.477426840276</v>
      </c>
      <c r="B2201" s="7" t="s">
        <v>8</v>
      </c>
      <c r="C2201" s="5" t="str">
        <f>LEFT(Form_Responses1[[#This Row],[問１　あなたは何年生ですか。]],3)</f>
        <v>小学校</v>
      </c>
      <c r="D2201" s="7" t="s">
        <v>24</v>
      </c>
      <c r="E2201" s="7" t="s">
        <v>7</v>
      </c>
      <c r="F2201" s="8"/>
    </row>
    <row r="2202" spans="1:6" ht="12.75">
      <c r="A2202" s="6">
        <v>45632.478041875002</v>
      </c>
      <c r="B2202" s="7" t="s">
        <v>8</v>
      </c>
      <c r="C2202" s="5" t="str">
        <f>LEFT(Form_Responses1[[#This Row],[問１　あなたは何年生ですか。]],3)</f>
        <v>小学校</v>
      </c>
      <c r="D2202" s="7" t="s">
        <v>17</v>
      </c>
      <c r="E2202" s="7" t="s">
        <v>10</v>
      </c>
      <c r="F2202" s="8"/>
    </row>
    <row r="2203" spans="1:6" ht="12.75">
      <c r="A2203" s="6">
        <v>45632.478107083334</v>
      </c>
      <c r="B2203" s="7" t="s">
        <v>8</v>
      </c>
      <c r="C2203" s="5" t="str">
        <f>LEFT(Form_Responses1[[#This Row],[問１　あなたは何年生ですか。]],3)</f>
        <v>小学校</v>
      </c>
      <c r="D2203" s="7" t="s">
        <v>6</v>
      </c>
      <c r="E2203" s="7" t="s">
        <v>7</v>
      </c>
      <c r="F2203" s="8"/>
    </row>
    <row r="2204" spans="1:6" ht="12.75">
      <c r="A2204" s="6">
        <v>45632.47815174768</v>
      </c>
      <c r="B2204" s="7" t="s">
        <v>8</v>
      </c>
      <c r="C2204" s="5" t="str">
        <f>LEFT(Form_Responses1[[#This Row],[問１　あなたは何年生ですか。]],3)</f>
        <v>小学校</v>
      </c>
      <c r="D2204" s="7" t="s">
        <v>24</v>
      </c>
      <c r="E2204" s="7" t="s">
        <v>10</v>
      </c>
      <c r="F2204" s="8"/>
    </row>
    <row r="2205" spans="1:6" ht="12.75">
      <c r="A2205" s="6">
        <v>45632.478247557869</v>
      </c>
      <c r="B2205" s="7" t="s">
        <v>8</v>
      </c>
      <c r="C2205" s="5" t="str">
        <f>LEFT(Form_Responses1[[#This Row],[問１　あなたは何年生ですか。]],3)</f>
        <v>小学校</v>
      </c>
      <c r="D2205" s="7" t="s">
        <v>24</v>
      </c>
      <c r="E2205" s="7" t="s">
        <v>10</v>
      </c>
      <c r="F2205" s="8"/>
    </row>
    <row r="2206" spans="1:6" ht="12.75">
      <c r="A2206" s="6">
        <v>45632.478656956024</v>
      </c>
      <c r="B2206" s="7" t="s">
        <v>8</v>
      </c>
      <c r="C2206" s="5" t="str">
        <f>LEFT(Form_Responses1[[#This Row],[問１　あなたは何年生ですか。]],3)</f>
        <v>小学校</v>
      </c>
      <c r="D2206" s="7" t="s">
        <v>24</v>
      </c>
      <c r="E2206" s="7" t="s">
        <v>10</v>
      </c>
      <c r="F2206" s="8"/>
    </row>
    <row r="2207" spans="1:6" ht="12.75">
      <c r="A2207" s="6">
        <v>45632.478749201386</v>
      </c>
      <c r="B2207" s="7" t="s">
        <v>8</v>
      </c>
      <c r="C2207" s="5" t="str">
        <f>LEFT(Form_Responses1[[#This Row],[問１　あなたは何年生ですか。]],3)</f>
        <v>小学校</v>
      </c>
      <c r="D2207" s="7" t="s">
        <v>22</v>
      </c>
      <c r="E2207" s="7" t="s">
        <v>7</v>
      </c>
      <c r="F2207" s="8"/>
    </row>
    <row r="2208" spans="1:6" ht="12.75">
      <c r="A2208" s="6">
        <v>45632.478865347221</v>
      </c>
      <c r="B2208" s="7" t="s">
        <v>8</v>
      </c>
      <c r="C2208" s="5" t="str">
        <f>LEFT(Form_Responses1[[#This Row],[問１　あなたは何年生ですか。]],3)</f>
        <v>小学校</v>
      </c>
      <c r="D2208" s="7" t="s">
        <v>24</v>
      </c>
      <c r="E2208" s="7" t="s">
        <v>10</v>
      </c>
      <c r="F2208" s="8"/>
    </row>
    <row r="2209" spans="1:6" ht="12.75">
      <c r="A2209" s="6">
        <v>45632.478929872683</v>
      </c>
      <c r="B2209" s="7" t="s">
        <v>8</v>
      </c>
      <c r="C2209" s="5" t="str">
        <f>LEFT(Form_Responses1[[#This Row],[問１　あなたは何年生ですか。]],3)</f>
        <v>小学校</v>
      </c>
      <c r="D2209" s="7" t="s">
        <v>6</v>
      </c>
      <c r="E2209" s="7" t="s">
        <v>7</v>
      </c>
      <c r="F2209" s="8"/>
    </row>
    <row r="2210" spans="1:6" ht="12.75">
      <c r="A2210" s="6">
        <v>45632.478998206017</v>
      </c>
      <c r="B2210" s="7" t="s">
        <v>8</v>
      </c>
      <c r="C2210" s="5" t="str">
        <f>LEFT(Form_Responses1[[#This Row],[問１　あなたは何年生ですか。]],3)</f>
        <v>小学校</v>
      </c>
      <c r="D2210" s="7" t="s">
        <v>22</v>
      </c>
      <c r="E2210" s="7" t="s">
        <v>7</v>
      </c>
      <c r="F2210" s="8"/>
    </row>
    <row r="2211" spans="1:6" ht="12.75">
      <c r="A2211" s="6">
        <v>45632.479159953698</v>
      </c>
      <c r="B2211" s="7" t="s">
        <v>8</v>
      </c>
      <c r="C2211" s="5" t="str">
        <f>LEFT(Form_Responses1[[#This Row],[問１　あなたは何年生ですか。]],3)</f>
        <v>小学校</v>
      </c>
      <c r="D2211" s="7" t="s">
        <v>24</v>
      </c>
      <c r="E2211" s="7" t="s">
        <v>10</v>
      </c>
      <c r="F2211" s="8"/>
    </row>
    <row r="2212" spans="1:6" ht="12.75">
      <c r="A2212" s="6">
        <v>45632.479257106483</v>
      </c>
      <c r="B2212" s="7" t="s">
        <v>8</v>
      </c>
      <c r="C2212" s="5" t="str">
        <f>LEFT(Form_Responses1[[#This Row],[問１　あなたは何年生ですか。]],3)</f>
        <v>小学校</v>
      </c>
      <c r="D2212" s="7" t="s">
        <v>6</v>
      </c>
      <c r="E2212" s="7" t="s">
        <v>7</v>
      </c>
      <c r="F2212" s="8"/>
    </row>
    <row r="2213" spans="1:6" ht="12.75">
      <c r="A2213" s="6">
        <v>45632.47942481481</v>
      </c>
      <c r="B2213" s="7" t="s">
        <v>8</v>
      </c>
      <c r="C2213" s="5" t="str">
        <f>LEFT(Form_Responses1[[#This Row],[問１　あなたは何年生ですか。]],3)</f>
        <v>小学校</v>
      </c>
      <c r="D2213" s="7" t="s">
        <v>24</v>
      </c>
      <c r="E2213" s="7" t="s">
        <v>10</v>
      </c>
      <c r="F2213" s="8"/>
    </row>
    <row r="2214" spans="1:6" ht="12.75">
      <c r="A2214" s="6">
        <v>45632.479447650461</v>
      </c>
      <c r="B2214" s="7" t="s">
        <v>8</v>
      </c>
      <c r="C2214" s="5" t="str">
        <f>LEFT(Form_Responses1[[#This Row],[問１　あなたは何年生ですか。]],3)</f>
        <v>小学校</v>
      </c>
      <c r="D2214" s="7" t="s">
        <v>6</v>
      </c>
      <c r="E2214" s="7" t="s">
        <v>15</v>
      </c>
      <c r="F2214" s="7" t="s">
        <v>1599</v>
      </c>
    </row>
    <row r="2215" spans="1:6" ht="12.75">
      <c r="A2215" s="6">
        <v>45632.479616354161</v>
      </c>
      <c r="B2215" s="7" t="s">
        <v>8</v>
      </c>
      <c r="C2215" s="5" t="str">
        <f>LEFT(Form_Responses1[[#This Row],[問１　あなたは何年生ですか。]],3)</f>
        <v>小学校</v>
      </c>
      <c r="D2215" s="7" t="s">
        <v>1600</v>
      </c>
      <c r="E2215" s="7" t="s">
        <v>10</v>
      </c>
      <c r="F2215" s="7" t="s">
        <v>52</v>
      </c>
    </row>
    <row r="2216" spans="1:6" ht="12.75">
      <c r="A2216" s="6">
        <v>45632.4800415625</v>
      </c>
      <c r="B2216" s="7" t="s">
        <v>8</v>
      </c>
      <c r="C2216" s="5" t="str">
        <f>LEFT(Form_Responses1[[#This Row],[問１　あなたは何年生ですか。]],3)</f>
        <v>小学校</v>
      </c>
      <c r="D2216" s="7" t="s">
        <v>6</v>
      </c>
      <c r="E2216" s="7" t="s">
        <v>10</v>
      </c>
      <c r="F2216" s="8"/>
    </row>
    <row r="2217" spans="1:6" ht="12.75">
      <c r="A2217" s="6">
        <v>45632.481400173609</v>
      </c>
      <c r="B2217" s="7" t="s">
        <v>21</v>
      </c>
      <c r="C2217" s="5" t="str">
        <f>LEFT(Form_Responses1[[#This Row],[問１　あなたは何年生ですか。]],3)</f>
        <v>小学校</v>
      </c>
      <c r="D2217" s="7" t="s">
        <v>6</v>
      </c>
      <c r="E2217" s="7" t="s">
        <v>10</v>
      </c>
      <c r="F2217" s="7" t="s">
        <v>1601</v>
      </c>
    </row>
    <row r="2218" spans="1:6" ht="12.75">
      <c r="A2218" s="6">
        <v>45632.497182916668</v>
      </c>
      <c r="B2218" s="7" t="s">
        <v>21</v>
      </c>
      <c r="C2218" s="5" t="str">
        <f>LEFT(Form_Responses1[[#This Row],[問１　あなたは何年生ですか。]],3)</f>
        <v>小学校</v>
      </c>
      <c r="D2218" s="7" t="s">
        <v>24</v>
      </c>
      <c r="E2218" s="7" t="s">
        <v>10</v>
      </c>
      <c r="F2218" s="7" t="s">
        <v>1602</v>
      </c>
    </row>
    <row r="2219" spans="1:6" ht="12.75">
      <c r="A2219" s="6">
        <v>45632.497920833332</v>
      </c>
      <c r="B2219" s="7" t="s">
        <v>11</v>
      </c>
      <c r="C2219" s="5" t="str">
        <f>LEFT(Form_Responses1[[#This Row],[問１　あなたは何年生ですか。]],3)</f>
        <v>小学校</v>
      </c>
      <c r="D2219" s="7" t="s">
        <v>24</v>
      </c>
      <c r="E2219" s="7" t="s">
        <v>10</v>
      </c>
      <c r="F2219" s="7" t="s">
        <v>1603</v>
      </c>
    </row>
    <row r="2220" spans="1:6" ht="12.75">
      <c r="A2220" s="6">
        <v>45632.498210821759</v>
      </c>
      <c r="B2220" s="7" t="s">
        <v>11</v>
      </c>
      <c r="C2220" s="5" t="str">
        <f>LEFT(Form_Responses1[[#This Row],[問１　あなたは何年生ですか。]],3)</f>
        <v>小学校</v>
      </c>
      <c r="D2220" s="7" t="s">
        <v>24</v>
      </c>
      <c r="E2220" s="7" t="s">
        <v>10</v>
      </c>
      <c r="F2220" s="7" t="s">
        <v>1604</v>
      </c>
    </row>
    <row r="2221" spans="1:6" ht="12.75">
      <c r="A2221" s="6">
        <v>45632.498418379633</v>
      </c>
      <c r="B2221" s="7" t="s">
        <v>11</v>
      </c>
      <c r="C2221" s="5" t="str">
        <f>LEFT(Form_Responses1[[#This Row],[問１　あなたは何年生ですか。]],3)</f>
        <v>小学校</v>
      </c>
      <c r="D2221" s="7" t="s">
        <v>30</v>
      </c>
      <c r="E2221" s="7" t="s">
        <v>15</v>
      </c>
      <c r="F2221" s="7" t="s">
        <v>1605</v>
      </c>
    </row>
    <row r="2222" spans="1:6" ht="12.75">
      <c r="A2222" s="6">
        <v>45632.498439652773</v>
      </c>
      <c r="B2222" s="7" t="s">
        <v>11</v>
      </c>
      <c r="C2222" s="5" t="str">
        <f>LEFT(Form_Responses1[[#This Row],[問１　あなたは何年生ですか。]],3)</f>
        <v>小学校</v>
      </c>
      <c r="D2222" s="7" t="s">
        <v>6</v>
      </c>
      <c r="E2222" s="7" t="s">
        <v>7</v>
      </c>
      <c r="F2222" s="7" t="s">
        <v>1606</v>
      </c>
    </row>
    <row r="2223" spans="1:6" ht="12.75">
      <c r="A2223" s="6">
        <v>45632.49845515046</v>
      </c>
      <c r="B2223" s="7" t="s">
        <v>11</v>
      </c>
      <c r="C2223" s="5" t="str">
        <f>LEFT(Form_Responses1[[#This Row],[問１　あなたは何年生ですか。]],3)</f>
        <v>小学校</v>
      </c>
      <c r="D2223" s="7" t="s">
        <v>6</v>
      </c>
      <c r="E2223" s="7" t="s">
        <v>10</v>
      </c>
      <c r="F2223" s="7" t="s">
        <v>1607</v>
      </c>
    </row>
    <row r="2224" spans="1:6" ht="12.75">
      <c r="A2224" s="6">
        <v>45632.49868719907</v>
      </c>
      <c r="B2224" s="7" t="s">
        <v>11</v>
      </c>
      <c r="C2224" s="5" t="str">
        <f>LEFT(Form_Responses1[[#This Row],[問１　あなたは何年生ですか。]],3)</f>
        <v>小学校</v>
      </c>
      <c r="D2224" s="7" t="s">
        <v>6</v>
      </c>
      <c r="E2224" s="7" t="s">
        <v>10</v>
      </c>
      <c r="F2224" s="7" t="s">
        <v>1608</v>
      </c>
    </row>
    <row r="2225" spans="1:6" ht="12.75">
      <c r="A2225" s="6">
        <v>45632.498714652778</v>
      </c>
      <c r="B2225" s="7" t="s">
        <v>11</v>
      </c>
      <c r="C2225" s="5" t="str">
        <f>LEFT(Form_Responses1[[#This Row],[問１　あなたは何年生ですか。]],3)</f>
        <v>小学校</v>
      </c>
      <c r="D2225" s="7" t="s">
        <v>6</v>
      </c>
      <c r="E2225" s="7" t="s">
        <v>10</v>
      </c>
      <c r="F2225" s="7" t="s">
        <v>239</v>
      </c>
    </row>
    <row r="2226" spans="1:6" ht="12.75">
      <c r="A2226" s="6">
        <v>45632.498941041667</v>
      </c>
      <c r="B2226" s="7" t="s">
        <v>11</v>
      </c>
      <c r="C2226" s="5" t="str">
        <f>LEFT(Form_Responses1[[#This Row],[問１　あなたは何年生ですか。]],3)</f>
        <v>小学校</v>
      </c>
      <c r="D2226" s="7" t="s">
        <v>6</v>
      </c>
      <c r="E2226" s="7" t="s">
        <v>7</v>
      </c>
      <c r="F2226" s="7" t="s">
        <v>52</v>
      </c>
    </row>
    <row r="2227" spans="1:6" ht="12.75">
      <c r="A2227" s="6">
        <v>45632.498941898149</v>
      </c>
      <c r="B2227" s="7" t="s">
        <v>11</v>
      </c>
      <c r="C2227" s="5" t="str">
        <f>LEFT(Form_Responses1[[#This Row],[問１　あなたは何年生ですか。]],3)</f>
        <v>小学校</v>
      </c>
      <c r="D2227" s="7" t="s">
        <v>17</v>
      </c>
      <c r="E2227" s="7" t="s">
        <v>10</v>
      </c>
      <c r="F2227" s="7" t="s">
        <v>1609</v>
      </c>
    </row>
    <row r="2228" spans="1:6" ht="12.75">
      <c r="A2228" s="6">
        <v>45632.499019664348</v>
      </c>
      <c r="B2228" s="7" t="s">
        <v>11</v>
      </c>
      <c r="C2228" s="5" t="str">
        <f>LEFT(Form_Responses1[[#This Row],[問１　あなたは何年生ですか。]],3)</f>
        <v>小学校</v>
      </c>
      <c r="D2228" s="7" t="s">
        <v>19</v>
      </c>
      <c r="E2228" s="7" t="s">
        <v>10</v>
      </c>
      <c r="F2228" s="7" t="s">
        <v>1610</v>
      </c>
    </row>
    <row r="2229" spans="1:6" ht="12.75">
      <c r="A2229" s="6">
        <v>45632.499019918978</v>
      </c>
      <c r="B2229" s="7" t="s">
        <v>11</v>
      </c>
      <c r="C2229" s="5" t="str">
        <f>LEFT(Form_Responses1[[#This Row],[問１　あなたは何年生ですか。]],3)</f>
        <v>小学校</v>
      </c>
      <c r="D2229" s="7" t="s">
        <v>17</v>
      </c>
      <c r="E2229" s="7" t="s">
        <v>7</v>
      </c>
      <c r="F2229" s="7" t="s">
        <v>1611</v>
      </c>
    </row>
    <row r="2230" spans="1:6" ht="12.75">
      <c r="A2230" s="6">
        <v>45632.499030370367</v>
      </c>
      <c r="B2230" s="7" t="s">
        <v>11</v>
      </c>
      <c r="C2230" s="5" t="str">
        <f>LEFT(Form_Responses1[[#This Row],[問１　あなたは何年生ですか。]],3)</f>
        <v>小学校</v>
      </c>
      <c r="D2230" s="7" t="s">
        <v>30</v>
      </c>
      <c r="E2230" s="7" t="s">
        <v>10</v>
      </c>
      <c r="F2230" s="7" t="s">
        <v>1612</v>
      </c>
    </row>
    <row r="2231" spans="1:6" ht="12.75">
      <c r="A2231" s="6">
        <v>45632.499066331016</v>
      </c>
      <c r="B2231" s="7" t="s">
        <v>11</v>
      </c>
      <c r="C2231" s="5" t="str">
        <f>LEFT(Form_Responses1[[#This Row],[問１　あなたは何年生ですか。]],3)</f>
        <v>小学校</v>
      </c>
      <c r="D2231" s="7" t="s">
        <v>6</v>
      </c>
      <c r="E2231" s="7" t="s">
        <v>10</v>
      </c>
      <c r="F2231" s="7" t="s">
        <v>1613</v>
      </c>
    </row>
    <row r="2232" spans="1:6" ht="12.75">
      <c r="A2232" s="6">
        <v>45632.499208391208</v>
      </c>
      <c r="B2232" s="7" t="s">
        <v>11</v>
      </c>
      <c r="C2232" s="5" t="str">
        <f>LEFT(Form_Responses1[[#This Row],[問１　あなたは何年生ですか。]],3)</f>
        <v>小学校</v>
      </c>
      <c r="D2232" s="7" t="s">
        <v>1614</v>
      </c>
      <c r="E2232" s="7" t="s">
        <v>15</v>
      </c>
      <c r="F2232" s="7" t="s">
        <v>1615</v>
      </c>
    </row>
    <row r="2233" spans="1:6" ht="12.75">
      <c r="A2233" s="6">
        <v>45632.499230543981</v>
      </c>
      <c r="B2233" s="7" t="s">
        <v>11</v>
      </c>
      <c r="C2233" s="5" t="str">
        <f>LEFT(Form_Responses1[[#This Row],[問１　あなたは何年生ですか。]],3)</f>
        <v>小学校</v>
      </c>
      <c r="D2233" s="7" t="s">
        <v>6</v>
      </c>
      <c r="E2233" s="7" t="s">
        <v>7</v>
      </c>
      <c r="F2233" s="8"/>
    </row>
    <row r="2234" spans="1:6" ht="12.75">
      <c r="A2234" s="6">
        <v>45632.499256585652</v>
      </c>
      <c r="B2234" s="7" t="s">
        <v>11</v>
      </c>
      <c r="C2234" s="5" t="str">
        <f>LEFT(Form_Responses1[[#This Row],[問１　あなたは何年生ですか。]],3)</f>
        <v>小学校</v>
      </c>
      <c r="D2234" s="7" t="s">
        <v>24</v>
      </c>
      <c r="E2234" s="7" t="s">
        <v>10</v>
      </c>
      <c r="F2234" s="7" t="s">
        <v>1616</v>
      </c>
    </row>
    <row r="2235" spans="1:6" ht="12.75">
      <c r="A2235" s="6">
        <v>45632.499407430558</v>
      </c>
      <c r="B2235" s="7" t="s">
        <v>11</v>
      </c>
      <c r="C2235" s="5" t="str">
        <f>LEFT(Form_Responses1[[#This Row],[問１　あなたは何年生ですか。]],3)</f>
        <v>小学校</v>
      </c>
      <c r="D2235" s="7" t="s">
        <v>6</v>
      </c>
      <c r="E2235" s="7" t="s">
        <v>10</v>
      </c>
      <c r="F2235" s="7" t="s">
        <v>157</v>
      </c>
    </row>
    <row r="2236" spans="1:6" ht="12.75">
      <c r="A2236" s="6">
        <v>45632.499443078705</v>
      </c>
      <c r="B2236" s="7" t="s">
        <v>11</v>
      </c>
      <c r="C2236" s="5" t="str">
        <f>LEFT(Form_Responses1[[#This Row],[問１　あなたは何年生ですか。]],3)</f>
        <v>小学校</v>
      </c>
      <c r="D2236" s="7" t="s">
        <v>19</v>
      </c>
      <c r="E2236" s="7" t="s">
        <v>7</v>
      </c>
      <c r="F2236" s="7" t="s">
        <v>271</v>
      </c>
    </row>
    <row r="2237" spans="1:6" ht="12.75">
      <c r="A2237" s="6">
        <v>45632.499804421299</v>
      </c>
      <c r="B2237" s="7" t="s">
        <v>11</v>
      </c>
      <c r="C2237" s="5" t="str">
        <f>LEFT(Form_Responses1[[#This Row],[問１　あなたは何年生ですか。]],3)</f>
        <v>小学校</v>
      </c>
      <c r="D2237" s="7" t="s">
        <v>9</v>
      </c>
      <c r="E2237" s="7" t="s">
        <v>10</v>
      </c>
      <c r="F2237" s="7" t="s">
        <v>271</v>
      </c>
    </row>
    <row r="2238" spans="1:6" ht="12.75">
      <c r="A2238" s="6">
        <v>45632.499913217587</v>
      </c>
      <c r="B2238" s="7" t="s">
        <v>11</v>
      </c>
      <c r="C2238" s="5" t="str">
        <f>LEFT(Form_Responses1[[#This Row],[問１　あなたは何年生ですか。]],3)</f>
        <v>小学校</v>
      </c>
      <c r="D2238" s="7" t="s">
        <v>6</v>
      </c>
      <c r="E2238" s="7" t="s">
        <v>7</v>
      </c>
      <c r="F2238" s="8"/>
    </row>
    <row r="2239" spans="1:6" ht="12.75">
      <c r="A2239" s="6">
        <v>45632.500003506946</v>
      </c>
      <c r="B2239" s="7" t="s">
        <v>11</v>
      </c>
      <c r="C2239" s="5" t="str">
        <f>LEFT(Form_Responses1[[#This Row],[問１　あなたは何年生ですか。]],3)</f>
        <v>小学校</v>
      </c>
      <c r="D2239" s="7" t="s">
        <v>30</v>
      </c>
      <c r="E2239" s="7" t="s">
        <v>10</v>
      </c>
      <c r="F2239" s="7" t="s">
        <v>1617</v>
      </c>
    </row>
    <row r="2240" spans="1:6" ht="12.75">
      <c r="A2240" s="6">
        <v>45632.500205243057</v>
      </c>
      <c r="B2240" s="7" t="s">
        <v>11</v>
      </c>
      <c r="C2240" s="5" t="str">
        <f>LEFT(Form_Responses1[[#This Row],[問１　あなたは何年生ですか。]],3)</f>
        <v>小学校</v>
      </c>
      <c r="D2240" s="7" t="s">
        <v>19</v>
      </c>
      <c r="E2240" s="7" t="s">
        <v>7</v>
      </c>
      <c r="F2240" s="7" t="s">
        <v>1618</v>
      </c>
    </row>
    <row r="2241" spans="1:6" ht="12.75">
      <c r="A2241" s="6">
        <v>45632.500209768521</v>
      </c>
      <c r="B2241" s="7" t="s">
        <v>11</v>
      </c>
      <c r="C2241" s="5" t="str">
        <f>LEFT(Form_Responses1[[#This Row],[問１　あなたは何年生ですか。]],3)</f>
        <v>小学校</v>
      </c>
      <c r="D2241" s="7" t="s">
        <v>30</v>
      </c>
      <c r="E2241" s="7" t="s">
        <v>10</v>
      </c>
      <c r="F2241" s="7" t="s">
        <v>1619</v>
      </c>
    </row>
    <row r="2242" spans="1:6" ht="12.75">
      <c r="A2242" s="6">
        <v>45632.500347395835</v>
      </c>
      <c r="B2242" s="7" t="s">
        <v>11</v>
      </c>
      <c r="C2242" s="5" t="str">
        <f>LEFT(Form_Responses1[[#This Row],[問１　あなたは何年生ですか。]],3)</f>
        <v>小学校</v>
      </c>
      <c r="D2242" s="7" t="s">
        <v>6</v>
      </c>
      <c r="E2242" s="7" t="s">
        <v>7</v>
      </c>
      <c r="F2242" s="7" t="s">
        <v>1620</v>
      </c>
    </row>
    <row r="2243" spans="1:6" ht="12.75">
      <c r="A2243" s="6">
        <v>45632.584412118056</v>
      </c>
      <c r="B2243" s="7" t="s">
        <v>8</v>
      </c>
      <c r="C2243" s="5" t="str">
        <f>LEFT(Form_Responses1[[#This Row],[問１　あなたは何年生ですか。]],3)</f>
        <v>小学校</v>
      </c>
      <c r="D2243" s="7" t="s">
        <v>6</v>
      </c>
      <c r="E2243" s="7" t="s">
        <v>10</v>
      </c>
      <c r="F2243" s="8"/>
    </row>
    <row r="2244" spans="1:6" ht="12.75">
      <c r="A2244" s="6">
        <v>45632.595954502314</v>
      </c>
      <c r="B2244" s="7" t="s">
        <v>21</v>
      </c>
      <c r="C2244" s="5" t="str">
        <f>LEFT(Form_Responses1[[#This Row],[問１　あなたは何年生ですか。]],3)</f>
        <v>小学校</v>
      </c>
      <c r="D2244" s="7" t="s">
        <v>6</v>
      </c>
      <c r="E2244" s="7" t="s">
        <v>15</v>
      </c>
      <c r="F2244" s="8"/>
    </row>
    <row r="2245" spans="1:6" ht="12.75">
      <c r="A2245" s="6">
        <v>45632.596675011577</v>
      </c>
      <c r="B2245" s="7" t="s">
        <v>21</v>
      </c>
      <c r="C2245" s="5" t="str">
        <f>LEFT(Form_Responses1[[#This Row],[問１　あなたは何年生ですか。]],3)</f>
        <v>小学校</v>
      </c>
      <c r="D2245" s="7" t="s">
        <v>6</v>
      </c>
      <c r="E2245" s="7" t="s">
        <v>10</v>
      </c>
      <c r="F2245" s="7" t="s">
        <v>1621</v>
      </c>
    </row>
    <row r="2246" spans="1:6" ht="12.75">
      <c r="A2246" s="6">
        <v>45632.596793263889</v>
      </c>
      <c r="B2246" s="7" t="s">
        <v>21</v>
      </c>
      <c r="C2246" s="5" t="str">
        <f>LEFT(Form_Responses1[[#This Row],[問１　あなたは何年生ですか。]],3)</f>
        <v>小学校</v>
      </c>
      <c r="D2246" s="7" t="s">
        <v>6</v>
      </c>
      <c r="E2246" s="7" t="s">
        <v>10</v>
      </c>
      <c r="F2246" s="8"/>
    </row>
    <row r="2247" spans="1:6" ht="12.75">
      <c r="A2247" s="6">
        <v>45632.596972407409</v>
      </c>
      <c r="B2247" s="7" t="s">
        <v>21</v>
      </c>
      <c r="C2247" s="5" t="str">
        <f>LEFT(Form_Responses1[[#This Row],[問１　あなたは何年生ですか。]],3)</f>
        <v>小学校</v>
      </c>
      <c r="D2247" s="7" t="s">
        <v>12</v>
      </c>
      <c r="E2247" s="7" t="s">
        <v>10</v>
      </c>
      <c r="F2247" s="8"/>
    </row>
    <row r="2248" spans="1:6" ht="12.75">
      <c r="A2248" s="6">
        <v>45632.597113391203</v>
      </c>
      <c r="B2248" s="7" t="s">
        <v>21</v>
      </c>
      <c r="C2248" s="5" t="str">
        <f>LEFT(Form_Responses1[[#This Row],[問１　あなたは何年生ですか。]],3)</f>
        <v>小学校</v>
      </c>
      <c r="D2248" s="7" t="s">
        <v>6</v>
      </c>
      <c r="E2248" s="7" t="s">
        <v>10</v>
      </c>
      <c r="F2248" s="8"/>
    </row>
    <row r="2249" spans="1:6" ht="12.75">
      <c r="A2249" s="6">
        <v>45632.597329965276</v>
      </c>
      <c r="B2249" s="7" t="s">
        <v>21</v>
      </c>
      <c r="C2249" s="5" t="str">
        <f>LEFT(Form_Responses1[[#This Row],[問１　あなたは何年生ですか。]],3)</f>
        <v>小学校</v>
      </c>
      <c r="D2249" s="7" t="s">
        <v>9</v>
      </c>
      <c r="E2249" s="7" t="s">
        <v>7</v>
      </c>
      <c r="F2249" s="8"/>
    </row>
    <row r="2250" spans="1:6" ht="12.75">
      <c r="A2250" s="6">
        <v>45632.597341030094</v>
      </c>
      <c r="B2250" s="7" t="s">
        <v>21</v>
      </c>
      <c r="C2250" s="5" t="str">
        <f>LEFT(Form_Responses1[[#This Row],[問１　あなたは何年生ですか。]],3)</f>
        <v>小学校</v>
      </c>
      <c r="D2250" s="7" t="s">
        <v>6</v>
      </c>
      <c r="E2250" s="7" t="s">
        <v>10</v>
      </c>
      <c r="F2250" s="8"/>
    </row>
    <row r="2251" spans="1:6" ht="12.75">
      <c r="A2251" s="6">
        <v>45632.597420254635</v>
      </c>
      <c r="B2251" s="7" t="s">
        <v>21</v>
      </c>
      <c r="C2251" s="5" t="str">
        <f>LEFT(Form_Responses1[[#This Row],[問１　あなたは何年生ですか。]],3)</f>
        <v>小学校</v>
      </c>
      <c r="D2251" s="7" t="s">
        <v>6</v>
      </c>
      <c r="E2251" s="7" t="s">
        <v>10</v>
      </c>
      <c r="F2251" s="8"/>
    </row>
    <row r="2252" spans="1:6" ht="12.75">
      <c r="A2252" s="6">
        <v>45632.597544664357</v>
      </c>
      <c r="B2252" s="7" t="s">
        <v>21</v>
      </c>
      <c r="C2252" s="5" t="str">
        <f>LEFT(Form_Responses1[[#This Row],[問１　あなたは何年生ですか。]],3)</f>
        <v>小学校</v>
      </c>
      <c r="D2252" s="7" t="s">
        <v>24</v>
      </c>
      <c r="E2252" s="7" t="s">
        <v>10</v>
      </c>
      <c r="F2252" s="8"/>
    </row>
    <row r="2253" spans="1:6" ht="12.75">
      <c r="A2253" s="6">
        <v>45632.597708726855</v>
      </c>
      <c r="B2253" s="7" t="s">
        <v>21</v>
      </c>
      <c r="C2253" s="5" t="str">
        <f>LEFT(Form_Responses1[[#This Row],[問１　あなたは何年生ですか。]],3)</f>
        <v>小学校</v>
      </c>
      <c r="D2253" s="7" t="s">
        <v>24</v>
      </c>
      <c r="E2253" s="7" t="s">
        <v>7</v>
      </c>
      <c r="F2253" s="8"/>
    </row>
    <row r="2254" spans="1:6" ht="12.75">
      <c r="A2254" s="6">
        <v>45632.598092743057</v>
      </c>
      <c r="B2254" s="7" t="s">
        <v>21</v>
      </c>
      <c r="C2254" s="5" t="str">
        <f>LEFT(Form_Responses1[[#This Row],[問１　あなたは何年生ですか。]],3)</f>
        <v>小学校</v>
      </c>
      <c r="D2254" s="7" t="s">
        <v>24</v>
      </c>
      <c r="E2254" s="7" t="s">
        <v>10</v>
      </c>
      <c r="F2254" s="8"/>
    </row>
    <row r="2255" spans="1:6" ht="12.75">
      <c r="A2255" s="6">
        <v>45632.59835064815</v>
      </c>
      <c r="B2255" s="7" t="s">
        <v>21</v>
      </c>
      <c r="C2255" s="5" t="str">
        <f>LEFT(Form_Responses1[[#This Row],[問１　あなたは何年生ですか。]],3)</f>
        <v>小学校</v>
      </c>
      <c r="D2255" s="7" t="s">
        <v>14</v>
      </c>
      <c r="E2255" s="7" t="s">
        <v>7</v>
      </c>
      <c r="F2255" s="8"/>
    </row>
    <row r="2256" spans="1:6" ht="12.75">
      <c r="A2256" s="6">
        <v>45632.598486145835</v>
      </c>
      <c r="B2256" s="7" t="s">
        <v>21</v>
      </c>
      <c r="C2256" s="5" t="str">
        <f>LEFT(Form_Responses1[[#This Row],[問１　あなたは何年生ですか。]],3)</f>
        <v>小学校</v>
      </c>
      <c r="D2256" s="7" t="s">
        <v>9</v>
      </c>
      <c r="E2256" s="7" t="s">
        <v>10</v>
      </c>
      <c r="F2256" s="8"/>
    </row>
    <row r="2257" spans="1:6" ht="12.75">
      <c r="A2257" s="6">
        <v>45632.598601226855</v>
      </c>
      <c r="B2257" s="7" t="s">
        <v>21</v>
      </c>
      <c r="C2257" s="5" t="str">
        <f>LEFT(Form_Responses1[[#This Row],[問１　あなたは何年生ですか。]],3)</f>
        <v>小学校</v>
      </c>
      <c r="D2257" s="7" t="s">
        <v>24</v>
      </c>
      <c r="E2257" s="7" t="s">
        <v>7</v>
      </c>
      <c r="F2257" s="8"/>
    </row>
    <row r="2258" spans="1:6" ht="12.75">
      <c r="A2258" s="6">
        <v>45632.598625810184</v>
      </c>
      <c r="B2258" s="7" t="s">
        <v>21</v>
      </c>
      <c r="C2258" s="5" t="str">
        <f>LEFT(Form_Responses1[[#This Row],[問１　あなたは何年生ですか。]],3)</f>
        <v>小学校</v>
      </c>
      <c r="D2258" s="7" t="s">
        <v>24</v>
      </c>
      <c r="E2258" s="7" t="s">
        <v>10</v>
      </c>
      <c r="F2258" s="8"/>
    </row>
    <row r="2259" spans="1:6" ht="12.75">
      <c r="A2259" s="6">
        <v>45632.598805081019</v>
      </c>
      <c r="B2259" s="7" t="s">
        <v>21</v>
      </c>
      <c r="C2259" s="5" t="str">
        <f>LEFT(Form_Responses1[[#This Row],[問１　あなたは何年生ですか。]],3)</f>
        <v>小学校</v>
      </c>
      <c r="D2259" s="7" t="s">
        <v>6</v>
      </c>
      <c r="E2259" s="7" t="s">
        <v>10</v>
      </c>
      <c r="F2259" s="8"/>
    </row>
    <row r="2260" spans="1:6" ht="12.75">
      <c r="A2260" s="6">
        <v>45632.598953379631</v>
      </c>
      <c r="B2260" s="7" t="s">
        <v>21</v>
      </c>
      <c r="C2260" s="5" t="str">
        <f>LEFT(Form_Responses1[[#This Row],[問１　あなたは何年生ですか。]],3)</f>
        <v>小学校</v>
      </c>
      <c r="D2260" s="7" t="s">
        <v>24</v>
      </c>
      <c r="E2260" s="7" t="s">
        <v>10</v>
      </c>
      <c r="F2260" s="8"/>
    </row>
    <row r="2261" spans="1:6" ht="12.75">
      <c r="A2261" s="6">
        <v>45632.599074062498</v>
      </c>
      <c r="B2261" s="7" t="s">
        <v>21</v>
      </c>
      <c r="C2261" s="5" t="str">
        <f>LEFT(Form_Responses1[[#This Row],[問１　あなたは何年生ですか。]],3)</f>
        <v>小学校</v>
      </c>
      <c r="D2261" s="7" t="s">
        <v>9</v>
      </c>
      <c r="E2261" s="7" t="s">
        <v>10</v>
      </c>
      <c r="F2261" s="8"/>
    </row>
    <row r="2262" spans="1:6" ht="12.75">
      <c r="A2262" s="6">
        <v>45632.599149907408</v>
      </c>
      <c r="B2262" s="7" t="s">
        <v>21</v>
      </c>
      <c r="C2262" s="5" t="str">
        <f>LEFT(Form_Responses1[[#This Row],[問１　あなたは何年生ですか。]],3)</f>
        <v>小学校</v>
      </c>
      <c r="D2262" s="7" t="s">
        <v>6</v>
      </c>
      <c r="E2262" s="7" t="s">
        <v>10</v>
      </c>
      <c r="F2262" s="8"/>
    </row>
    <row r="2263" spans="1:6" ht="12.75">
      <c r="A2263" s="6">
        <v>45632.599503854166</v>
      </c>
      <c r="B2263" s="7" t="s">
        <v>21</v>
      </c>
      <c r="C2263" s="5" t="str">
        <f>LEFT(Form_Responses1[[#This Row],[問１　あなたは何年生ですか。]],3)</f>
        <v>小学校</v>
      </c>
      <c r="D2263" s="7" t="s">
        <v>14</v>
      </c>
      <c r="E2263" s="7" t="s">
        <v>10</v>
      </c>
      <c r="F2263" s="8"/>
    </row>
    <row r="2264" spans="1:6" ht="12.75">
      <c r="A2264" s="6">
        <v>45632.599724849541</v>
      </c>
      <c r="B2264" s="7" t="s">
        <v>21</v>
      </c>
      <c r="C2264" s="5" t="str">
        <f>LEFT(Form_Responses1[[#This Row],[問１　あなたは何年生ですか。]],3)</f>
        <v>小学校</v>
      </c>
      <c r="D2264" s="7" t="s">
        <v>6</v>
      </c>
      <c r="E2264" s="7" t="s">
        <v>7</v>
      </c>
      <c r="F2264" s="8"/>
    </row>
    <row r="2265" spans="1:6" ht="12.75">
      <c r="A2265" s="6">
        <v>45632.599878298613</v>
      </c>
      <c r="B2265" s="7" t="s">
        <v>21</v>
      </c>
      <c r="C2265" s="5" t="str">
        <f>LEFT(Form_Responses1[[#This Row],[問１　あなたは何年生ですか。]],3)</f>
        <v>小学校</v>
      </c>
      <c r="D2265" s="7" t="s">
        <v>6</v>
      </c>
      <c r="E2265" s="7" t="s">
        <v>10</v>
      </c>
      <c r="F2265" s="8"/>
    </row>
    <row r="2266" spans="1:6" ht="12.75">
      <c r="A2266" s="6">
        <v>45632.59993222222</v>
      </c>
      <c r="B2266" s="7" t="s">
        <v>21</v>
      </c>
      <c r="C2266" s="5" t="str">
        <f>LEFT(Form_Responses1[[#This Row],[問１　あなたは何年生ですか。]],3)</f>
        <v>小学校</v>
      </c>
      <c r="D2266" s="7" t="s">
        <v>6</v>
      </c>
      <c r="E2266" s="7" t="s">
        <v>7</v>
      </c>
      <c r="F2266" s="8"/>
    </row>
    <row r="2267" spans="1:6" ht="12.75">
      <c r="A2267" s="6">
        <v>45632.599984965273</v>
      </c>
      <c r="B2267" s="7" t="s">
        <v>21</v>
      </c>
      <c r="C2267" s="5" t="str">
        <f>LEFT(Form_Responses1[[#This Row],[問１　あなたは何年生ですか。]],3)</f>
        <v>小学校</v>
      </c>
      <c r="D2267" s="7" t="s">
        <v>6</v>
      </c>
      <c r="E2267" s="7" t="s">
        <v>10</v>
      </c>
      <c r="F2267" s="8"/>
    </row>
    <row r="2268" spans="1:6" ht="12.75">
      <c r="A2268" s="6">
        <v>45632.6006944213</v>
      </c>
      <c r="B2268" s="7" t="s">
        <v>21</v>
      </c>
      <c r="C2268" s="5" t="str">
        <f>LEFT(Form_Responses1[[#This Row],[問１　あなたは何年生ですか。]],3)</f>
        <v>小学校</v>
      </c>
      <c r="D2268" s="7" t="s">
        <v>6</v>
      </c>
      <c r="E2268" s="7" t="s">
        <v>10</v>
      </c>
      <c r="F2268" s="7" t="s">
        <v>1622</v>
      </c>
    </row>
    <row r="2269" spans="1:6" ht="12.75">
      <c r="A2269" s="6">
        <v>45632.600715127315</v>
      </c>
      <c r="B2269" s="7" t="s">
        <v>21</v>
      </c>
      <c r="C2269" s="5" t="str">
        <f>LEFT(Form_Responses1[[#This Row],[問１　あなたは何年生ですか。]],3)</f>
        <v>小学校</v>
      </c>
      <c r="D2269" s="7" t="s">
        <v>12</v>
      </c>
      <c r="E2269" s="7" t="s">
        <v>10</v>
      </c>
      <c r="F2269" s="8"/>
    </row>
    <row r="2270" spans="1:6" ht="12.75">
      <c r="A2270" s="6">
        <v>45632.600937662035</v>
      </c>
      <c r="B2270" s="7" t="s">
        <v>21</v>
      </c>
      <c r="C2270" s="5" t="str">
        <f>LEFT(Form_Responses1[[#This Row],[問１　あなたは何年生ですか。]],3)</f>
        <v>小学校</v>
      </c>
      <c r="D2270" s="7" t="s">
        <v>6</v>
      </c>
      <c r="E2270" s="7" t="s">
        <v>67</v>
      </c>
      <c r="F2270" s="8"/>
    </row>
    <row r="2271" spans="1:6" ht="12.75">
      <c r="A2271" s="6">
        <v>45632.60123832176</v>
      </c>
      <c r="B2271" s="7" t="s">
        <v>21</v>
      </c>
      <c r="C2271" s="5" t="str">
        <f>LEFT(Form_Responses1[[#This Row],[問１　あなたは何年生ですか。]],3)</f>
        <v>小学校</v>
      </c>
      <c r="D2271" s="7" t="s">
        <v>6</v>
      </c>
      <c r="E2271" s="7" t="s">
        <v>7</v>
      </c>
      <c r="F2271" s="8"/>
    </row>
    <row r="2272" spans="1:6" ht="12.75">
      <c r="A2272" s="6">
        <v>45632.60220306713</v>
      </c>
      <c r="B2272" s="7" t="s">
        <v>21</v>
      </c>
      <c r="C2272" s="5" t="str">
        <f>LEFT(Form_Responses1[[#This Row],[問１　あなたは何年生ですか。]],3)</f>
        <v>小学校</v>
      </c>
      <c r="D2272" s="7" t="s">
        <v>14</v>
      </c>
      <c r="E2272" s="7" t="s">
        <v>67</v>
      </c>
      <c r="F2272" s="8"/>
    </row>
    <row r="2273" spans="1:6" ht="12.75">
      <c r="A2273" s="6">
        <v>45632.602626388893</v>
      </c>
      <c r="B2273" s="7" t="s">
        <v>21</v>
      </c>
      <c r="C2273" s="5" t="str">
        <f>LEFT(Form_Responses1[[#This Row],[問１　あなたは何年生ですか。]],3)</f>
        <v>小学校</v>
      </c>
      <c r="D2273" s="7" t="s">
        <v>24</v>
      </c>
      <c r="E2273" s="7" t="s">
        <v>10</v>
      </c>
      <c r="F2273" s="8"/>
    </row>
    <row r="2274" spans="1:6" ht="12.75">
      <c r="A2274" s="6">
        <v>45635.333486296295</v>
      </c>
      <c r="B2274" s="7" t="s">
        <v>11</v>
      </c>
      <c r="C2274" s="5" t="str">
        <f>LEFT(Form_Responses1[[#This Row],[問１　あなたは何年生ですか。]],3)</f>
        <v>小学校</v>
      </c>
      <c r="D2274" s="7" t="s">
        <v>24</v>
      </c>
      <c r="E2274" s="7" t="s">
        <v>10</v>
      </c>
      <c r="F2274" s="7" t="s">
        <v>1623</v>
      </c>
    </row>
    <row r="2275" spans="1:6" ht="12.75">
      <c r="A2275" s="6">
        <v>45635.371602708328</v>
      </c>
      <c r="B2275" s="7" t="s">
        <v>11</v>
      </c>
      <c r="C2275" s="5" t="str">
        <f>LEFT(Form_Responses1[[#This Row],[問１　あなたは何年生ですか。]],3)</f>
        <v>小学校</v>
      </c>
      <c r="D2275" s="7" t="s">
        <v>6</v>
      </c>
      <c r="E2275" s="7" t="s">
        <v>10</v>
      </c>
      <c r="F2275" s="7" t="s">
        <v>460</v>
      </c>
    </row>
    <row r="2276" spans="1:6" ht="12.75">
      <c r="A2276" s="6">
        <v>45635.37215505787</v>
      </c>
      <c r="B2276" s="7" t="s">
        <v>8</v>
      </c>
      <c r="C2276" s="5" t="str">
        <f>LEFT(Form_Responses1[[#This Row],[問１　あなたは何年生ですか。]],3)</f>
        <v>小学校</v>
      </c>
      <c r="D2276" s="7" t="s">
        <v>6</v>
      </c>
      <c r="E2276" s="7" t="s">
        <v>10</v>
      </c>
      <c r="F2276" s="8"/>
    </row>
    <row r="2277" spans="1:6" ht="12.75">
      <c r="A2277" s="6">
        <v>45635.372551655091</v>
      </c>
      <c r="B2277" s="7" t="s">
        <v>8</v>
      </c>
      <c r="C2277" s="5" t="str">
        <f>LEFT(Form_Responses1[[#This Row],[問１　あなたは何年生ですか。]],3)</f>
        <v>小学校</v>
      </c>
      <c r="D2277" s="7" t="s">
        <v>9</v>
      </c>
      <c r="E2277" s="7" t="s">
        <v>10</v>
      </c>
      <c r="F2277" s="7" t="s">
        <v>52</v>
      </c>
    </row>
    <row r="2278" spans="1:6" ht="12.75">
      <c r="A2278" s="6">
        <v>45635.372613611107</v>
      </c>
      <c r="B2278" s="7" t="s">
        <v>8</v>
      </c>
      <c r="C2278" s="5" t="str">
        <f>LEFT(Form_Responses1[[#This Row],[問１　あなたは何年生ですか。]],3)</f>
        <v>小学校</v>
      </c>
      <c r="D2278" s="7" t="s">
        <v>6</v>
      </c>
      <c r="E2278" s="7" t="s">
        <v>10</v>
      </c>
      <c r="F2278" s="7" t="s">
        <v>244</v>
      </c>
    </row>
    <row r="2279" spans="1:6" ht="12.75">
      <c r="A2279" s="6">
        <v>45635.372721053238</v>
      </c>
      <c r="B2279" s="7" t="s">
        <v>8</v>
      </c>
      <c r="C2279" s="5" t="str">
        <f>LEFT(Form_Responses1[[#This Row],[問１　あなたは何年生ですか。]],3)</f>
        <v>小学校</v>
      </c>
      <c r="D2279" s="7" t="s">
        <v>6</v>
      </c>
      <c r="E2279" s="7" t="s">
        <v>10</v>
      </c>
      <c r="F2279" s="7" t="s">
        <v>1624</v>
      </c>
    </row>
    <row r="2280" spans="1:6" ht="12.75">
      <c r="A2280" s="6">
        <v>45635.372950717589</v>
      </c>
      <c r="B2280" s="7" t="s">
        <v>8</v>
      </c>
      <c r="C2280" s="5" t="str">
        <f>LEFT(Form_Responses1[[#This Row],[問１　あなたは何年生ですか。]],3)</f>
        <v>小学校</v>
      </c>
      <c r="D2280" s="7" t="s">
        <v>6</v>
      </c>
      <c r="E2280" s="7" t="s">
        <v>10</v>
      </c>
      <c r="F2280" s="7" t="s">
        <v>1625</v>
      </c>
    </row>
    <row r="2281" spans="1:6" ht="12.75">
      <c r="A2281" s="6">
        <v>45635.373046203706</v>
      </c>
      <c r="B2281" s="7" t="s">
        <v>8</v>
      </c>
      <c r="C2281" s="5" t="str">
        <f>LEFT(Form_Responses1[[#This Row],[問１　あなたは何年生ですか。]],3)</f>
        <v>小学校</v>
      </c>
      <c r="D2281" s="7" t="s">
        <v>17</v>
      </c>
      <c r="E2281" s="7" t="s">
        <v>10</v>
      </c>
      <c r="F2281" s="7" t="s">
        <v>1626</v>
      </c>
    </row>
    <row r="2282" spans="1:6" ht="12.75">
      <c r="A2282" s="6">
        <v>45635.373074803239</v>
      </c>
      <c r="B2282" s="7" t="s">
        <v>8</v>
      </c>
      <c r="C2282" s="5" t="str">
        <f>LEFT(Form_Responses1[[#This Row],[問１　あなたは何年生ですか。]],3)</f>
        <v>小学校</v>
      </c>
      <c r="D2282" s="7" t="s">
        <v>22</v>
      </c>
      <c r="E2282" s="7" t="s">
        <v>10</v>
      </c>
      <c r="F2282" s="7" t="s">
        <v>1627</v>
      </c>
    </row>
    <row r="2283" spans="1:6" ht="12.75">
      <c r="A2283" s="6">
        <v>45635.373110185188</v>
      </c>
      <c r="B2283" s="7" t="s">
        <v>8</v>
      </c>
      <c r="C2283" s="5" t="str">
        <f>LEFT(Form_Responses1[[#This Row],[問１　あなたは何年生ですか。]],3)</f>
        <v>小学校</v>
      </c>
      <c r="D2283" s="7" t="s">
        <v>12</v>
      </c>
      <c r="E2283" s="7" t="s">
        <v>10</v>
      </c>
      <c r="F2283" s="7" t="s">
        <v>1628</v>
      </c>
    </row>
    <row r="2284" spans="1:6" ht="12.75">
      <c r="A2284" s="6">
        <v>45635.373124513892</v>
      </c>
      <c r="B2284" s="7" t="s">
        <v>8</v>
      </c>
      <c r="C2284" s="5" t="str">
        <f>LEFT(Form_Responses1[[#This Row],[問１　あなたは何年生ですか。]],3)</f>
        <v>小学校</v>
      </c>
      <c r="D2284" s="7" t="s">
        <v>22</v>
      </c>
      <c r="E2284" s="7" t="s">
        <v>7</v>
      </c>
      <c r="F2284" s="7" t="s">
        <v>1629</v>
      </c>
    </row>
    <row r="2285" spans="1:6" ht="12.75">
      <c r="A2285" s="6">
        <v>45635.373132916662</v>
      </c>
      <c r="B2285" s="7" t="s">
        <v>8</v>
      </c>
      <c r="C2285" s="5" t="str">
        <f>LEFT(Form_Responses1[[#This Row],[問１　あなたは何年生ですか。]],3)</f>
        <v>小学校</v>
      </c>
      <c r="D2285" s="7" t="s">
        <v>6</v>
      </c>
      <c r="E2285" s="7" t="s">
        <v>10</v>
      </c>
      <c r="F2285" s="7" t="s">
        <v>1630</v>
      </c>
    </row>
    <row r="2286" spans="1:6" ht="12.75">
      <c r="A2286" s="6">
        <v>45635.37319849537</v>
      </c>
      <c r="B2286" s="7" t="s">
        <v>8</v>
      </c>
      <c r="C2286" s="5" t="str">
        <f>LEFT(Form_Responses1[[#This Row],[問１　あなたは何年生ですか。]],3)</f>
        <v>小学校</v>
      </c>
      <c r="D2286" s="7" t="s">
        <v>6</v>
      </c>
      <c r="E2286" s="7" t="s">
        <v>7</v>
      </c>
      <c r="F2286" s="8"/>
    </row>
    <row r="2287" spans="1:6" ht="12.75">
      <c r="A2287" s="6">
        <v>45635.373214652776</v>
      </c>
      <c r="B2287" s="7" t="s">
        <v>8</v>
      </c>
      <c r="C2287" s="5" t="str">
        <f>LEFT(Form_Responses1[[#This Row],[問１　あなたは何年生ですか。]],3)</f>
        <v>小学校</v>
      </c>
      <c r="D2287" s="7" t="s">
        <v>9</v>
      </c>
      <c r="E2287" s="7" t="s">
        <v>10</v>
      </c>
      <c r="F2287" s="7" t="s">
        <v>1631</v>
      </c>
    </row>
    <row r="2288" spans="1:6" ht="12.75">
      <c r="A2288" s="6">
        <v>45635.373265879629</v>
      </c>
      <c r="B2288" s="7" t="s">
        <v>8</v>
      </c>
      <c r="C2288" s="5" t="str">
        <f>LEFT(Form_Responses1[[#This Row],[問１　あなたは何年生ですか。]],3)</f>
        <v>小学校</v>
      </c>
      <c r="D2288" s="7" t="s">
        <v>24</v>
      </c>
      <c r="E2288" s="7" t="s">
        <v>10</v>
      </c>
      <c r="F2288" s="7" t="s">
        <v>864</v>
      </c>
    </row>
    <row r="2289" spans="1:6" ht="12.75">
      <c r="A2289" s="6">
        <v>45635.373291944445</v>
      </c>
      <c r="B2289" s="7" t="s">
        <v>8</v>
      </c>
      <c r="C2289" s="5" t="str">
        <f>LEFT(Form_Responses1[[#This Row],[問１　あなたは何年生ですか。]],3)</f>
        <v>小学校</v>
      </c>
      <c r="D2289" s="7" t="s">
        <v>6</v>
      </c>
      <c r="E2289" s="7" t="s">
        <v>10</v>
      </c>
      <c r="F2289" s="7" t="s">
        <v>110</v>
      </c>
    </row>
    <row r="2290" spans="1:6" ht="12.75">
      <c r="A2290" s="6">
        <v>45635.373294224541</v>
      </c>
      <c r="B2290" s="7" t="s">
        <v>8</v>
      </c>
      <c r="C2290" s="5" t="str">
        <f>LEFT(Form_Responses1[[#This Row],[問１　あなたは何年生ですか。]],3)</f>
        <v>小学校</v>
      </c>
      <c r="D2290" s="7" t="s">
        <v>24</v>
      </c>
      <c r="E2290" s="7" t="s">
        <v>10</v>
      </c>
      <c r="F2290" s="8"/>
    </row>
    <row r="2291" spans="1:6" ht="12.75">
      <c r="A2291" s="6">
        <v>45635.373378182871</v>
      </c>
      <c r="B2291" s="7" t="s">
        <v>8</v>
      </c>
      <c r="C2291" s="5" t="str">
        <f>LEFT(Form_Responses1[[#This Row],[問１　あなたは何年生ですか。]],3)</f>
        <v>小学校</v>
      </c>
      <c r="D2291" s="7" t="s">
        <v>6</v>
      </c>
      <c r="E2291" s="7" t="s">
        <v>7</v>
      </c>
      <c r="F2291" s="7" t="s">
        <v>52</v>
      </c>
    </row>
    <row r="2292" spans="1:6" ht="12.75">
      <c r="A2292" s="6">
        <v>45635.373619016202</v>
      </c>
      <c r="B2292" s="7" t="s">
        <v>8</v>
      </c>
      <c r="C2292" s="5" t="str">
        <f>LEFT(Form_Responses1[[#This Row],[問１　あなたは何年生ですか。]],3)</f>
        <v>小学校</v>
      </c>
      <c r="D2292" s="7" t="s">
        <v>6</v>
      </c>
      <c r="E2292" s="7" t="s">
        <v>10</v>
      </c>
      <c r="F2292" s="8"/>
    </row>
    <row r="2293" spans="1:6" ht="12.75">
      <c r="A2293" s="6">
        <v>45635.37371586806</v>
      </c>
      <c r="B2293" s="7" t="s">
        <v>8</v>
      </c>
      <c r="C2293" s="5" t="str">
        <f>LEFT(Form_Responses1[[#This Row],[問１　あなたは何年生ですか。]],3)</f>
        <v>小学校</v>
      </c>
      <c r="D2293" s="7" t="s">
        <v>6</v>
      </c>
      <c r="E2293" s="7" t="s">
        <v>10</v>
      </c>
      <c r="F2293" s="7" t="s">
        <v>244</v>
      </c>
    </row>
    <row r="2294" spans="1:6" ht="12.75">
      <c r="A2294" s="6">
        <v>45635.373756307876</v>
      </c>
      <c r="B2294" s="7" t="s">
        <v>8</v>
      </c>
      <c r="C2294" s="5" t="str">
        <f>LEFT(Form_Responses1[[#This Row],[問１　あなたは何年生ですか。]],3)</f>
        <v>小学校</v>
      </c>
      <c r="D2294" s="7" t="s">
        <v>19</v>
      </c>
      <c r="E2294" s="7" t="s">
        <v>15</v>
      </c>
      <c r="F2294" s="8"/>
    </row>
    <row r="2295" spans="1:6" ht="12.75">
      <c r="A2295" s="6">
        <v>45635.373792118058</v>
      </c>
      <c r="B2295" s="7" t="s">
        <v>8</v>
      </c>
      <c r="C2295" s="5" t="str">
        <f>LEFT(Form_Responses1[[#This Row],[問１　あなたは何年生ですか。]],3)</f>
        <v>小学校</v>
      </c>
      <c r="D2295" s="7" t="s">
        <v>12</v>
      </c>
      <c r="E2295" s="7" t="s">
        <v>10</v>
      </c>
      <c r="F2295" s="8"/>
    </row>
    <row r="2296" spans="1:6" ht="12.75">
      <c r="A2296" s="6">
        <v>45635.373804444447</v>
      </c>
      <c r="B2296" s="7" t="s">
        <v>8</v>
      </c>
      <c r="C2296" s="5" t="str">
        <f>LEFT(Form_Responses1[[#This Row],[問１　あなたは何年生ですか。]],3)</f>
        <v>小学校</v>
      </c>
      <c r="D2296" s="7" t="s">
        <v>6</v>
      </c>
      <c r="E2296" s="7" t="s">
        <v>7</v>
      </c>
      <c r="F2296" s="7" t="s">
        <v>52</v>
      </c>
    </row>
    <row r="2297" spans="1:6" ht="12.75">
      <c r="A2297" s="6">
        <v>45635.373861550921</v>
      </c>
      <c r="B2297" s="7" t="s">
        <v>8</v>
      </c>
      <c r="C2297" s="5" t="str">
        <f>LEFT(Form_Responses1[[#This Row],[問１　あなたは何年生ですか。]],3)</f>
        <v>小学校</v>
      </c>
      <c r="D2297" s="7" t="s">
        <v>22</v>
      </c>
      <c r="E2297" s="7" t="s">
        <v>67</v>
      </c>
      <c r="F2297" s="8"/>
    </row>
    <row r="2298" spans="1:6" ht="12.75">
      <c r="A2298" s="6">
        <v>45635.373958171302</v>
      </c>
      <c r="B2298" s="7" t="s">
        <v>8</v>
      </c>
      <c r="C2298" s="5" t="str">
        <f>LEFT(Form_Responses1[[#This Row],[問１　あなたは何年生ですか。]],3)</f>
        <v>小学校</v>
      </c>
      <c r="D2298" s="7" t="s">
        <v>22</v>
      </c>
      <c r="E2298" s="7" t="s">
        <v>10</v>
      </c>
      <c r="F2298" s="7" t="s">
        <v>1632</v>
      </c>
    </row>
    <row r="2299" spans="1:6" ht="12.75">
      <c r="A2299" s="6">
        <v>45635.374180775463</v>
      </c>
      <c r="B2299" s="7" t="s">
        <v>8</v>
      </c>
      <c r="C2299" s="5" t="str">
        <f>LEFT(Form_Responses1[[#This Row],[問１　あなたは何年生ですか。]],3)</f>
        <v>小学校</v>
      </c>
      <c r="D2299" s="7" t="s">
        <v>6</v>
      </c>
      <c r="E2299" s="7" t="s">
        <v>10</v>
      </c>
      <c r="F2299" s="7" t="s">
        <v>271</v>
      </c>
    </row>
    <row r="2300" spans="1:6" ht="12.75">
      <c r="A2300" s="6">
        <v>45635.374376608801</v>
      </c>
      <c r="B2300" s="7" t="s">
        <v>8</v>
      </c>
      <c r="C2300" s="5" t="str">
        <f>LEFT(Form_Responses1[[#This Row],[問１　あなたは何年生ですか。]],3)</f>
        <v>小学校</v>
      </c>
      <c r="D2300" s="7" t="s">
        <v>6</v>
      </c>
      <c r="E2300" s="7" t="s">
        <v>10</v>
      </c>
      <c r="F2300" s="7" t="s">
        <v>1633</v>
      </c>
    </row>
    <row r="2301" spans="1:6" ht="12.75">
      <c r="A2301" s="6">
        <v>45635.37448633102</v>
      </c>
      <c r="B2301" s="7" t="s">
        <v>8</v>
      </c>
      <c r="C2301" s="5" t="str">
        <f>LEFT(Form_Responses1[[#This Row],[問１　あなたは何年生ですか。]],3)</f>
        <v>小学校</v>
      </c>
      <c r="D2301" s="7" t="s">
        <v>12</v>
      </c>
      <c r="E2301" s="7" t="s">
        <v>10</v>
      </c>
      <c r="F2301" s="7" t="s">
        <v>1634</v>
      </c>
    </row>
    <row r="2302" spans="1:6" ht="12.75">
      <c r="A2302" s="6">
        <v>45635.375446724538</v>
      </c>
      <c r="B2302" s="7" t="s">
        <v>8</v>
      </c>
      <c r="C2302" s="5" t="str">
        <f>LEFT(Form_Responses1[[#This Row],[問１　あなたは何年生ですか。]],3)</f>
        <v>小学校</v>
      </c>
      <c r="D2302" s="7" t="s">
        <v>6</v>
      </c>
      <c r="E2302" s="7" t="s">
        <v>10</v>
      </c>
      <c r="F2302" s="7" t="s">
        <v>1635</v>
      </c>
    </row>
    <row r="2303" spans="1:6" ht="12.75">
      <c r="A2303" s="6">
        <v>45635.375476435183</v>
      </c>
      <c r="B2303" s="7" t="s">
        <v>8</v>
      </c>
      <c r="C2303" s="5" t="str">
        <f>LEFT(Form_Responses1[[#This Row],[問１　あなたは何年生ですか。]],3)</f>
        <v>小学校</v>
      </c>
      <c r="D2303" s="7" t="s">
        <v>24</v>
      </c>
      <c r="E2303" s="7" t="s">
        <v>10</v>
      </c>
      <c r="F2303" s="7" t="s">
        <v>1636</v>
      </c>
    </row>
    <row r="2304" spans="1:6" ht="12.75">
      <c r="A2304" s="6">
        <v>45635.377862534719</v>
      </c>
      <c r="B2304" s="7" t="s">
        <v>8</v>
      </c>
      <c r="C2304" s="5" t="str">
        <f>LEFT(Form_Responses1[[#This Row],[問１　あなたは何年生ですか。]],3)</f>
        <v>小学校</v>
      </c>
      <c r="D2304" s="7" t="s">
        <v>24</v>
      </c>
      <c r="E2304" s="7" t="s">
        <v>10</v>
      </c>
      <c r="F2304" s="8"/>
    </row>
    <row r="2305" spans="1:6" ht="12.75">
      <c r="A2305" s="6">
        <v>45635.461703796296</v>
      </c>
      <c r="B2305" s="7" t="s">
        <v>8</v>
      </c>
      <c r="C2305" s="5" t="str">
        <f>LEFT(Form_Responses1[[#This Row],[問１　あなたは何年生ですか。]],3)</f>
        <v>小学校</v>
      </c>
      <c r="D2305" s="7" t="s">
        <v>14</v>
      </c>
      <c r="E2305" s="7" t="s">
        <v>10</v>
      </c>
      <c r="F2305" s="8"/>
    </row>
    <row r="2306" spans="1:6" ht="12.75">
      <c r="A2306" s="6">
        <v>45635.46171152778</v>
      </c>
      <c r="B2306" s="7" t="s">
        <v>8</v>
      </c>
      <c r="C2306" s="5" t="str">
        <f>LEFT(Form_Responses1[[#This Row],[問１　あなたは何年生ですか。]],3)</f>
        <v>小学校</v>
      </c>
      <c r="D2306" s="7" t="s">
        <v>24</v>
      </c>
      <c r="E2306" s="7" t="s">
        <v>10</v>
      </c>
      <c r="F2306" s="8"/>
    </row>
    <row r="2307" spans="1:6" ht="12.75">
      <c r="A2307" s="6">
        <v>45635.461713703698</v>
      </c>
      <c r="B2307" s="7" t="s">
        <v>8</v>
      </c>
      <c r="C2307" s="5" t="str">
        <f>LEFT(Form_Responses1[[#This Row],[問１　あなたは何年生ですか。]],3)</f>
        <v>小学校</v>
      </c>
      <c r="D2307" s="7" t="s">
        <v>6</v>
      </c>
      <c r="E2307" s="7" t="s">
        <v>7</v>
      </c>
      <c r="F2307" s="8"/>
    </row>
    <row r="2308" spans="1:6" ht="12.75">
      <c r="A2308" s="6">
        <v>45635.461713969911</v>
      </c>
      <c r="B2308" s="7" t="s">
        <v>8</v>
      </c>
      <c r="C2308" s="5" t="str">
        <f>LEFT(Form_Responses1[[#This Row],[問１　あなたは何年生ですか。]],3)</f>
        <v>小学校</v>
      </c>
      <c r="D2308" s="7" t="s">
        <v>24</v>
      </c>
      <c r="E2308" s="7" t="s">
        <v>10</v>
      </c>
      <c r="F2308" s="8"/>
    </row>
    <row r="2309" spans="1:6" ht="12.75">
      <c r="A2309" s="6">
        <v>45635.461717500002</v>
      </c>
      <c r="B2309" s="7" t="s">
        <v>8</v>
      </c>
      <c r="C2309" s="5" t="str">
        <f>LEFT(Form_Responses1[[#This Row],[問１　あなたは何年生ですか。]],3)</f>
        <v>小学校</v>
      </c>
      <c r="D2309" s="7" t="s">
        <v>24</v>
      </c>
      <c r="E2309" s="7" t="s">
        <v>10</v>
      </c>
      <c r="F2309" s="8"/>
    </row>
    <row r="2310" spans="1:6" ht="12.75">
      <c r="A2310" s="6">
        <v>45635.461722199077</v>
      </c>
      <c r="B2310" s="7" t="s">
        <v>8</v>
      </c>
      <c r="C2310" s="5" t="str">
        <f>LEFT(Form_Responses1[[#This Row],[問１　あなたは何年生ですか。]],3)</f>
        <v>小学校</v>
      </c>
      <c r="D2310" s="7" t="s">
        <v>12</v>
      </c>
      <c r="E2310" s="7" t="s">
        <v>7</v>
      </c>
      <c r="F2310" s="8"/>
    </row>
    <row r="2311" spans="1:6" ht="12.75">
      <c r="A2311" s="6">
        <v>45635.461733819444</v>
      </c>
      <c r="B2311" s="7" t="s">
        <v>8</v>
      </c>
      <c r="C2311" s="5" t="str">
        <f>LEFT(Form_Responses1[[#This Row],[問１　あなたは何年生ですか。]],3)</f>
        <v>小学校</v>
      </c>
      <c r="D2311" s="7" t="s">
        <v>14</v>
      </c>
      <c r="E2311" s="7" t="s">
        <v>10</v>
      </c>
      <c r="F2311" s="8"/>
    </row>
    <row r="2312" spans="1:6" ht="12.75">
      <c r="A2312" s="6">
        <v>45635.461738796294</v>
      </c>
      <c r="B2312" s="7" t="s">
        <v>8</v>
      </c>
      <c r="C2312" s="5" t="str">
        <f>LEFT(Form_Responses1[[#This Row],[問１　あなたは何年生ですか。]],3)</f>
        <v>小学校</v>
      </c>
      <c r="D2312" s="7" t="s">
        <v>12</v>
      </c>
      <c r="E2312" s="7" t="s">
        <v>10</v>
      </c>
      <c r="F2312" s="8"/>
    </row>
    <row r="2313" spans="1:6" ht="12.75">
      <c r="A2313" s="6">
        <v>45635.461765486107</v>
      </c>
      <c r="B2313" s="7" t="s">
        <v>8</v>
      </c>
      <c r="C2313" s="5" t="str">
        <f>LEFT(Form_Responses1[[#This Row],[問１　あなたは何年生ですか。]],3)</f>
        <v>小学校</v>
      </c>
      <c r="D2313" s="7" t="s">
        <v>24</v>
      </c>
      <c r="E2313" s="7" t="s">
        <v>7</v>
      </c>
      <c r="F2313" s="8"/>
    </row>
    <row r="2314" spans="1:6" ht="12.75">
      <c r="A2314" s="6">
        <v>45635.461767199071</v>
      </c>
      <c r="B2314" s="7" t="s">
        <v>8</v>
      </c>
      <c r="C2314" s="5" t="str">
        <f>LEFT(Form_Responses1[[#This Row],[問１　あなたは何年生ですか。]],3)</f>
        <v>小学校</v>
      </c>
      <c r="D2314" s="7" t="s">
        <v>24</v>
      </c>
      <c r="E2314" s="7" t="s">
        <v>10</v>
      </c>
      <c r="F2314" s="8"/>
    </row>
    <row r="2315" spans="1:6" ht="12.75">
      <c r="A2315" s="6">
        <v>45635.461768900466</v>
      </c>
      <c r="B2315" s="7" t="s">
        <v>8</v>
      </c>
      <c r="C2315" s="5" t="str">
        <f>LEFT(Form_Responses1[[#This Row],[問１　あなたは何年生ですか。]],3)</f>
        <v>小学校</v>
      </c>
      <c r="D2315" s="7" t="s">
        <v>24</v>
      </c>
      <c r="E2315" s="7" t="s">
        <v>7</v>
      </c>
      <c r="F2315" s="8"/>
    </row>
    <row r="2316" spans="1:6" ht="12.75">
      <c r="A2316" s="6">
        <v>45635.461769016205</v>
      </c>
      <c r="B2316" s="7" t="s">
        <v>8</v>
      </c>
      <c r="C2316" s="5" t="str">
        <f>LEFT(Form_Responses1[[#This Row],[問１　あなたは何年生ですか。]],3)</f>
        <v>小学校</v>
      </c>
      <c r="D2316" s="7" t="s">
        <v>6</v>
      </c>
      <c r="E2316" s="7" t="s">
        <v>10</v>
      </c>
      <c r="F2316" s="8"/>
    </row>
    <row r="2317" spans="1:6" ht="12.75">
      <c r="A2317" s="6">
        <v>45635.461817604169</v>
      </c>
      <c r="B2317" s="7" t="s">
        <v>8</v>
      </c>
      <c r="C2317" s="5" t="str">
        <f>LEFT(Form_Responses1[[#This Row],[問１　あなたは何年生ですか。]],3)</f>
        <v>小学校</v>
      </c>
      <c r="D2317" s="7" t="s">
        <v>6</v>
      </c>
      <c r="E2317" s="7" t="s">
        <v>67</v>
      </c>
      <c r="F2317" s="8"/>
    </row>
    <row r="2318" spans="1:6" ht="12.75">
      <c r="A2318" s="6">
        <v>45635.461821481484</v>
      </c>
      <c r="B2318" s="7" t="s">
        <v>8</v>
      </c>
      <c r="C2318" s="5" t="str">
        <f>LEFT(Form_Responses1[[#This Row],[問１　あなたは何年生ですか。]],3)</f>
        <v>小学校</v>
      </c>
      <c r="D2318" s="7" t="s">
        <v>9</v>
      </c>
      <c r="E2318" s="7" t="s">
        <v>7</v>
      </c>
      <c r="F2318" s="8"/>
    </row>
    <row r="2319" spans="1:6" ht="12.75">
      <c r="A2319" s="6">
        <v>45635.482166967588</v>
      </c>
      <c r="B2319" s="7" t="s">
        <v>11</v>
      </c>
      <c r="C2319" s="5" t="str">
        <f>LEFT(Form_Responses1[[#This Row],[問１　あなたは何年生ですか。]],3)</f>
        <v>小学校</v>
      </c>
      <c r="D2319" s="7" t="s">
        <v>12</v>
      </c>
      <c r="E2319" s="7" t="s">
        <v>7</v>
      </c>
      <c r="F2319" s="7" t="s">
        <v>1637</v>
      </c>
    </row>
    <row r="2320" spans="1:6" ht="12.75">
      <c r="A2320" s="6">
        <v>45635.483691585643</v>
      </c>
      <c r="B2320" s="7" t="s">
        <v>11</v>
      </c>
      <c r="C2320" s="5" t="str">
        <f>LEFT(Form_Responses1[[#This Row],[問１　あなたは何年生ですか。]],3)</f>
        <v>小学校</v>
      </c>
      <c r="D2320" s="7" t="s">
        <v>24</v>
      </c>
      <c r="E2320" s="7" t="s">
        <v>7</v>
      </c>
      <c r="F2320" s="7" t="s">
        <v>1638</v>
      </c>
    </row>
    <row r="2321" spans="1:6" ht="12.75">
      <c r="A2321" s="6">
        <v>45635.483801736111</v>
      </c>
      <c r="B2321" s="7" t="s">
        <v>11</v>
      </c>
      <c r="C2321" s="5" t="str">
        <f>LEFT(Form_Responses1[[#This Row],[問１　あなたは何年生ですか。]],3)</f>
        <v>小学校</v>
      </c>
      <c r="D2321" s="7" t="s">
        <v>22</v>
      </c>
      <c r="E2321" s="7" t="s">
        <v>10</v>
      </c>
      <c r="F2321" s="7" t="s">
        <v>1639</v>
      </c>
    </row>
    <row r="2322" spans="1:6" ht="12.75">
      <c r="A2322" s="6">
        <v>45635.483927766203</v>
      </c>
      <c r="B2322" s="7" t="s">
        <v>11</v>
      </c>
      <c r="C2322" s="5" t="str">
        <f>LEFT(Form_Responses1[[#This Row],[問１　あなたは何年生ですか。]],3)</f>
        <v>小学校</v>
      </c>
      <c r="D2322" s="7" t="s">
        <v>1640</v>
      </c>
      <c r="E2322" s="7" t="s">
        <v>7</v>
      </c>
      <c r="F2322" s="7" t="s">
        <v>1641</v>
      </c>
    </row>
    <row r="2323" spans="1:6" ht="12.75">
      <c r="A2323" s="6">
        <v>45635.48410037037</v>
      </c>
      <c r="B2323" s="7" t="s">
        <v>11</v>
      </c>
      <c r="C2323" s="5" t="str">
        <f>LEFT(Form_Responses1[[#This Row],[問１　あなたは何年生ですか。]],3)</f>
        <v>小学校</v>
      </c>
      <c r="D2323" s="7" t="s">
        <v>19</v>
      </c>
      <c r="E2323" s="7" t="s">
        <v>67</v>
      </c>
      <c r="F2323" s="7" t="s">
        <v>1642</v>
      </c>
    </row>
    <row r="2324" spans="1:6" ht="12.75">
      <c r="A2324" s="6">
        <v>45635.48447048611</v>
      </c>
      <c r="B2324" s="7" t="s">
        <v>11</v>
      </c>
      <c r="C2324" s="5" t="str">
        <f>LEFT(Form_Responses1[[#This Row],[問１　あなたは何年生ですか。]],3)</f>
        <v>小学校</v>
      </c>
      <c r="D2324" s="7" t="s">
        <v>6</v>
      </c>
      <c r="E2324" s="7" t="s">
        <v>7</v>
      </c>
      <c r="F2324" s="7" t="s">
        <v>1643</v>
      </c>
    </row>
    <row r="2325" spans="1:6" ht="12.75">
      <c r="A2325" s="6">
        <v>45635.484936493056</v>
      </c>
      <c r="B2325" s="7" t="s">
        <v>11</v>
      </c>
      <c r="C2325" s="5" t="str">
        <f>LEFT(Form_Responses1[[#This Row],[問１　あなたは何年生ですか。]],3)</f>
        <v>小学校</v>
      </c>
      <c r="D2325" s="7" t="s">
        <v>17</v>
      </c>
      <c r="E2325" s="7" t="s">
        <v>10</v>
      </c>
      <c r="F2325" s="7" t="s">
        <v>1644</v>
      </c>
    </row>
    <row r="2326" spans="1:6" ht="12.75">
      <c r="A2326" s="6">
        <v>45635.485356770834</v>
      </c>
      <c r="B2326" s="7" t="s">
        <v>11</v>
      </c>
      <c r="C2326" s="5" t="str">
        <f>LEFT(Form_Responses1[[#This Row],[問１　あなたは何年生ですか。]],3)</f>
        <v>小学校</v>
      </c>
      <c r="D2326" s="7" t="s">
        <v>1645</v>
      </c>
      <c r="E2326" s="7" t="s">
        <v>67</v>
      </c>
      <c r="F2326" s="7" t="s">
        <v>1646</v>
      </c>
    </row>
    <row r="2327" spans="1:6" ht="12.75">
      <c r="A2327" s="6">
        <v>45635.485573668979</v>
      </c>
      <c r="B2327" s="7" t="s">
        <v>11</v>
      </c>
      <c r="C2327" s="5" t="str">
        <f>LEFT(Form_Responses1[[#This Row],[問１　あなたは何年生ですか。]],3)</f>
        <v>小学校</v>
      </c>
      <c r="D2327" s="7" t="s">
        <v>14</v>
      </c>
      <c r="E2327" s="7" t="s">
        <v>10</v>
      </c>
      <c r="F2327" s="7" t="s">
        <v>1647</v>
      </c>
    </row>
    <row r="2328" spans="1:6" ht="12.75">
      <c r="A2328" s="6">
        <v>45635.486483472225</v>
      </c>
      <c r="B2328" s="7" t="s">
        <v>11</v>
      </c>
      <c r="C2328" s="5" t="str">
        <f>LEFT(Form_Responses1[[#This Row],[問１　あなたは何年生ですか。]],3)</f>
        <v>小学校</v>
      </c>
      <c r="D2328" s="7" t="s">
        <v>19</v>
      </c>
      <c r="E2328" s="7" t="s">
        <v>10</v>
      </c>
      <c r="F2328" s="7" t="s">
        <v>1648</v>
      </c>
    </row>
    <row r="2329" spans="1:6" ht="12.75">
      <c r="A2329" s="6">
        <v>45635.487396620374</v>
      </c>
      <c r="B2329" s="7" t="s">
        <v>11</v>
      </c>
      <c r="C2329" s="5" t="str">
        <f>LEFT(Form_Responses1[[#This Row],[問１　あなたは何年生ですか。]],3)</f>
        <v>小学校</v>
      </c>
      <c r="D2329" s="7" t="s">
        <v>12</v>
      </c>
      <c r="E2329" s="7" t="s">
        <v>7</v>
      </c>
      <c r="F2329" s="7" t="s">
        <v>1649</v>
      </c>
    </row>
    <row r="2330" spans="1:6" ht="12.75">
      <c r="A2330" s="6">
        <v>45635.581208738426</v>
      </c>
      <c r="B2330" s="7" t="s">
        <v>21</v>
      </c>
      <c r="C2330" s="5" t="str">
        <f>LEFT(Form_Responses1[[#This Row],[問１　あなたは何年生ですか。]],3)</f>
        <v>小学校</v>
      </c>
      <c r="D2330" s="7" t="s">
        <v>6</v>
      </c>
      <c r="E2330" s="7" t="s">
        <v>7</v>
      </c>
      <c r="F2330" s="8"/>
    </row>
    <row r="2331" spans="1:6" ht="12.75">
      <c r="A2331" s="6">
        <v>45635.581213472222</v>
      </c>
      <c r="B2331" s="7" t="s">
        <v>21</v>
      </c>
      <c r="C2331" s="5" t="str">
        <f>LEFT(Form_Responses1[[#This Row],[問１　あなたは何年生ですか。]],3)</f>
        <v>小学校</v>
      </c>
      <c r="D2331" s="7" t="s">
        <v>6</v>
      </c>
      <c r="E2331" s="7" t="s">
        <v>10</v>
      </c>
      <c r="F2331" s="8"/>
    </row>
    <row r="2332" spans="1:6" ht="12.75">
      <c r="A2332" s="6">
        <v>45635.581232129625</v>
      </c>
      <c r="B2332" s="7" t="s">
        <v>21</v>
      </c>
      <c r="C2332" s="5" t="str">
        <f>LEFT(Form_Responses1[[#This Row],[問１　あなたは何年生ですか。]],3)</f>
        <v>小学校</v>
      </c>
      <c r="D2332" s="7" t="s">
        <v>19</v>
      </c>
      <c r="E2332" s="7" t="s">
        <v>10</v>
      </c>
      <c r="F2332" s="7" t="s">
        <v>1650</v>
      </c>
    </row>
    <row r="2333" spans="1:6" ht="12.75">
      <c r="A2333" s="6">
        <v>45635.581561296298</v>
      </c>
      <c r="B2333" s="7" t="s">
        <v>21</v>
      </c>
      <c r="C2333" s="5" t="str">
        <f>LEFT(Form_Responses1[[#This Row],[問１　あなたは何年生ですか。]],3)</f>
        <v>小学校</v>
      </c>
      <c r="D2333" s="7" t="s">
        <v>9</v>
      </c>
      <c r="E2333" s="7" t="s">
        <v>7</v>
      </c>
      <c r="F2333" s="8"/>
    </row>
    <row r="2334" spans="1:6" ht="12.75">
      <c r="A2334" s="6">
        <v>45635.581561886574</v>
      </c>
      <c r="B2334" s="7" t="s">
        <v>21</v>
      </c>
      <c r="C2334" s="5" t="str">
        <f>LEFT(Form_Responses1[[#This Row],[問１　あなたは何年生ですか。]],3)</f>
        <v>小学校</v>
      </c>
      <c r="D2334" s="7" t="s">
        <v>24</v>
      </c>
      <c r="E2334" s="7" t="s">
        <v>10</v>
      </c>
      <c r="F2334" s="7" t="s">
        <v>1651</v>
      </c>
    </row>
    <row r="2335" spans="1:6" ht="12.75">
      <c r="A2335" s="6">
        <v>45635.581852187504</v>
      </c>
      <c r="B2335" s="7" t="s">
        <v>21</v>
      </c>
      <c r="C2335" s="5" t="str">
        <f>LEFT(Form_Responses1[[#This Row],[問１　あなたは何年生ですか。]],3)</f>
        <v>小学校</v>
      </c>
      <c r="D2335" s="7" t="s">
        <v>24</v>
      </c>
      <c r="E2335" s="7" t="s">
        <v>10</v>
      </c>
      <c r="F2335" s="7" t="s">
        <v>1652</v>
      </c>
    </row>
    <row r="2336" spans="1:6" ht="12.75">
      <c r="A2336" s="6">
        <v>45635.581870821756</v>
      </c>
      <c r="B2336" s="7" t="s">
        <v>21</v>
      </c>
      <c r="C2336" s="5" t="str">
        <f>LEFT(Form_Responses1[[#This Row],[問１　あなたは何年生ですか。]],3)</f>
        <v>小学校</v>
      </c>
      <c r="D2336" s="7" t="s">
        <v>6</v>
      </c>
      <c r="E2336" s="7" t="s">
        <v>7</v>
      </c>
      <c r="F2336" s="8"/>
    </row>
    <row r="2337" spans="1:6" ht="12.75">
      <c r="A2337" s="6">
        <v>45635.58197569444</v>
      </c>
      <c r="B2337" s="7" t="s">
        <v>21</v>
      </c>
      <c r="C2337" s="5" t="str">
        <f>LEFT(Form_Responses1[[#This Row],[問１　あなたは何年生ですか。]],3)</f>
        <v>小学校</v>
      </c>
      <c r="D2337" s="7" t="s">
        <v>24</v>
      </c>
      <c r="E2337" s="7" t="s">
        <v>7</v>
      </c>
      <c r="F2337" s="7" t="s">
        <v>1653</v>
      </c>
    </row>
    <row r="2338" spans="1:6" ht="12.75">
      <c r="A2338" s="6">
        <v>45635.582479467594</v>
      </c>
      <c r="B2338" s="7" t="s">
        <v>21</v>
      </c>
      <c r="C2338" s="5" t="str">
        <f>LEFT(Form_Responses1[[#This Row],[問１　あなたは何年生ですか。]],3)</f>
        <v>小学校</v>
      </c>
      <c r="D2338" s="7" t="s">
        <v>6</v>
      </c>
      <c r="E2338" s="7" t="s">
        <v>10</v>
      </c>
      <c r="F2338" s="7" t="s">
        <v>1654</v>
      </c>
    </row>
    <row r="2339" spans="1:6" ht="12.75">
      <c r="A2339" s="6">
        <v>45635.58259690972</v>
      </c>
      <c r="B2339" s="7" t="s">
        <v>21</v>
      </c>
      <c r="C2339" s="5" t="str">
        <f>LEFT(Form_Responses1[[#This Row],[問１　あなたは何年生ですか。]],3)</f>
        <v>小学校</v>
      </c>
      <c r="D2339" s="7" t="s">
        <v>22</v>
      </c>
      <c r="E2339" s="7" t="s">
        <v>10</v>
      </c>
      <c r="F2339" s="7" t="s">
        <v>1655</v>
      </c>
    </row>
    <row r="2340" spans="1:6" ht="12.75">
      <c r="A2340" s="6">
        <v>45635.582966886577</v>
      </c>
      <c r="B2340" s="7" t="s">
        <v>21</v>
      </c>
      <c r="C2340" s="5" t="str">
        <f>LEFT(Form_Responses1[[#This Row],[問１　あなたは何年生ですか。]],3)</f>
        <v>小学校</v>
      </c>
      <c r="D2340" s="7" t="s">
        <v>6</v>
      </c>
      <c r="E2340" s="7" t="s">
        <v>7</v>
      </c>
      <c r="F2340" s="8"/>
    </row>
    <row r="2341" spans="1:6" ht="12.75">
      <c r="A2341" s="6">
        <v>45635.583169837962</v>
      </c>
      <c r="B2341" s="7" t="s">
        <v>21</v>
      </c>
      <c r="C2341" s="5" t="str">
        <f>LEFT(Form_Responses1[[#This Row],[問１　あなたは何年生ですか。]],3)</f>
        <v>小学校</v>
      </c>
      <c r="D2341" s="7" t="s">
        <v>6</v>
      </c>
      <c r="E2341" s="7" t="s">
        <v>10</v>
      </c>
      <c r="F2341" s="8"/>
    </row>
    <row r="2342" spans="1:6" ht="12.75">
      <c r="A2342" s="6">
        <v>45635.585207407406</v>
      </c>
      <c r="B2342" s="7" t="s">
        <v>21</v>
      </c>
      <c r="C2342" s="5" t="str">
        <f>LEFT(Form_Responses1[[#This Row],[問１　あなたは何年生ですか。]],3)</f>
        <v>小学校</v>
      </c>
      <c r="D2342" s="7" t="s">
        <v>14</v>
      </c>
      <c r="E2342" s="7" t="s">
        <v>10</v>
      </c>
      <c r="F2342" s="7" t="s">
        <v>1656</v>
      </c>
    </row>
    <row r="2343" spans="1:6" ht="12.75">
      <c r="A2343" s="6">
        <v>45635.585265798611</v>
      </c>
      <c r="B2343" s="7" t="s">
        <v>21</v>
      </c>
      <c r="C2343" s="5" t="str">
        <f>LEFT(Form_Responses1[[#This Row],[問１　あなたは何年生ですか。]],3)</f>
        <v>小学校</v>
      </c>
      <c r="D2343" s="7" t="s">
        <v>6</v>
      </c>
      <c r="E2343" s="7" t="s">
        <v>10</v>
      </c>
      <c r="F2343" s="7" t="s">
        <v>1657</v>
      </c>
    </row>
    <row r="2344" spans="1:6" ht="12.75">
      <c r="A2344" s="6">
        <v>45635.585379456017</v>
      </c>
      <c r="B2344" s="7" t="s">
        <v>21</v>
      </c>
      <c r="C2344" s="5" t="str">
        <f>LEFT(Form_Responses1[[#This Row],[問１　あなたは何年生ですか。]],3)</f>
        <v>小学校</v>
      </c>
      <c r="D2344" s="7" t="s">
        <v>6</v>
      </c>
      <c r="E2344" s="7" t="s">
        <v>7</v>
      </c>
      <c r="F2344" s="7" t="s">
        <v>1658</v>
      </c>
    </row>
    <row r="2345" spans="1:6" ht="12.75">
      <c r="A2345" s="6">
        <v>45635.585519803237</v>
      </c>
      <c r="B2345" s="7" t="s">
        <v>21</v>
      </c>
      <c r="C2345" s="5" t="str">
        <f>LEFT(Form_Responses1[[#This Row],[問１　あなたは何年生ですか。]],3)</f>
        <v>小学校</v>
      </c>
      <c r="D2345" s="7" t="s">
        <v>12</v>
      </c>
      <c r="E2345" s="7" t="s">
        <v>7</v>
      </c>
      <c r="F2345" s="7" t="s">
        <v>1659</v>
      </c>
    </row>
    <row r="2346" spans="1:6" ht="12.75">
      <c r="A2346" s="6">
        <v>45635.586185173612</v>
      </c>
      <c r="B2346" s="7" t="s">
        <v>21</v>
      </c>
      <c r="C2346" s="5" t="str">
        <f>LEFT(Form_Responses1[[#This Row],[問１　あなたは何年生ですか。]],3)</f>
        <v>小学校</v>
      </c>
      <c r="D2346" s="7" t="s">
        <v>6</v>
      </c>
      <c r="E2346" s="7" t="s">
        <v>10</v>
      </c>
      <c r="F2346" s="8"/>
    </row>
    <row r="2347" spans="1:6" ht="12.75">
      <c r="A2347" s="6">
        <v>45635.587028645838</v>
      </c>
      <c r="B2347" s="7" t="s">
        <v>21</v>
      </c>
      <c r="C2347" s="5" t="str">
        <f>LEFT(Form_Responses1[[#This Row],[問１　あなたは何年生ですか。]],3)</f>
        <v>小学校</v>
      </c>
      <c r="D2347" s="7" t="s">
        <v>121</v>
      </c>
      <c r="E2347" s="7" t="s">
        <v>10</v>
      </c>
      <c r="F2347" s="7" t="s">
        <v>1660</v>
      </c>
    </row>
    <row r="2348" spans="1:6" ht="12.75">
      <c r="A2348" s="6">
        <v>45635.587158622686</v>
      </c>
      <c r="B2348" s="7" t="s">
        <v>21</v>
      </c>
      <c r="C2348" s="5" t="str">
        <f>LEFT(Form_Responses1[[#This Row],[問１　あなたは何年生ですか。]],3)</f>
        <v>小学校</v>
      </c>
      <c r="D2348" s="7" t="s">
        <v>19</v>
      </c>
      <c r="E2348" s="7" t="s">
        <v>15</v>
      </c>
      <c r="F2348" s="7" t="s">
        <v>1661</v>
      </c>
    </row>
    <row r="2349" spans="1:6" ht="12.75">
      <c r="A2349" s="6">
        <v>45635.598238865743</v>
      </c>
      <c r="B2349" s="7" t="s">
        <v>21</v>
      </c>
      <c r="C2349" s="5" t="str">
        <f>LEFT(Form_Responses1[[#This Row],[問１　あなたは何年生ですか。]],3)</f>
        <v>小学校</v>
      </c>
      <c r="D2349" s="7" t="s">
        <v>6</v>
      </c>
      <c r="E2349" s="7" t="s">
        <v>10</v>
      </c>
      <c r="F2349" s="7" t="s">
        <v>1662</v>
      </c>
    </row>
    <row r="2350" spans="1:6" ht="12.75">
      <c r="A2350" s="1"/>
      <c r="B2350" s="1"/>
      <c r="C2350" s="1"/>
      <c r="D2350" s="1"/>
      <c r="E2350" s="1"/>
      <c r="F2350" s="1"/>
    </row>
    <row r="2351" spans="1:6" ht="12.75">
      <c r="A2351" s="1"/>
      <c r="B2351" s="1"/>
      <c r="C2351" s="1"/>
      <c r="D2351" s="1"/>
      <c r="E2351" s="1"/>
      <c r="F2351" s="1"/>
    </row>
    <row r="2352" spans="1:6" ht="12.75">
      <c r="A2352" s="1"/>
      <c r="B2352" s="1"/>
      <c r="C2352" s="1"/>
      <c r="D2352" s="1"/>
      <c r="E2352" s="1"/>
      <c r="F2352" s="1"/>
    </row>
    <row r="2353" spans="1:12" ht="12.75">
      <c r="A2353" s="1"/>
      <c r="B2353" s="1"/>
      <c r="C2353" s="1"/>
      <c r="D2353" s="1"/>
      <c r="E2353" s="1"/>
      <c r="F2353" s="1"/>
    </row>
    <row r="2354" spans="1:12" ht="12.75">
      <c r="A2354" s="1"/>
      <c r="B2354" s="1"/>
      <c r="C2354" s="1"/>
      <c r="D2354" s="1"/>
      <c r="E2354" s="1"/>
      <c r="F2354" s="1"/>
    </row>
    <row r="2355" spans="1:12" ht="12.75">
      <c r="A2355" s="1"/>
      <c r="B2355" s="1"/>
      <c r="C2355" s="1"/>
      <c r="D2355" s="1"/>
      <c r="E2355" s="1"/>
      <c r="F2355" s="1"/>
    </row>
    <row r="2356" spans="1:12" ht="12.75">
      <c r="A2356" s="1"/>
      <c r="B2356" s="1"/>
      <c r="C2356" s="1"/>
      <c r="D2356" s="1"/>
      <c r="E2356" s="1"/>
      <c r="F2356" s="1"/>
    </row>
    <row r="2357" spans="1:12" ht="12.75">
      <c r="A2357" s="1"/>
      <c r="B2357" s="1"/>
      <c r="C2357" s="1"/>
      <c r="D2357" s="1"/>
      <c r="E2357" s="1"/>
      <c r="F2357" s="1"/>
    </row>
    <row r="2358" spans="1:12" ht="12.75">
      <c r="A2358" s="1"/>
      <c r="B2358" s="1"/>
      <c r="C2358" s="1"/>
      <c r="D2358" s="1"/>
      <c r="E2358" s="1"/>
      <c r="F2358" s="1"/>
    </row>
    <row r="2359" spans="1:12" ht="12.75">
      <c r="A2359" s="1"/>
      <c r="B2359" s="1"/>
      <c r="C2359" s="1"/>
      <c r="D2359" s="1"/>
      <c r="E2359" s="1"/>
      <c r="F2359" s="1"/>
    </row>
    <row r="2360" spans="1:12" ht="12.75">
      <c r="A2360" s="1"/>
      <c r="B2360" s="1"/>
      <c r="C2360" s="1"/>
      <c r="D2360" s="1"/>
      <c r="E2360" s="1"/>
      <c r="F2360" s="1"/>
    </row>
    <row r="2361" spans="1:12" ht="12.75">
      <c r="A2361" s="1"/>
      <c r="B2361" s="1"/>
      <c r="C2361" s="1"/>
      <c r="D2361" s="1"/>
      <c r="E2361" s="1"/>
      <c r="F2361" s="1"/>
    </row>
    <row r="2362" spans="1:12" ht="12.75">
      <c r="A2362" s="1"/>
      <c r="B2362" s="1"/>
      <c r="C2362" s="1"/>
      <c r="D2362" s="1"/>
      <c r="E2362" s="1"/>
      <c r="F2362" s="1"/>
    </row>
    <row r="2363" spans="1:12" ht="12.75">
      <c r="A2363" s="1"/>
      <c r="B2363" s="1"/>
      <c r="C2363" s="1"/>
      <c r="D2363" s="1"/>
      <c r="E2363" s="1"/>
      <c r="F2363" s="1"/>
    </row>
    <row r="2364" spans="1:12" ht="12.75">
      <c r="A2364" s="1"/>
      <c r="B2364" s="1"/>
      <c r="C2364" s="1"/>
      <c r="D2364" s="1"/>
      <c r="E2364" s="1"/>
      <c r="F2364" s="1"/>
    </row>
    <row r="2365" spans="1:12" ht="12.75">
      <c r="A2365" s="1"/>
      <c r="B2365" s="1"/>
      <c r="C2365" s="1"/>
      <c r="D2365" s="1"/>
      <c r="E2365" s="1"/>
      <c r="F2365" s="1"/>
      <c r="G2365" s="1"/>
      <c r="H2365" s="1"/>
      <c r="I2365" s="1"/>
      <c r="J2365" s="1"/>
      <c r="K2365" s="1"/>
      <c r="L2365" s="1"/>
    </row>
    <row r="2366" spans="1:12" ht="12.75">
      <c r="A2366" s="1"/>
      <c r="B2366" s="1"/>
      <c r="C2366" s="1"/>
      <c r="D2366" s="1"/>
      <c r="E2366" s="1"/>
      <c r="F2366" s="1"/>
      <c r="G2366" s="1"/>
      <c r="H2366" s="1"/>
      <c r="I2366" s="1"/>
      <c r="J2366" s="1"/>
      <c r="K2366" s="1"/>
      <c r="L2366" s="1"/>
    </row>
    <row r="2367" spans="1:12" ht="12.75">
      <c r="A2367" s="1"/>
      <c r="B2367" s="1"/>
      <c r="C2367" s="1"/>
      <c r="D2367" s="1"/>
      <c r="E2367" s="1"/>
      <c r="F2367" s="1"/>
      <c r="G2367" s="1"/>
      <c r="H2367" s="1"/>
      <c r="I2367" s="1"/>
      <c r="J2367" s="1"/>
      <c r="K2367" s="1"/>
      <c r="L2367" s="1"/>
    </row>
    <row r="2368" spans="1:12" ht="12.75">
      <c r="A2368" s="1"/>
      <c r="B2368" s="1"/>
      <c r="C2368" s="1"/>
      <c r="D2368" s="1"/>
      <c r="E2368" s="1"/>
      <c r="F2368" s="1"/>
      <c r="G2368" s="1"/>
      <c r="H2368" s="1"/>
      <c r="I2368" s="1"/>
      <c r="J2368" s="1"/>
      <c r="K2368" s="1"/>
      <c r="L2368" s="1"/>
    </row>
    <row r="2369" spans="1:12" ht="12.75">
      <c r="A2369" s="1"/>
      <c r="B2369" s="1"/>
      <c r="C2369" s="1"/>
      <c r="D2369" s="1"/>
      <c r="E2369" s="1"/>
      <c r="F2369" s="1"/>
      <c r="G2369" s="1"/>
      <c r="H2369" s="1"/>
      <c r="I2369" s="1"/>
      <c r="J2369" s="1"/>
      <c r="K2369" s="1"/>
      <c r="L2369" s="1"/>
    </row>
    <row r="2370" spans="1:12" ht="12.75">
      <c r="A2370" s="1"/>
      <c r="B2370" s="1"/>
      <c r="C2370" s="1"/>
      <c r="D2370" s="1"/>
      <c r="E2370" s="1"/>
      <c r="F2370" s="1"/>
      <c r="G2370" s="1"/>
      <c r="H2370" s="1"/>
      <c r="I2370" s="1"/>
      <c r="J2370" s="1"/>
      <c r="K2370" s="1"/>
      <c r="L2370" s="1"/>
    </row>
    <row r="2371" spans="1:12" ht="12.75">
      <c r="A2371" s="1"/>
      <c r="B2371" s="1"/>
      <c r="C2371" s="1"/>
      <c r="D2371" s="1"/>
      <c r="E2371" s="1"/>
      <c r="F2371" s="1"/>
      <c r="G2371" s="1"/>
      <c r="H2371" s="1"/>
      <c r="I2371" s="1"/>
      <c r="J2371" s="1"/>
      <c r="K2371" s="1"/>
      <c r="L2371" s="1"/>
    </row>
    <row r="2372" spans="1:12" ht="12.75">
      <c r="A2372" s="1"/>
      <c r="B2372" s="1"/>
      <c r="C2372" s="1"/>
      <c r="D2372" s="1"/>
      <c r="E2372" s="1"/>
      <c r="F2372" s="1"/>
      <c r="G2372" s="1"/>
      <c r="H2372" s="1"/>
      <c r="I2372" s="1"/>
      <c r="J2372" s="1"/>
      <c r="K2372" s="1"/>
      <c r="L2372" s="1"/>
    </row>
    <row r="2373" spans="1:12" ht="12.75">
      <c r="A2373" s="1"/>
      <c r="B2373" s="1"/>
      <c r="C2373" s="1"/>
      <c r="D2373" s="1"/>
      <c r="E2373" s="1"/>
      <c r="F2373" s="1"/>
      <c r="G2373" s="1"/>
      <c r="H2373" s="1"/>
      <c r="I2373" s="1"/>
      <c r="J2373" s="1"/>
      <c r="K2373" s="1"/>
      <c r="L2373" s="1"/>
    </row>
    <row r="2374" spans="1:12" ht="12.75">
      <c r="A2374" s="1"/>
      <c r="B2374" s="1"/>
      <c r="C2374" s="1"/>
      <c r="D2374" s="1"/>
      <c r="E2374" s="1"/>
      <c r="F2374" s="1"/>
      <c r="G2374" s="1"/>
      <c r="H2374" s="1"/>
      <c r="I2374" s="1"/>
      <c r="J2374" s="1"/>
      <c r="K2374" s="1"/>
      <c r="L2374" s="1"/>
    </row>
    <row r="2375" spans="1:12" ht="12.75">
      <c r="A2375" s="1"/>
      <c r="B2375" s="1"/>
      <c r="C2375" s="1"/>
      <c r="D2375" s="1"/>
      <c r="E2375" s="1"/>
      <c r="F2375" s="1"/>
      <c r="G2375" s="1"/>
      <c r="H2375" s="1"/>
      <c r="I2375" s="1"/>
      <c r="J2375" s="1"/>
      <c r="K2375" s="1"/>
      <c r="L2375" s="1"/>
    </row>
    <row r="2376" spans="1:12" ht="12.75">
      <c r="A2376" s="1"/>
      <c r="B2376" s="1"/>
      <c r="C2376" s="1"/>
      <c r="D2376" s="1"/>
      <c r="E2376" s="1"/>
      <c r="F2376" s="1"/>
      <c r="G2376" s="1"/>
      <c r="H2376" s="1"/>
      <c r="I2376" s="1"/>
      <c r="J2376" s="1"/>
      <c r="K2376" s="1"/>
      <c r="L2376" s="1"/>
    </row>
    <row r="2377" spans="1:12" ht="12.75">
      <c r="A2377" s="1"/>
      <c r="B2377" s="1"/>
      <c r="C2377" s="1"/>
      <c r="D2377" s="1"/>
      <c r="E2377" s="1"/>
      <c r="F2377" s="1"/>
      <c r="G2377" s="1"/>
      <c r="H2377" s="1"/>
      <c r="I2377" s="1"/>
      <c r="J2377" s="1"/>
      <c r="K2377" s="1"/>
      <c r="L2377" s="1"/>
    </row>
    <row r="2378" spans="1:12" ht="12.75">
      <c r="A2378" s="1"/>
      <c r="B2378" s="1"/>
      <c r="C2378" s="1"/>
      <c r="D2378" s="1"/>
      <c r="E2378" s="1"/>
      <c r="F2378" s="1"/>
      <c r="G2378" s="1"/>
      <c r="H2378" s="1"/>
      <c r="I2378" s="1"/>
      <c r="J2378" s="1"/>
      <c r="K2378" s="1"/>
      <c r="L2378" s="1"/>
    </row>
    <row r="2379" spans="1:12" ht="12.75">
      <c r="A2379" s="1"/>
      <c r="B2379" s="1"/>
      <c r="C2379" s="1"/>
      <c r="D2379" s="1"/>
      <c r="E2379" s="1"/>
      <c r="F2379" s="1"/>
      <c r="G2379" s="1"/>
      <c r="H2379" s="1"/>
      <c r="I2379" s="1"/>
      <c r="J2379" s="1"/>
      <c r="K2379" s="1"/>
      <c r="L2379" s="1"/>
    </row>
    <row r="2380" spans="1:12" ht="12.75">
      <c r="A2380" s="1"/>
      <c r="B2380" s="1"/>
      <c r="C2380" s="1"/>
      <c r="D2380" s="1"/>
      <c r="E2380" s="1"/>
      <c r="F2380" s="1"/>
      <c r="G2380" s="1"/>
      <c r="H2380" s="1"/>
      <c r="I2380" s="1"/>
      <c r="J2380" s="1"/>
      <c r="K2380" s="1"/>
      <c r="L2380" s="1"/>
    </row>
    <row r="2381" spans="1:12" ht="12.75">
      <c r="A2381" s="1"/>
      <c r="B2381" s="1"/>
      <c r="C2381" s="1"/>
      <c r="D2381" s="1"/>
      <c r="E2381" s="1"/>
      <c r="F2381" s="1"/>
      <c r="G2381" s="1"/>
      <c r="H2381" s="1"/>
      <c r="I2381" s="1"/>
      <c r="J2381" s="1"/>
      <c r="K2381" s="1"/>
      <c r="L2381" s="1"/>
    </row>
    <row r="2382" spans="1:12" ht="12.75">
      <c r="A2382" s="1"/>
      <c r="B2382" s="1"/>
      <c r="C2382" s="1"/>
      <c r="D2382" s="1"/>
      <c r="E2382" s="1"/>
      <c r="F2382" s="1"/>
      <c r="G2382" s="1"/>
      <c r="H2382" s="1"/>
      <c r="I2382" s="1"/>
      <c r="J2382" s="1"/>
      <c r="K2382" s="1"/>
      <c r="L2382" s="1"/>
    </row>
    <row r="2383" spans="1:12" ht="12.75">
      <c r="A2383" s="1"/>
      <c r="B2383" s="1"/>
      <c r="C2383" s="1"/>
      <c r="D2383" s="1"/>
      <c r="E2383" s="1"/>
      <c r="F2383" s="1"/>
      <c r="G2383" s="1"/>
      <c r="H2383" s="1"/>
      <c r="I2383" s="1"/>
      <c r="J2383" s="1"/>
      <c r="K2383" s="1"/>
      <c r="L2383" s="1"/>
    </row>
    <row r="2384" spans="1:12" ht="12.75">
      <c r="A2384" s="1"/>
      <c r="B2384" s="1"/>
      <c r="C2384" s="1"/>
      <c r="D2384" s="1"/>
      <c r="E2384" s="1"/>
      <c r="F2384" s="1"/>
      <c r="G2384" s="1"/>
      <c r="H2384" s="1"/>
      <c r="I2384" s="1"/>
      <c r="J2384" s="1"/>
      <c r="K2384" s="1"/>
      <c r="L2384" s="1"/>
    </row>
    <row r="2385" spans="1:12" ht="12.75">
      <c r="A2385" s="1"/>
      <c r="B2385" s="1"/>
      <c r="C2385" s="1"/>
      <c r="D2385" s="1"/>
      <c r="E2385" s="1"/>
      <c r="F2385" s="1"/>
      <c r="G2385" s="1"/>
      <c r="H2385" s="1"/>
      <c r="I2385" s="1"/>
      <c r="J2385" s="1"/>
      <c r="K2385" s="1"/>
      <c r="L2385" s="1"/>
    </row>
    <row r="2386" spans="1:12" ht="12.75">
      <c r="A2386" s="1"/>
      <c r="B2386" s="1"/>
      <c r="C2386" s="1"/>
      <c r="D2386" s="1"/>
      <c r="E2386" s="1"/>
      <c r="F2386" s="1"/>
      <c r="G2386" s="1"/>
      <c r="H2386" s="1"/>
      <c r="I2386" s="1"/>
      <c r="J2386" s="1"/>
      <c r="K2386" s="1"/>
      <c r="L2386" s="1"/>
    </row>
    <row r="2387" spans="1:12" ht="12.75">
      <c r="A2387" s="1"/>
      <c r="B2387" s="1"/>
      <c r="C2387" s="1"/>
      <c r="D2387" s="1"/>
      <c r="E2387" s="1"/>
      <c r="F2387" s="1"/>
      <c r="G2387" s="1"/>
      <c r="H2387" s="1"/>
      <c r="I2387" s="1"/>
      <c r="J2387" s="1"/>
      <c r="K2387" s="1"/>
      <c r="L2387" s="1"/>
    </row>
    <row r="2388" spans="1:12" ht="12.75">
      <c r="A2388" s="1"/>
      <c r="B2388" s="1"/>
      <c r="C2388" s="1"/>
      <c r="D2388" s="1"/>
      <c r="E2388" s="1"/>
      <c r="F2388" s="1"/>
      <c r="G2388" s="1"/>
      <c r="H2388" s="1"/>
      <c r="I2388" s="1"/>
      <c r="J2388" s="1"/>
      <c r="K2388" s="1"/>
      <c r="L2388" s="1"/>
    </row>
    <row r="2389" spans="1:12" ht="12.75">
      <c r="A2389" s="1"/>
      <c r="B2389" s="1"/>
      <c r="C2389" s="1"/>
      <c r="D2389" s="1"/>
      <c r="E2389" s="1"/>
      <c r="F2389" s="1"/>
      <c r="G2389" s="1"/>
      <c r="H2389" s="1"/>
      <c r="I2389" s="1"/>
      <c r="J2389" s="1"/>
      <c r="K2389" s="1"/>
      <c r="L2389" s="1"/>
    </row>
    <row r="2390" spans="1:12" ht="12.75">
      <c r="A2390" s="1"/>
      <c r="B2390" s="1"/>
      <c r="C2390" s="1"/>
      <c r="D2390" s="1"/>
      <c r="E2390" s="1"/>
      <c r="F2390" s="1"/>
      <c r="G2390" s="1"/>
      <c r="H2390" s="1"/>
      <c r="I2390" s="1"/>
      <c r="J2390" s="1"/>
      <c r="K2390" s="1"/>
      <c r="L2390" s="1"/>
    </row>
    <row r="2391" spans="1:12" ht="12.75">
      <c r="A2391" s="1"/>
      <c r="B2391" s="1"/>
      <c r="C2391" s="1"/>
      <c r="D2391" s="1"/>
      <c r="E2391" s="1"/>
      <c r="F2391" s="1"/>
      <c r="G2391" s="1"/>
      <c r="H2391" s="1"/>
      <c r="I2391" s="1"/>
      <c r="J2391" s="1"/>
      <c r="K2391" s="1"/>
      <c r="L2391" s="1"/>
    </row>
    <row r="2392" spans="1:12" ht="12.75">
      <c r="A2392" s="1"/>
      <c r="B2392" s="1"/>
      <c r="C2392" s="1"/>
      <c r="D2392" s="1"/>
      <c r="E2392" s="1"/>
      <c r="F2392" s="1"/>
      <c r="G2392" s="1"/>
      <c r="H2392" s="1"/>
      <c r="I2392" s="1"/>
      <c r="J2392" s="1"/>
      <c r="K2392" s="1"/>
      <c r="L2392" s="1"/>
    </row>
    <row r="2393" spans="1:12" ht="12.75">
      <c r="A2393" s="1"/>
      <c r="B2393" s="1"/>
      <c r="C2393" s="1"/>
      <c r="D2393" s="1"/>
      <c r="E2393" s="1"/>
      <c r="F2393" s="1"/>
      <c r="G2393" s="1"/>
      <c r="H2393" s="1"/>
      <c r="I2393" s="1"/>
      <c r="J2393" s="1"/>
      <c r="K2393" s="1"/>
      <c r="L2393" s="1"/>
    </row>
    <row r="2394" spans="1:12" ht="12.75">
      <c r="A2394" s="1"/>
      <c r="B2394" s="1"/>
      <c r="C2394" s="1"/>
      <c r="D2394" s="1"/>
      <c r="E2394" s="1"/>
      <c r="F2394" s="1"/>
      <c r="G2394" s="1"/>
      <c r="H2394" s="1"/>
      <c r="I2394" s="1"/>
      <c r="J2394" s="1"/>
      <c r="K2394" s="1"/>
      <c r="L2394" s="1"/>
    </row>
    <row r="2395" spans="1:12" ht="12.75">
      <c r="A2395" s="1"/>
      <c r="B2395" s="1"/>
      <c r="C2395" s="1"/>
      <c r="D2395" s="1"/>
      <c r="E2395" s="1"/>
      <c r="F2395" s="1"/>
      <c r="G2395" s="1"/>
      <c r="H2395" s="1"/>
      <c r="I2395" s="1"/>
      <c r="J2395" s="1"/>
      <c r="K2395" s="1"/>
      <c r="L2395" s="1"/>
    </row>
    <row r="2396" spans="1:12" ht="12.75">
      <c r="A2396" s="1"/>
      <c r="B2396" s="1"/>
      <c r="C2396" s="1"/>
      <c r="D2396" s="1"/>
      <c r="E2396" s="1"/>
      <c r="F2396" s="1"/>
      <c r="G2396" s="1"/>
      <c r="H2396" s="1"/>
      <c r="I2396" s="1"/>
      <c r="J2396" s="1"/>
      <c r="K2396" s="1"/>
      <c r="L2396" s="1"/>
    </row>
    <row r="2397" spans="1:12" ht="12.75">
      <c r="A2397" s="1"/>
      <c r="B2397" s="1"/>
      <c r="C2397" s="1"/>
      <c r="D2397" s="1"/>
      <c r="E2397" s="1"/>
      <c r="F2397" s="1"/>
      <c r="G2397" s="1"/>
      <c r="H2397" s="1"/>
      <c r="I2397" s="1"/>
      <c r="J2397" s="1"/>
      <c r="K2397" s="1"/>
      <c r="L2397" s="1"/>
    </row>
    <row r="2398" spans="1:12" ht="12.75">
      <c r="A2398" s="1"/>
      <c r="B2398" s="1"/>
      <c r="C2398" s="1"/>
      <c r="D2398" s="1"/>
      <c r="E2398" s="1"/>
      <c r="F2398" s="1"/>
      <c r="G2398" s="1"/>
      <c r="H2398" s="1"/>
      <c r="I2398" s="1"/>
      <c r="J2398" s="1"/>
      <c r="K2398" s="1"/>
      <c r="L2398" s="1"/>
    </row>
    <row r="2399" spans="1:12" ht="12.75">
      <c r="A2399" s="1"/>
      <c r="B2399" s="1"/>
      <c r="C2399" s="1"/>
      <c r="D2399" s="1"/>
      <c r="E2399" s="1"/>
      <c r="F2399" s="1"/>
      <c r="G2399" s="1"/>
      <c r="H2399" s="1"/>
      <c r="I2399" s="1"/>
      <c r="J2399" s="1"/>
      <c r="K2399" s="1"/>
      <c r="L2399" s="1"/>
    </row>
    <row r="2400" spans="1:12" ht="12.75">
      <c r="A2400" s="1"/>
      <c r="B2400" s="1"/>
      <c r="C2400" s="1"/>
      <c r="D2400" s="1"/>
      <c r="E2400" s="1"/>
      <c r="F2400" s="1"/>
      <c r="G2400" s="1"/>
      <c r="H2400" s="1"/>
      <c r="I2400" s="1"/>
      <c r="J2400" s="1"/>
      <c r="K2400" s="1"/>
      <c r="L2400" s="1"/>
    </row>
    <row r="2401" spans="1:12" ht="12.75">
      <c r="A2401" s="1"/>
      <c r="B2401" s="1"/>
      <c r="C2401" s="1"/>
      <c r="D2401" s="1"/>
      <c r="E2401" s="1"/>
      <c r="F2401" s="1"/>
      <c r="G2401" s="1"/>
      <c r="H2401" s="1"/>
      <c r="I2401" s="1"/>
      <c r="J2401" s="1"/>
      <c r="K2401" s="1"/>
      <c r="L2401" s="1"/>
    </row>
    <row r="2402" spans="1:12" ht="12.75">
      <c r="A2402" s="1"/>
      <c r="B2402" s="1"/>
      <c r="C2402" s="1"/>
      <c r="D2402" s="1"/>
      <c r="E2402" s="1"/>
      <c r="F2402" s="1"/>
      <c r="G2402" s="1"/>
      <c r="H2402" s="1"/>
      <c r="I2402" s="1"/>
      <c r="J2402" s="1"/>
      <c r="K2402" s="1"/>
      <c r="L2402" s="1"/>
    </row>
    <row r="2403" spans="1:12" ht="12.75">
      <c r="A2403" s="1"/>
      <c r="B2403" s="1"/>
      <c r="C2403" s="1"/>
      <c r="D2403" s="1"/>
      <c r="E2403" s="1"/>
      <c r="F2403" s="1"/>
      <c r="G2403" s="1"/>
      <c r="H2403" s="1"/>
      <c r="I2403" s="1"/>
      <c r="J2403" s="1"/>
      <c r="K2403" s="1"/>
      <c r="L2403" s="1"/>
    </row>
    <row r="2404" spans="1:12" ht="12.75">
      <c r="A2404" s="1"/>
      <c r="B2404" s="1"/>
      <c r="C2404" s="1"/>
      <c r="D2404" s="1"/>
      <c r="E2404" s="1"/>
      <c r="F2404" s="1"/>
      <c r="G2404" s="1"/>
      <c r="H2404" s="1"/>
      <c r="I2404" s="1"/>
      <c r="J2404" s="1"/>
      <c r="K2404" s="1"/>
      <c r="L2404" s="1"/>
    </row>
    <row r="2405" spans="1:12" ht="12.75">
      <c r="A2405" s="1"/>
      <c r="B2405" s="1"/>
      <c r="C2405" s="1"/>
      <c r="D2405" s="1"/>
      <c r="E2405" s="1"/>
      <c r="F2405" s="1"/>
      <c r="G2405" s="1"/>
      <c r="H2405" s="1"/>
      <c r="I2405" s="1"/>
      <c r="J2405" s="1"/>
      <c r="K2405" s="1"/>
      <c r="L2405" s="1"/>
    </row>
    <row r="2406" spans="1:12" ht="12.75">
      <c r="A2406" s="1"/>
      <c r="B2406" s="1"/>
      <c r="C2406" s="1"/>
      <c r="D2406" s="1"/>
      <c r="E2406" s="1"/>
      <c r="F2406" s="1"/>
      <c r="G2406" s="1"/>
      <c r="H2406" s="1"/>
      <c r="I2406" s="1"/>
      <c r="J2406" s="1"/>
      <c r="K2406" s="1"/>
      <c r="L2406" s="1"/>
    </row>
    <row r="2407" spans="1:12" ht="12.75">
      <c r="A2407" s="1"/>
      <c r="B2407" s="1"/>
      <c r="C2407" s="1"/>
      <c r="D2407" s="1"/>
      <c r="E2407" s="1"/>
      <c r="F2407" s="1"/>
      <c r="G2407" s="1"/>
      <c r="H2407" s="1"/>
      <c r="I2407" s="1"/>
      <c r="J2407" s="1"/>
      <c r="K2407" s="1"/>
      <c r="L2407" s="1"/>
    </row>
    <row r="2408" spans="1:12" ht="12.75">
      <c r="A2408" s="1"/>
      <c r="B2408" s="1"/>
      <c r="C2408" s="1"/>
      <c r="D2408" s="1"/>
      <c r="E2408" s="1"/>
      <c r="F2408" s="1"/>
      <c r="G2408" s="1"/>
      <c r="H2408" s="1"/>
      <c r="I2408" s="1"/>
      <c r="J2408" s="1"/>
      <c r="K2408" s="1"/>
      <c r="L2408" s="1"/>
    </row>
    <row r="2409" spans="1:12" ht="12.75">
      <c r="A2409" s="1"/>
      <c r="B2409" s="1"/>
      <c r="C2409" s="1"/>
      <c r="D2409" s="1"/>
      <c r="E2409" s="1"/>
      <c r="F2409" s="1"/>
      <c r="G2409" s="1"/>
      <c r="H2409" s="1"/>
      <c r="I2409" s="1"/>
      <c r="J2409" s="1"/>
      <c r="K2409" s="1"/>
      <c r="L2409" s="1"/>
    </row>
    <row r="2410" spans="1:12" ht="12.75">
      <c r="A2410" s="1"/>
      <c r="B2410" s="1"/>
      <c r="C2410" s="1"/>
      <c r="D2410" s="1"/>
      <c r="E2410" s="1"/>
      <c r="F2410" s="1"/>
      <c r="G2410" s="1"/>
      <c r="H2410" s="1"/>
      <c r="I2410" s="1"/>
      <c r="J2410" s="1"/>
      <c r="K2410" s="1"/>
      <c r="L2410" s="1"/>
    </row>
    <row r="2411" spans="1:12" ht="12.75">
      <c r="A2411" s="1"/>
      <c r="B2411" s="1"/>
      <c r="C2411" s="1"/>
      <c r="D2411" s="1"/>
      <c r="E2411" s="1"/>
      <c r="F2411" s="1"/>
      <c r="G2411" s="1"/>
      <c r="H2411" s="1"/>
      <c r="I2411" s="1"/>
      <c r="J2411" s="1"/>
      <c r="K2411" s="1"/>
      <c r="L2411" s="1"/>
    </row>
    <row r="2412" spans="1:12" ht="12.75">
      <c r="A2412" s="1"/>
      <c r="B2412" s="1"/>
      <c r="C2412" s="1"/>
      <c r="D2412" s="1"/>
      <c r="E2412" s="1"/>
      <c r="F2412" s="1"/>
      <c r="G2412" s="1"/>
      <c r="H2412" s="1"/>
      <c r="I2412" s="1"/>
      <c r="J2412" s="1"/>
      <c r="K2412" s="1"/>
      <c r="L2412" s="1"/>
    </row>
    <row r="2413" spans="1:12" ht="12.75">
      <c r="A2413" s="1"/>
      <c r="B2413" s="1"/>
      <c r="C2413" s="1"/>
      <c r="D2413" s="1"/>
      <c r="E2413" s="1"/>
      <c r="F2413" s="1"/>
      <c r="G2413" s="1"/>
      <c r="H2413" s="1"/>
      <c r="I2413" s="1"/>
      <c r="J2413" s="1"/>
      <c r="K2413" s="1"/>
      <c r="L2413" s="1"/>
    </row>
    <row r="2414" spans="1:12" ht="12.75">
      <c r="A2414" s="1"/>
      <c r="B2414" s="1"/>
      <c r="C2414" s="1"/>
      <c r="D2414" s="1"/>
      <c r="E2414" s="1"/>
      <c r="F2414" s="1"/>
      <c r="G2414" s="1"/>
      <c r="H2414" s="1"/>
      <c r="I2414" s="1"/>
      <c r="J2414" s="1"/>
      <c r="K2414" s="1"/>
      <c r="L2414" s="1"/>
    </row>
    <row r="2415" spans="1:12" ht="12.75">
      <c r="A2415" s="1"/>
      <c r="B2415" s="1"/>
      <c r="C2415" s="1"/>
      <c r="D2415" s="1"/>
      <c r="E2415" s="1"/>
      <c r="F2415" s="1"/>
      <c r="G2415" s="1"/>
      <c r="H2415" s="1"/>
      <c r="I2415" s="1"/>
      <c r="J2415" s="1"/>
      <c r="K2415" s="1"/>
      <c r="L2415" s="1"/>
    </row>
    <row r="2416" spans="1:12" ht="12.75">
      <c r="A2416" s="1"/>
      <c r="B2416" s="1"/>
      <c r="C2416" s="1"/>
      <c r="D2416" s="1"/>
      <c r="E2416" s="1"/>
      <c r="F2416" s="1"/>
      <c r="G2416" s="1"/>
      <c r="H2416" s="1"/>
      <c r="I2416" s="1"/>
      <c r="J2416" s="1"/>
      <c r="K2416" s="1"/>
      <c r="L2416" s="1"/>
    </row>
    <row r="2417" spans="1:12" ht="12.75">
      <c r="A2417" s="1"/>
      <c r="B2417" s="1"/>
      <c r="C2417" s="1"/>
      <c r="D2417" s="1"/>
      <c r="E2417" s="1"/>
      <c r="F2417" s="1"/>
      <c r="G2417" s="1"/>
      <c r="H2417" s="1"/>
      <c r="I2417" s="1"/>
      <c r="J2417" s="1"/>
      <c r="K2417" s="1"/>
      <c r="L2417" s="1"/>
    </row>
    <row r="2418" spans="1:12" ht="12.75">
      <c r="A2418" s="1"/>
      <c r="B2418" s="1"/>
      <c r="C2418" s="1"/>
      <c r="D2418" s="1"/>
      <c r="E2418" s="1"/>
      <c r="F2418" s="1"/>
      <c r="G2418" s="1"/>
      <c r="H2418" s="1"/>
      <c r="I2418" s="1"/>
      <c r="J2418" s="1"/>
      <c r="K2418" s="1"/>
      <c r="L2418" s="1"/>
    </row>
    <row r="2419" spans="1:12" ht="12.75">
      <c r="A2419" s="1"/>
      <c r="B2419" s="1"/>
      <c r="C2419" s="1"/>
      <c r="D2419" s="1"/>
      <c r="E2419" s="1"/>
      <c r="F2419" s="1"/>
      <c r="G2419" s="1"/>
      <c r="H2419" s="1"/>
      <c r="I2419" s="1"/>
      <c r="J2419" s="1"/>
      <c r="K2419" s="1"/>
      <c r="L2419" s="1"/>
    </row>
    <row r="2420" spans="1:12" ht="12.75">
      <c r="A2420" s="1"/>
      <c r="B2420" s="1"/>
      <c r="C2420" s="1"/>
      <c r="D2420" s="1"/>
      <c r="E2420" s="1"/>
      <c r="F2420" s="1"/>
      <c r="G2420" s="1"/>
      <c r="H2420" s="1"/>
      <c r="I2420" s="1"/>
      <c r="J2420" s="1"/>
      <c r="K2420" s="1"/>
      <c r="L2420" s="1"/>
    </row>
    <row r="2421" spans="1:12" ht="12.75">
      <c r="A2421" s="1"/>
      <c r="B2421" s="1"/>
      <c r="C2421" s="1"/>
      <c r="D2421" s="1"/>
      <c r="E2421" s="1"/>
      <c r="F2421" s="1"/>
      <c r="G2421" s="1"/>
      <c r="H2421" s="1"/>
      <c r="I2421" s="1"/>
      <c r="J2421" s="1"/>
      <c r="K2421" s="1"/>
      <c r="L2421" s="1"/>
    </row>
    <row r="2422" spans="1:12" ht="12.75">
      <c r="A2422" s="1"/>
      <c r="B2422" s="1"/>
      <c r="C2422" s="1"/>
      <c r="D2422" s="1"/>
      <c r="E2422" s="1"/>
      <c r="F2422" s="1"/>
      <c r="G2422" s="1"/>
      <c r="H2422" s="1"/>
      <c r="I2422" s="1"/>
      <c r="J2422" s="1"/>
      <c r="K2422" s="1"/>
      <c r="L2422" s="1"/>
    </row>
    <row r="2423" spans="1:12" ht="12.75">
      <c r="A2423" s="1"/>
      <c r="B2423" s="1"/>
      <c r="C2423" s="1"/>
      <c r="D2423" s="1"/>
      <c r="E2423" s="1"/>
      <c r="F2423" s="1"/>
      <c r="G2423" s="1"/>
      <c r="H2423" s="1"/>
      <c r="I2423" s="1"/>
      <c r="J2423" s="1"/>
      <c r="K2423" s="1"/>
      <c r="L2423" s="1"/>
    </row>
    <row r="2424" spans="1:12" ht="12.75">
      <c r="A2424" s="1"/>
      <c r="B2424" s="1"/>
      <c r="C2424" s="1"/>
      <c r="D2424" s="1"/>
      <c r="E2424" s="1"/>
      <c r="F2424" s="1"/>
      <c r="G2424" s="1"/>
      <c r="H2424" s="1"/>
      <c r="I2424" s="1"/>
      <c r="J2424" s="1"/>
      <c r="K2424" s="1"/>
      <c r="L2424" s="1"/>
    </row>
    <row r="2425" spans="1:12" ht="12.75">
      <c r="A2425" s="1"/>
      <c r="B2425" s="1"/>
      <c r="C2425" s="1"/>
      <c r="D2425" s="1"/>
      <c r="E2425" s="1"/>
      <c r="F2425" s="1"/>
      <c r="G2425" s="1"/>
      <c r="H2425" s="1"/>
      <c r="I2425" s="1"/>
      <c r="J2425" s="1"/>
      <c r="K2425" s="1"/>
      <c r="L2425" s="1"/>
    </row>
    <row r="2426" spans="1:12" ht="12.75">
      <c r="A2426" s="1"/>
      <c r="B2426" s="1"/>
      <c r="C2426" s="1"/>
      <c r="D2426" s="1"/>
      <c r="E2426" s="1"/>
      <c r="F2426" s="1"/>
      <c r="G2426" s="1"/>
      <c r="H2426" s="1"/>
      <c r="I2426" s="1"/>
      <c r="J2426" s="1"/>
      <c r="K2426" s="1"/>
      <c r="L2426" s="1"/>
    </row>
    <row r="2427" spans="1:12" ht="12.75">
      <c r="A2427" s="1"/>
      <c r="B2427" s="1"/>
      <c r="C2427" s="1"/>
      <c r="D2427" s="1"/>
      <c r="E2427" s="1"/>
      <c r="F2427" s="1"/>
      <c r="G2427" s="1"/>
      <c r="H2427" s="1"/>
      <c r="I2427" s="1"/>
      <c r="J2427" s="1"/>
      <c r="K2427" s="1"/>
      <c r="L2427" s="1"/>
    </row>
    <row r="2428" spans="1:12" ht="12.75">
      <c r="A2428" s="1"/>
      <c r="B2428" s="1"/>
      <c r="C2428" s="1"/>
      <c r="D2428" s="1"/>
      <c r="E2428" s="1"/>
      <c r="F2428" s="1"/>
      <c r="G2428" s="1"/>
      <c r="H2428" s="1"/>
      <c r="I2428" s="1"/>
      <c r="J2428" s="1"/>
      <c r="K2428" s="1"/>
      <c r="L2428" s="1"/>
    </row>
    <row r="2429" spans="1:12" ht="12.75">
      <c r="A2429" s="1"/>
      <c r="B2429" s="1"/>
      <c r="C2429" s="1"/>
      <c r="D2429" s="1"/>
      <c r="E2429" s="1"/>
      <c r="F2429" s="1"/>
      <c r="G2429" s="1"/>
      <c r="H2429" s="1"/>
      <c r="I2429" s="1"/>
      <c r="J2429" s="1"/>
      <c r="K2429" s="1"/>
      <c r="L2429" s="1"/>
    </row>
    <row r="2430" spans="1:12" ht="12.75">
      <c r="A2430" s="1"/>
      <c r="B2430" s="1"/>
      <c r="C2430" s="1"/>
      <c r="D2430" s="1"/>
      <c r="E2430" s="1"/>
      <c r="F2430" s="1"/>
      <c r="G2430" s="1"/>
      <c r="H2430" s="1"/>
      <c r="I2430" s="1"/>
      <c r="J2430" s="1"/>
      <c r="K2430" s="1"/>
      <c r="L2430" s="1"/>
    </row>
    <row r="2431" spans="1:12" ht="12.75">
      <c r="A2431" s="1"/>
      <c r="B2431" s="1"/>
      <c r="C2431" s="1"/>
      <c r="D2431" s="1"/>
      <c r="E2431" s="1"/>
      <c r="F2431" s="1"/>
      <c r="G2431" s="1"/>
      <c r="H2431" s="1"/>
      <c r="I2431" s="1"/>
      <c r="J2431" s="1"/>
      <c r="K2431" s="1"/>
      <c r="L2431" s="1"/>
    </row>
    <row r="2432" spans="1:12" ht="12.75">
      <c r="A2432" s="1"/>
      <c r="B2432" s="1"/>
      <c r="C2432" s="1"/>
      <c r="D2432" s="1"/>
      <c r="E2432" s="1"/>
      <c r="F2432" s="1"/>
      <c r="G2432" s="1"/>
      <c r="H2432" s="1"/>
      <c r="I2432" s="1"/>
      <c r="J2432" s="1"/>
      <c r="K2432" s="1"/>
      <c r="L2432" s="1"/>
    </row>
    <row r="2433" spans="1:12" ht="12.75">
      <c r="A2433" s="1"/>
      <c r="B2433" s="1"/>
      <c r="C2433" s="1"/>
      <c r="D2433" s="1"/>
      <c r="E2433" s="1"/>
      <c r="F2433" s="1"/>
      <c r="G2433" s="1"/>
      <c r="H2433" s="1"/>
      <c r="I2433" s="1"/>
      <c r="J2433" s="1"/>
      <c r="K2433" s="1"/>
      <c r="L2433" s="1"/>
    </row>
    <row r="2434" spans="1:12" ht="12.75">
      <c r="A2434" s="1"/>
      <c r="B2434" s="1"/>
      <c r="C2434" s="1"/>
      <c r="D2434" s="1"/>
      <c r="E2434" s="1"/>
      <c r="F2434" s="1"/>
      <c r="G2434" s="1"/>
      <c r="H2434" s="1"/>
      <c r="I2434" s="1"/>
      <c r="J2434" s="1"/>
      <c r="K2434" s="1"/>
      <c r="L2434" s="1"/>
    </row>
    <row r="2435" spans="1:12" ht="12.75">
      <c r="A2435" s="1"/>
      <c r="B2435" s="1"/>
      <c r="C2435" s="1"/>
      <c r="D2435" s="1"/>
      <c r="E2435" s="1"/>
      <c r="F2435" s="1"/>
      <c r="G2435" s="1"/>
      <c r="H2435" s="1"/>
      <c r="I2435" s="1"/>
      <c r="J2435" s="1"/>
      <c r="K2435" s="1"/>
      <c r="L2435" s="1"/>
    </row>
    <row r="2436" spans="1:12" ht="12.75">
      <c r="A2436" s="1"/>
      <c r="B2436" s="1"/>
      <c r="C2436" s="1"/>
      <c r="D2436" s="1"/>
      <c r="E2436" s="1"/>
      <c r="F2436" s="1"/>
      <c r="G2436" s="1"/>
      <c r="H2436" s="1"/>
      <c r="I2436" s="1"/>
      <c r="J2436" s="1"/>
      <c r="K2436" s="1"/>
      <c r="L2436" s="1"/>
    </row>
    <row r="2437" spans="1:12" ht="12.75">
      <c r="A2437" s="1"/>
      <c r="B2437" s="1"/>
      <c r="C2437" s="1"/>
      <c r="D2437" s="1"/>
      <c r="E2437" s="1"/>
      <c r="F2437" s="1"/>
      <c r="G2437" s="1"/>
      <c r="H2437" s="1"/>
      <c r="I2437" s="1"/>
      <c r="J2437" s="1"/>
      <c r="K2437" s="1"/>
      <c r="L2437" s="1"/>
    </row>
    <row r="2438" spans="1:12" ht="12.75">
      <c r="A2438" s="1"/>
      <c r="B2438" s="1"/>
      <c r="C2438" s="1"/>
      <c r="D2438" s="1"/>
      <c r="E2438" s="1"/>
      <c r="F2438" s="1"/>
      <c r="G2438" s="1"/>
      <c r="H2438" s="1"/>
      <c r="I2438" s="1"/>
      <c r="J2438" s="1"/>
      <c r="K2438" s="1"/>
      <c r="L2438" s="1"/>
    </row>
    <row r="2439" spans="1:12" ht="12.75">
      <c r="A2439" s="1"/>
      <c r="B2439" s="1"/>
      <c r="C2439" s="1"/>
      <c r="D2439" s="1"/>
      <c r="E2439" s="1"/>
      <c r="F2439" s="1"/>
      <c r="G2439" s="1"/>
      <c r="H2439" s="1"/>
      <c r="I2439" s="1"/>
      <c r="J2439" s="1"/>
      <c r="K2439" s="1"/>
      <c r="L2439" s="1"/>
    </row>
    <row r="2440" spans="1:12" ht="12.75">
      <c r="A2440" s="1"/>
      <c r="B2440" s="1"/>
      <c r="C2440" s="1"/>
      <c r="D2440" s="1"/>
      <c r="E2440" s="1"/>
      <c r="F2440" s="1"/>
      <c r="G2440" s="1"/>
      <c r="H2440" s="1"/>
      <c r="I2440" s="1"/>
      <c r="J2440" s="1"/>
      <c r="K2440" s="1"/>
      <c r="L2440" s="1"/>
    </row>
    <row r="2441" spans="1:12" ht="12.75">
      <c r="A2441" s="1"/>
      <c r="B2441" s="1"/>
      <c r="C2441" s="1"/>
      <c r="D2441" s="1"/>
      <c r="E2441" s="1"/>
      <c r="F2441" s="1"/>
      <c r="G2441" s="1"/>
      <c r="H2441" s="1"/>
      <c r="I2441" s="1"/>
      <c r="J2441" s="1"/>
      <c r="K2441" s="1"/>
      <c r="L2441" s="1"/>
    </row>
    <row r="2442" spans="1:12" ht="12.75">
      <c r="A2442" s="1"/>
      <c r="B2442" s="1"/>
      <c r="C2442" s="1"/>
      <c r="D2442" s="1"/>
      <c r="E2442" s="1"/>
      <c r="F2442" s="1"/>
      <c r="G2442" s="1"/>
      <c r="H2442" s="1"/>
      <c r="I2442" s="1"/>
      <c r="J2442" s="1"/>
      <c r="K2442" s="1"/>
      <c r="L2442" s="1"/>
    </row>
    <row r="2443" spans="1:12" ht="12.75">
      <c r="A2443" s="1"/>
      <c r="B2443" s="1"/>
      <c r="C2443" s="1"/>
      <c r="D2443" s="1"/>
      <c r="E2443" s="1"/>
      <c r="F2443" s="1"/>
      <c r="G2443" s="1"/>
      <c r="H2443" s="1"/>
      <c r="I2443" s="1"/>
      <c r="J2443" s="1"/>
      <c r="K2443" s="1"/>
      <c r="L2443" s="1"/>
    </row>
    <row r="2444" spans="1:12" ht="12.75">
      <c r="A2444" s="1"/>
      <c r="B2444" s="1"/>
      <c r="C2444" s="1"/>
      <c r="D2444" s="1"/>
      <c r="E2444" s="1"/>
      <c r="F2444" s="1"/>
      <c r="G2444" s="1"/>
      <c r="H2444" s="1"/>
      <c r="I2444" s="1"/>
      <c r="J2444" s="1"/>
      <c r="K2444" s="1"/>
      <c r="L2444" s="1"/>
    </row>
    <row r="2445" spans="1:12" ht="12.75">
      <c r="A2445" s="1"/>
      <c r="B2445" s="1"/>
      <c r="C2445" s="1"/>
      <c r="D2445" s="1"/>
      <c r="E2445" s="1"/>
      <c r="F2445" s="1"/>
      <c r="G2445" s="1"/>
      <c r="H2445" s="1"/>
      <c r="I2445" s="1"/>
      <c r="J2445" s="1"/>
      <c r="K2445" s="1"/>
      <c r="L2445" s="1"/>
    </row>
    <row r="2446" spans="1:12" ht="12.75">
      <c r="A2446" s="1"/>
      <c r="B2446" s="1"/>
      <c r="C2446" s="1"/>
      <c r="D2446" s="1"/>
      <c r="E2446" s="1"/>
      <c r="F2446" s="1"/>
      <c r="G2446" s="1"/>
      <c r="H2446" s="1"/>
      <c r="I2446" s="1"/>
      <c r="J2446" s="1"/>
      <c r="K2446" s="1"/>
      <c r="L2446" s="1"/>
    </row>
    <row r="2447" spans="1:12" ht="12.75">
      <c r="A2447" s="1"/>
      <c r="B2447" s="1"/>
      <c r="C2447" s="1"/>
      <c r="D2447" s="1"/>
      <c r="E2447" s="1"/>
      <c r="F2447" s="1"/>
      <c r="G2447" s="1"/>
      <c r="H2447" s="1"/>
      <c r="I2447" s="1"/>
      <c r="J2447" s="1"/>
      <c r="K2447" s="1"/>
      <c r="L2447" s="1"/>
    </row>
    <row r="2448" spans="1:12" ht="12.75">
      <c r="A2448" s="1"/>
      <c r="B2448" s="1"/>
      <c r="C2448" s="1"/>
      <c r="D2448" s="1"/>
      <c r="E2448" s="1"/>
      <c r="F2448" s="1"/>
      <c r="G2448" s="1"/>
      <c r="H2448" s="1"/>
      <c r="I2448" s="1"/>
      <c r="J2448" s="1"/>
      <c r="K2448" s="1"/>
      <c r="L2448" s="1"/>
    </row>
    <row r="2449" spans="1:12" ht="12.75">
      <c r="A2449" s="1"/>
      <c r="B2449" s="1"/>
      <c r="C2449" s="1"/>
      <c r="D2449" s="1"/>
      <c r="E2449" s="1"/>
      <c r="F2449" s="1"/>
      <c r="G2449" s="1"/>
      <c r="H2449" s="1"/>
      <c r="I2449" s="1"/>
      <c r="J2449" s="1"/>
      <c r="K2449" s="1"/>
      <c r="L2449" s="1"/>
    </row>
    <row r="2450" spans="1:12" ht="12.75">
      <c r="G2450" s="1"/>
      <c r="H2450" s="1"/>
      <c r="I2450" s="1"/>
      <c r="J2450" s="1"/>
      <c r="K2450" s="1"/>
      <c r="L2450" s="1"/>
    </row>
    <row r="2451" spans="1:12" ht="12.75">
      <c r="G2451" s="1"/>
      <c r="H2451" s="1"/>
      <c r="I2451" s="1"/>
      <c r="J2451" s="1"/>
      <c r="K2451" s="1"/>
      <c r="L2451" s="1"/>
    </row>
    <row r="2452" spans="1:12" ht="12.75">
      <c r="G2452" s="1"/>
      <c r="H2452" s="1"/>
      <c r="I2452" s="1"/>
      <c r="J2452" s="1"/>
      <c r="K2452" s="1"/>
      <c r="L2452" s="1"/>
    </row>
    <row r="2453" spans="1:12" ht="12.75">
      <c r="G2453" s="1"/>
      <c r="H2453" s="1"/>
      <c r="I2453" s="1"/>
      <c r="J2453" s="1"/>
      <c r="K2453" s="1"/>
      <c r="L2453" s="1"/>
    </row>
    <row r="2454" spans="1:12" ht="12.75">
      <c r="G2454" s="1"/>
      <c r="H2454" s="1"/>
      <c r="I2454" s="1"/>
      <c r="J2454" s="1"/>
      <c r="K2454" s="1"/>
      <c r="L2454" s="1"/>
    </row>
    <row r="2455" spans="1:12" ht="12.75">
      <c r="G2455" s="1"/>
      <c r="H2455" s="1"/>
      <c r="I2455" s="1"/>
      <c r="J2455" s="1"/>
      <c r="K2455" s="1"/>
      <c r="L2455" s="1"/>
    </row>
    <row r="2456" spans="1:12" ht="12.75">
      <c r="G2456" s="1"/>
      <c r="H2456" s="1"/>
      <c r="I2456" s="1"/>
      <c r="J2456" s="1"/>
      <c r="K2456" s="1"/>
      <c r="L2456" s="1"/>
    </row>
    <row r="2457" spans="1:12" ht="12.75">
      <c r="G2457" s="1"/>
      <c r="H2457" s="1"/>
      <c r="I2457" s="1"/>
      <c r="J2457" s="1"/>
      <c r="K2457" s="1"/>
      <c r="L2457" s="1"/>
    </row>
    <row r="2458" spans="1:12" ht="12.75">
      <c r="G2458" s="1"/>
      <c r="H2458" s="1"/>
      <c r="I2458" s="1"/>
      <c r="J2458" s="1"/>
      <c r="K2458" s="1"/>
      <c r="L2458" s="1"/>
    </row>
    <row r="2459" spans="1:12" ht="12.75">
      <c r="G2459" s="1"/>
      <c r="H2459" s="1"/>
      <c r="I2459" s="1"/>
      <c r="J2459" s="1"/>
      <c r="K2459" s="1"/>
      <c r="L2459" s="1"/>
    </row>
    <row r="2460" spans="1:12" ht="12.75">
      <c r="G2460" s="1"/>
      <c r="H2460" s="1"/>
      <c r="I2460" s="1"/>
      <c r="J2460" s="1"/>
      <c r="K2460" s="1"/>
      <c r="L2460" s="1"/>
    </row>
    <row r="2461" spans="1:12" ht="12.75">
      <c r="G2461" s="1"/>
      <c r="H2461" s="1"/>
      <c r="I2461" s="1"/>
      <c r="J2461" s="1"/>
      <c r="K2461" s="1"/>
      <c r="L2461" s="1"/>
    </row>
    <row r="2462" spans="1:12" ht="12.75">
      <c r="G2462" s="1"/>
      <c r="H2462" s="1"/>
      <c r="I2462" s="1"/>
      <c r="J2462" s="1"/>
      <c r="K2462" s="1"/>
      <c r="L2462" s="1"/>
    </row>
    <row r="2463" spans="1:12" ht="12.75">
      <c r="G2463" s="1"/>
      <c r="H2463" s="1"/>
      <c r="I2463" s="1"/>
      <c r="J2463" s="1"/>
      <c r="K2463" s="1"/>
      <c r="L2463" s="1"/>
    </row>
    <row r="2464" spans="1:12" ht="12.75">
      <c r="G2464" s="1"/>
      <c r="H2464" s="1"/>
      <c r="I2464" s="1"/>
      <c r="J2464" s="1"/>
      <c r="K2464" s="1"/>
      <c r="L2464" s="1"/>
    </row>
  </sheetData>
  <phoneticPr fontId="3"/>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7"/>
  <sheetViews>
    <sheetView zoomScale="70" zoomScaleNormal="70" workbookViewId="0">
      <selection activeCell="B11" sqref="B11:G17"/>
    </sheetView>
  </sheetViews>
  <sheetFormatPr defaultRowHeight="14.25"/>
  <cols>
    <col min="1" max="1" width="2.7109375" style="10" customWidth="1"/>
    <col min="2" max="2" width="11.5703125" style="10" customWidth="1"/>
    <col min="3" max="13" width="10.5703125" style="10" customWidth="1"/>
    <col min="14" max="16384" width="9.140625" style="10"/>
  </cols>
  <sheetData>
    <row r="1" spans="2:13">
      <c r="B1" s="10" t="s">
        <v>1678</v>
      </c>
    </row>
    <row r="2" spans="2:13">
      <c r="B2" s="10" t="s">
        <v>2</v>
      </c>
    </row>
    <row r="3" spans="2:13" ht="174.75" customHeight="1">
      <c r="B3" s="11" t="s">
        <v>1668</v>
      </c>
      <c r="C3" s="14" t="s">
        <v>1664</v>
      </c>
      <c r="D3" s="14" t="s">
        <v>9</v>
      </c>
      <c r="E3" s="14" t="s">
        <v>1665</v>
      </c>
      <c r="F3" s="14" t="s">
        <v>24</v>
      </c>
      <c r="G3" s="14" t="s">
        <v>14</v>
      </c>
      <c r="H3" s="14" t="s">
        <v>19</v>
      </c>
      <c r="I3" s="14" t="s">
        <v>17</v>
      </c>
      <c r="J3" s="14" t="s">
        <v>1666</v>
      </c>
      <c r="K3" s="14" t="s">
        <v>22</v>
      </c>
      <c r="L3" s="14" t="s">
        <v>1667</v>
      </c>
      <c r="M3" s="14" t="s">
        <v>1672</v>
      </c>
    </row>
    <row r="4" spans="2:13">
      <c r="B4" s="11" t="s">
        <v>1669</v>
      </c>
      <c r="C4" s="12">
        <f>COUNTIFS(フォームの回答!$C$2:$C$2349,$B4,フォームの回答!$D$2:$D$2349,C$3)</f>
        <v>513</v>
      </c>
      <c r="D4" s="12">
        <f>COUNTIFS(フォームの回答!$C$2:$C$2349,$B4,フォームの回答!$D$2:$D$2349,D$3)</f>
        <v>68</v>
      </c>
      <c r="E4" s="12">
        <f>COUNTIFS(フォームの回答!$C$2:$C$2349,$B4,フォームの回答!$D$2:$D$2349,E$3)</f>
        <v>106</v>
      </c>
      <c r="F4" s="12">
        <f>COUNTIFS(フォームの回答!$C$2:$C$2349,$B4,フォームの回答!$D$2:$D$2349,F$3)</f>
        <v>263</v>
      </c>
      <c r="G4" s="12">
        <f>COUNTIFS(フォームの回答!$C$2:$C$2349,$B4,フォームの回答!$D$2:$D$2349,G$3)</f>
        <v>64</v>
      </c>
      <c r="H4" s="12">
        <f>COUNTIFS(フォームの回答!$C$2:$C$2349,$B4,フォームの回答!$D$2:$D$2349,H$3)</f>
        <v>135</v>
      </c>
      <c r="I4" s="12">
        <f>COUNTIFS(フォームの回答!$C$2:$C$2349,$B4,フォームの回答!$D$2:$D$2349,I$3)</f>
        <v>30</v>
      </c>
      <c r="J4" s="12">
        <f>COUNTIFS(フォームの回答!$C$2:$C$2349,$B4,フォームの回答!$D$2:$D$2349,J$3)</f>
        <v>42</v>
      </c>
      <c r="K4" s="12">
        <f>COUNTIFS(フォームの回答!$C$2:$C$2349,$B4,フォームの回答!$D$2:$D$2349,K$3)</f>
        <v>118</v>
      </c>
      <c r="L4" s="12">
        <f>M4-SUM(C4:K4)</f>
        <v>140</v>
      </c>
      <c r="M4" s="12">
        <f>COUNTIFS(フォームの回答!$C$2:$C$2349,$B4)</f>
        <v>1479</v>
      </c>
    </row>
    <row r="5" spans="2:13">
      <c r="B5" s="11" t="s">
        <v>1670</v>
      </c>
      <c r="C5" s="12">
        <f>COUNTIFS(フォームの回答!$C$2:$C$2349,$B5,フォームの回答!$D$2:$D$2349,C$3)</f>
        <v>321</v>
      </c>
      <c r="D5" s="12">
        <f>COUNTIFS(フォームの回答!$C$2:$C$2349,$B5,フォームの回答!$D$2:$D$2349,D$3)</f>
        <v>9</v>
      </c>
      <c r="E5" s="12">
        <f>COUNTIFS(フォームの回答!$C$2:$C$2349,$B5,フォームの回答!$D$2:$D$2349,E$3)</f>
        <v>50</v>
      </c>
      <c r="F5" s="12">
        <f>COUNTIFS(フォームの回答!$C$2:$C$2349,$B5,フォームの回答!$D$2:$D$2349,F$3)</f>
        <v>71</v>
      </c>
      <c r="G5" s="12">
        <f>COUNTIFS(フォームの回答!$C$2:$C$2349,$B5,フォームの回答!$D$2:$D$2349,G$3)</f>
        <v>18</v>
      </c>
      <c r="H5" s="12">
        <f>COUNTIFS(フォームの回答!$C$2:$C$2349,$B5,フォームの回答!$D$2:$D$2349,H$3)</f>
        <v>208</v>
      </c>
      <c r="I5" s="12">
        <f>COUNTIFS(フォームの回答!$C$2:$C$2349,$B5,フォームの回答!$D$2:$D$2349,I$3)</f>
        <v>42</v>
      </c>
      <c r="J5" s="12">
        <f>COUNTIFS(フォームの回答!$C$2:$C$2349,$B5,フォームの回答!$D$2:$D$2349,J$3)</f>
        <v>19</v>
      </c>
      <c r="K5" s="12">
        <f>COUNTIFS(フォームの回答!$C$2:$C$2349,$B5,フォームの回答!$D$2:$D$2349,K$3)</f>
        <v>5</v>
      </c>
      <c r="L5" s="12">
        <f>M5-SUM(C5:K5)</f>
        <v>126</v>
      </c>
      <c r="M5" s="12">
        <f>COUNTIFS(フォームの回答!$C$2:$C$2349,$B5)</f>
        <v>869</v>
      </c>
    </row>
    <row r="6" spans="2:13">
      <c r="B6" s="11" t="s">
        <v>1671</v>
      </c>
      <c r="C6" s="12">
        <f>SUM(C4:C5)</f>
        <v>834</v>
      </c>
      <c r="D6" s="12">
        <f t="shared" ref="D6:K6" si="0">SUM(D4:D5)</f>
        <v>77</v>
      </c>
      <c r="E6" s="12">
        <f t="shared" si="0"/>
        <v>156</v>
      </c>
      <c r="F6" s="12">
        <f t="shared" si="0"/>
        <v>334</v>
      </c>
      <c r="G6" s="12">
        <f t="shared" si="0"/>
        <v>82</v>
      </c>
      <c r="H6" s="12">
        <f t="shared" si="0"/>
        <v>343</v>
      </c>
      <c r="I6" s="12">
        <f t="shared" si="0"/>
        <v>72</v>
      </c>
      <c r="J6" s="12">
        <f t="shared" si="0"/>
        <v>61</v>
      </c>
      <c r="K6" s="12">
        <f t="shared" si="0"/>
        <v>123</v>
      </c>
      <c r="L6" s="12">
        <f t="shared" ref="L6" si="1">SUM(L4:L5)</f>
        <v>266</v>
      </c>
      <c r="M6" s="12">
        <f t="shared" ref="M6" si="2">SUM(M4:M5)</f>
        <v>2348</v>
      </c>
    </row>
    <row r="7" spans="2:13">
      <c r="B7" s="11" t="s">
        <v>1669</v>
      </c>
      <c r="C7" s="13">
        <f>C4/$M4</f>
        <v>0.34685598377281945</v>
      </c>
      <c r="D7" s="13">
        <f t="shared" ref="D7:L7" si="3">D4/$M4</f>
        <v>4.5977011494252873E-2</v>
      </c>
      <c r="E7" s="13">
        <f t="shared" si="3"/>
        <v>7.1670047329276537E-2</v>
      </c>
      <c r="F7" s="13">
        <f t="shared" si="3"/>
        <v>0.17782285327924274</v>
      </c>
      <c r="G7" s="13">
        <f t="shared" si="3"/>
        <v>4.3272481406355645E-2</v>
      </c>
      <c r="H7" s="13">
        <f t="shared" si="3"/>
        <v>9.1277890466531439E-2</v>
      </c>
      <c r="I7" s="13">
        <f t="shared" si="3"/>
        <v>2.0283975659229209E-2</v>
      </c>
      <c r="J7" s="13">
        <f t="shared" si="3"/>
        <v>2.8397565922920892E-2</v>
      </c>
      <c r="K7" s="13">
        <f t="shared" si="3"/>
        <v>7.9783637592968221E-2</v>
      </c>
      <c r="L7" s="13">
        <f t="shared" si="3"/>
        <v>9.4658553076402974E-2</v>
      </c>
      <c r="M7" s="11"/>
    </row>
    <row r="8" spans="2:13">
      <c r="B8" s="11" t="s">
        <v>1670</v>
      </c>
      <c r="C8" s="13">
        <f>C5/$M5</f>
        <v>0.36939010356731877</v>
      </c>
      <c r="D8" s="13">
        <f t="shared" ref="D8:L8" si="4">D5/$M5</f>
        <v>1.0356731875719217E-2</v>
      </c>
      <c r="E8" s="13">
        <f t="shared" si="4"/>
        <v>5.7537399309551207E-2</v>
      </c>
      <c r="F8" s="13">
        <f t="shared" si="4"/>
        <v>8.170310701956271E-2</v>
      </c>
      <c r="G8" s="13">
        <f t="shared" si="4"/>
        <v>2.0713463751438434E-2</v>
      </c>
      <c r="H8" s="13">
        <f t="shared" si="4"/>
        <v>0.23935558112773303</v>
      </c>
      <c r="I8" s="13">
        <f t="shared" si="4"/>
        <v>4.8331415420023012E-2</v>
      </c>
      <c r="J8" s="13">
        <f t="shared" si="4"/>
        <v>2.1864211737629459E-2</v>
      </c>
      <c r="K8" s="13">
        <f t="shared" si="4"/>
        <v>5.7537399309551211E-3</v>
      </c>
      <c r="L8" s="13">
        <f t="shared" si="4"/>
        <v>0.14499424626006904</v>
      </c>
      <c r="M8" s="11"/>
    </row>
    <row r="11" spans="2:13">
      <c r="B11" s="10" t="s">
        <v>1673</v>
      </c>
    </row>
    <row r="12" spans="2:13" ht="104.25" customHeight="1">
      <c r="B12" s="11" t="s">
        <v>1668</v>
      </c>
      <c r="C12" s="14" t="s">
        <v>1674</v>
      </c>
      <c r="D12" s="14" t="s">
        <v>1675</v>
      </c>
      <c r="E12" s="14" t="s">
        <v>1676</v>
      </c>
      <c r="F12" s="14" t="s">
        <v>1677</v>
      </c>
      <c r="G12" s="14" t="s">
        <v>1672</v>
      </c>
    </row>
    <row r="13" spans="2:13">
      <c r="B13" s="11" t="s">
        <v>1669</v>
      </c>
      <c r="C13" s="12">
        <f>COUNTIFS(フォームの回答!$C$2:$C$2349,$B13,フォームの回答!$E$2:$E$2349,C$12)</f>
        <v>988</v>
      </c>
      <c r="D13" s="12">
        <f>COUNTIFS(フォームの回答!$C$2:$C$2349,$B13,フォームの回答!$E$2:$E$2349,D$12)</f>
        <v>392</v>
      </c>
      <c r="E13" s="12">
        <f>COUNTIFS(フォームの回答!$C$2:$C$2349,$B13,フォームの回答!$E$2:$E$2349,E$12)</f>
        <v>65</v>
      </c>
      <c r="F13" s="12">
        <f>COUNTIFS(フォームの回答!$C$2:$C$2349,$B13,フォームの回答!$E$2:$E$2349,F$12)</f>
        <v>34</v>
      </c>
      <c r="G13" s="12">
        <f t="shared" ref="G13:G14" si="5">SUM(C13:F13)</f>
        <v>1479</v>
      </c>
    </row>
    <row r="14" spans="2:13">
      <c r="B14" s="11" t="s">
        <v>1670</v>
      </c>
      <c r="C14" s="12">
        <f>COUNTIFS(フォームの回答!$C$2:$C$2349,$B14,フォームの回答!$E$2:$E$2349,C$12)</f>
        <v>554</v>
      </c>
      <c r="D14" s="12">
        <f>COUNTIFS(フォームの回答!$C$2:$C$2349,$B14,フォームの回答!$E$2:$E$2349,D$12)</f>
        <v>264</v>
      </c>
      <c r="E14" s="12">
        <f>COUNTIFS(フォームの回答!$C$2:$C$2349,$B14,フォームの回答!$E$2:$E$2349,E$12)</f>
        <v>36</v>
      </c>
      <c r="F14" s="12">
        <f>COUNTIFS(フォームの回答!$C$2:$C$2349,$B14,フォームの回答!$E$2:$E$2349,F$12)</f>
        <v>15</v>
      </c>
      <c r="G14" s="12">
        <f t="shared" si="5"/>
        <v>869</v>
      </c>
    </row>
    <row r="15" spans="2:13">
      <c r="B15" s="11" t="s">
        <v>1671</v>
      </c>
      <c r="C15" s="12">
        <f>SUM(C13:C14)</f>
        <v>1542</v>
      </c>
      <c r="D15" s="12">
        <f t="shared" ref="D15" si="6">SUM(D13:D14)</f>
        <v>656</v>
      </c>
      <c r="E15" s="12">
        <f t="shared" ref="E15" si="7">SUM(E13:E14)</f>
        <v>101</v>
      </c>
      <c r="F15" s="12">
        <f t="shared" ref="F15:G15" si="8">SUM(F13:F14)</f>
        <v>49</v>
      </c>
      <c r="G15" s="12">
        <f t="shared" si="8"/>
        <v>2348</v>
      </c>
    </row>
    <row r="16" spans="2:13">
      <c r="B16" s="11" t="s">
        <v>1669</v>
      </c>
      <c r="C16" s="13">
        <f>C13/$G13</f>
        <v>0.66801893171061533</v>
      </c>
      <c r="D16" s="13">
        <f t="shared" ref="D16:F17" si="9">D13/$G13</f>
        <v>0.26504394861392833</v>
      </c>
      <c r="E16" s="13">
        <f t="shared" si="9"/>
        <v>4.3948613928329952E-2</v>
      </c>
      <c r="F16" s="13">
        <f t="shared" si="9"/>
        <v>2.2988505747126436E-2</v>
      </c>
    </row>
    <row r="17" spans="2:6">
      <c r="B17" s="11" t="s">
        <v>1670</v>
      </c>
      <c r="C17" s="13">
        <f>C14/$G14</f>
        <v>0.63751438434982743</v>
      </c>
      <c r="D17" s="13">
        <f>D14/$G14</f>
        <v>0.30379746835443039</v>
      </c>
      <c r="E17" s="13">
        <f>E14/$G14</f>
        <v>4.1426927502876867E-2</v>
      </c>
      <c r="F17" s="13">
        <f t="shared" si="9"/>
        <v>1.7261219792865361E-2</v>
      </c>
    </row>
  </sheetData>
  <phoneticPr fontId="3"/>
  <conditionalFormatting sqref="C7:L8">
    <cfRule type="dataBar" priority="2">
      <dataBar>
        <cfvo type="num" val="0"/>
        <cfvo type="num" val="1"/>
        <color rgb="FFFF555A"/>
      </dataBar>
      <extLst>
        <ext xmlns:x14="http://schemas.microsoft.com/office/spreadsheetml/2009/9/main" uri="{B025F937-C7B1-47D3-B67F-A62EFF666E3E}">
          <x14:id>{C6ED1110-5165-4A24-B08C-B0D127D1B380}</x14:id>
        </ext>
      </extLst>
    </cfRule>
  </conditionalFormatting>
  <conditionalFormatting sqref="C16:F17">
    <cfRule type="dataBar" priority="1">
      <dataBar>
        <cfvo type="num" val="0"/>
        <cfvo type="num" val="1"/>
        <color rgb="FFFF555A"/>
      </dataBar>
      <extLst>
        <ext xmlns:x14="http://schemas.microsoft.com/office/spreadsheetml/2009/9/main" uri="{B025F937-C7B1-47D3-B67F-A62EFF666E3E}">
          <x14:id>{FE14A64E-2093-44B8-888D-9477B0982D6A}</x14:id>
        </ext>
      </extLst>
    </cfRule>
  </conditionalFormatting>
  <pageMargins left="0.70866141732283472" right="0.70866141732283472" top="0.55118110236220474" bottom="0.35433070866141736" header="0.31496062992125984" footer="0.31496062992125984"/>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dataBar" id="{C6ED1110-5165-4A24-B08C-B0D127D1B380}">
            <x14:dataBar minLength="0" maxLength="100" border="1" negativeBarBorderColorSameAsPositive="0">
              <x14:cfvo type="num">
                <xm:f>0</xm:f>
              </x14:cfvo>
              <x14:cfvo type="num">
                <xm:f>1</xm:f>
              </x14:cfvo>
              <x14:borderColor rgb="FFFF555A"/>
              <x14:negativeFillColor rgb="FFFF0000"/>
              <x14:negativeBorderColor rgb="FFFF0000"/>
              <x14:axisColor rgb="FF000000"/>
            </x14:dataBar>
          </x14:cfRule>
          <xm:sqref>C7:L8</xm:sqref>
        </x14:conditionalFormatting>
        <x14:conditionalFormatting xmlns:xm="http://schemas.microsoft.com/office/excel/2006/main">
          <x14:cfRule type="dataBar" id="{FE14A64E-2093-44B8-888D-9477B0982D6A}">
            <x14:dataBar minLength="0" maxLength="100" border="1" negativeBarBorderColorSameAsPositive="0">
              <x14:cfvo type="num">
                <xm:f>0</xm:f>
              </x14:cfvo>
              <x14:cfvo type="num">
                <xm:f>1</xm:f>
              </x14:cfvo>
              <x14:borderColor rgb="FFFF555A"/>
              <x14:negativeFillColor rgb="FFFF0000"/>
              <x14:negativeBorderColor rgb="FFFF0000"/>
              <x14:axisColor rgb="FF000000"/>
            </x14:dataBar>
          </x14:cfRule>
          <xm:sqref>C16:F17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4"/>
  <sheetViews>
    <sheetView tabSelected="1" topLeftCell="A91" zoomScaleNormal="100" workbookViewId="0">
      <selection activeCell="M62" sqref="M62"/>
    </sheetView>
  </sheetViews>
  <sheetFormatPr defaultRowHeight="15.75"/>
  <cols>
    <col min="1" max="1" width="1.140625" style="15" customWidth="1"/>
    <col min="2" max="2" width="5.7109375" style="15" customWidth="1"/>
    <col min="3" max="3" width="1.140625" style="15" customWidth="1"/>
    <col min="4" max="4" width="5.140625" style="15" bestFit="1" customWidth="1"/>
    <col min="5" max="5" width="47.42578125" style="15" customWidth="1"/>
    <col min="6" max="8" width="10" style="15" customWidth="1"/>
    <col min="9" max="11" width="16.5703125" style="15" customWidth="1"/>
    <col min="12" max="12" width="1.140625" style="15" customWidth="1"/>
    <col min="13" max="13" width="5.7109375" style="15" customWidth="1"/>
    <col min="14" max="16384" width="9.140625" style="15"/>
  </cols>
  <sheetData>
    <row r="1" spans="1:14" ht="9.75" customHeight="1">
      <c r="A1" s="16"/>
      <c r="B1" s="16"/>
      <c r="C1" s="16"/>
      <c r="D1" s="16"/>
      <c r="E1" s="16"/>
      <c r="F1" s="16"/>
      <c r="G1" s="16"/>
      <c r="H1" s="16"/>
      <c r="I1" s="16"/>
      <c r="J1" s="16"/>
      <c r="K1" s="16"/>
      <c r="L1" s="16"/>
      <c r="M1" s="16"/>
      <c r="N1" s="16"/>
    </row>
    <row r="2" spans="1:14" ht="41.25" customHeight="1">
      <c r="A2" s="16"/>
      <c r="B2" s="17"/>
      <c r="C2" s="18"/>
      <c r="D2" s="18"/>
      <c r="E2" s="18"/>
      <c r="F2" s="18"/>
      <c r="G2" s="18"/>
      <c r="H2" s="18"/>
      <c r="I2" s="18"/>
      <c r="J2" s="18"/>
      <c r="K2" s="18"/>
      <c r="L2" s="18"/>
      <c r="M2" s="19"/>
      <c r="N2" s="16"/>
    </row>
    <row r="3" spans="1:14">
      <c r="A3" s="16"/>
      <c r="B3" s="20"/>
      <c r="C3" s="21"/>
      <c r="D3" s="76" t="s">
        <v>1698</v>
      </c>
      <c r="E3" s="76"/>
      <c r="F3" s="21"/>
      <c r="G3" s="21"/>
      <c r="H3" s="21"/>
      <c r="I3" s="21"/>
      <c r="J3" s="21"/>
      <c r="K3" s="21"/>
      <c r="L3" s="21"/>
      <c r="M3" s="22"/>
      <c r="N3" s="16"/>
    </row>
    <row r="4" spans="1:14">
      <c r="A4" s="16"/>
      <c r="B4" s="20"/>
      <c r="C4" s="21"/>
      <c r="D4" s="21"/>
      <c r="E4" s="21"/>
      <c r="F4" s="21"/>
      <c r="G4" s="21"/>
      <c r="H4" s="21"/>
      <c r="I4" s="21"/>
      <c r="J4" s="21"/>
      <c r="K4" s="21"/>
      <c r="L4" s="21"/>
      <c r="M4" s="22"/>
      <c r="N4" s="16"/>
    </row>
    <row r="5" spans="1:14">
      <c r="A5" s="16"/>
      <c r="B5" s="20"/>
      <c r="C5" s="21"/>
      <c r="D5" s="21" t="s">
        <v>1691</v>
      </c>
      <c r="E5" s="21"/>
      <c r="F5" s="21"/>
      <c r="G5" s="21"/>
      <c r="H5" s="21"/>
      <c r="I5" s="21"/>
      <c r="J5" s="21"/>
      <c r="K5" s="21"/>
      <c r="L5" s="21"/>
      <c r="M5" s="22"/>
      <c r="N5" s="16"/>
    </row>
    <row r="6" spans="1:14">
      <c r="A6" s="16"/>
      <c r="B6" s="20"/>
      <c r="C6" s="21"/>
      <c r="D6" s="70" t="s">
        <v>1679</v>
      </c>
      <c r="E6" s="74" t="s">
        <v>1692</v>
      </c>
      <c r="F6" s="70" t="s">
        <v>1689</v>
      </c>
      <c r="G6" s="71"/>
      <c r="H6" s="72"/>
      <c r="I6" s="70" t="s">
        <v>1690</v>
      </c>
      <c r="J6" s="71"/>
      <c r="K6" s="72"/>
      <c r="L6" s="21"/>
      <c r="M6" s="22"/>
      <c r="N6" s="16"/>
    </row>
    <row r="7" spans="1:14">
      <c r="A7" s="16"/>
      <c r="B7" s="20"/>
      <c r="C7" s="21"/>
      <c r="D7" s="73"/>
      <c r="E7" s="75"/>
      <c r="F7" s="67" t="s">
        <v>1671</v>
      </c>
      <c r="G7" s="68" t="s">
        <v>1669</v>
      </c>
      <c r="H7" s="69" t="s">
        <v>1670</v>
      </c>
      <c r="I7" s="67" t="s">
        <v>1671</v>
      </c>
      <c r="J7" s="68" t="s">
        <v>1669</v>
      </c>
      <c r="K7" s="69" t="s">
        <v>1670</v>
      </c>
      <c r="L7" s="21"/>
      <c r="M7" s="22"/>
      <c r="N7" s="16"/>
    </row>
    <row r="8" spans="1:14" ht="18.75" customHeight="1">
      <c r="A8" s="16"/>
      <c r="B8" s="20"/>
      <c r="C8" s="21"/>
      <c r="D8" s="65">
        <v>1</v>
      </c>
      <c r="E8" s="35" t="s">
        <v>1680</v>
      </c>
      <c r="F8" s="49">
        <v>834</v>
      </c>
      <c r="G8" s="44">
        <v>513</v>
      </c>
      <c r="H8" s="32">
        <v>321</v>
      </c>
      <c r="I8" s="57">
        <v>0.35519591141396933</v>
      </c>
      <c r="J8" s="30">
        <f t="shared" ref="J8:J17" si="0">G8/G$18</f>
        <v>0.34685598377281945</v>
      </c>
      <c r="K8" s="26">
        <f t="shared" ref="K8:K17" si="1">H8/H$18</f>
        <v>0.36939010356731877</v>
      </c>
      <c r="L8" s="21"/>
      <c r="M8" s="22"/>
      <c r="N8" s="16"/>
    </row>
    <row r="9" spans="1:14" ht="18.75" customHeight="1">
      <c r="A9" s="16"/>
      <c r="B9" s="20"/>
      <c r="C9" s="21"/>
      <c r="D9" s="63">
        <v>2</v>
      </c>
      <c r="E9" s="38" t="s">
        <v>1681</v>
      </c>
      <c r="F9" s="50">
        <v>77</v>
      </c>
      <c r="G9" s="45">
        <v>68</v>
      </c>
      <c r="H9" s="39">
        <v>9</v>
      </c>
      <c r="I9" s="58">
        <v>3.2793867120954001E-2</v>
      </c>
      <c r="J9" s="54">
        <f t="shared" si="0"/>
        <v>4.5977011494252873E-2</v>
      </c>
      <c r="K9" s="40">
        <f t="shared" si="1"/>
        <v>1.0356731875719217E-2</v>
      </c>
      <c r="L9" s="21"/>
      <c r="M9" s="22"/>
      <c r="N9" s="16"/>
    </row>
    <row r="10" spans="1:14" ht="18.75" customHeight="1">
      <c r="A10" s="16"/>
      <c r="B10" s="20"/>
      <c r="C10" s="21"/>
      <c r="D10" s="62">
        <v>3</v>
      </c>
      <c r="E10" s="36" t="s">
        <v>1682</v>
      </c>
      <c r="F10" s="51">
        <v>156</v>
      </c>
      <c r="G10" s="46">
        <v>106</v>
      </c>
      <c r="H10" s="33">
        <v>50</v>
      </c>
      <c r="I10" s="59">
        <v>6.6439522998296419E-2</v>
      </c>
      <c r="J10" s="31">
        <f t="shared" si="0"/>
        <v>7.1670047329276537E-2</v>
      </c>
      <c r="K10" s="27">
        <f t="shared" si="1"/>
        <v>5.7537399309551207E-2</v>
      </c>
      <c r="L10" s="21"/>
      <c r="M10" s="22"/>
      <c r="N10" s="16"/>
    </row>
    <row r="11" spans="1:14" ht="18.75" customHeight="1">
      <c r="A11" s="16"/>
      <c r="B11" s="20"/>
      <c r="C11" s="21"/>
      <c r="D11" s="63">
        <v>4</v>
      </c>
      <c r="E11" s="38" t="s">
        <v>1683</v>
      </c>
      <c r="F11" s="50">
        <v>334</v>
      </c>
      <c r="G11" s="45">
        <v>263</v>
      </c>
      <c r="H11" s="39">
        <v>71</v>
      </c>
      <c r="I11" s="58">
        <v>0.14224872231686542</v>
      </c>
      <c r="J11" s="54">
        <f t="shared" si="0"/>
        <v>0.17782285327924274</v>
      </c>
      <c r="K11" s="40">
        <f t="shared" si="1"/>
        <v>8.170310701956271E-2</v>
      </c>
      <c r="L11" s="21"/>
      <c r="M11" s="22"/>
      <c r="N11" s="16"/>
    </row>
    <row r="12" spans="1:14" ht="18.75" customHeight="1">
      <c r="A12" s="16"/>
      <c r="B12" s="20"/>
      <c r="C12" s="21"/>
      <c r="D12" s="62">
        <v>5</v>
      </c>
      <c r="E12" s="36" t="s">
        <v>1684</v>
      </c>
      <c r="F12" s="51">
        <v>82</v>
      </c>
      <c r="G12" s="46">
        <v>64</v>
      </c>
      <c r="H12" s="33">
        <v>18</v>
      </c>
      <c r="I12" s="59">
        <v>3.4923339011925042E-2</v>
      </c>
      <c r="J12" s="31">
        <f t="shared" si="0"/>
        <v>4.3272481406355645E-2</v>
      </c>
      <c r="K12" s="27">
        <f t="shared" si="1"/>
        <v>2.0713463751438434E-2</v>
      </c>
      <c r="L12" s="21"/>
      <c r="M12" s="22"/>
      <c r="N12" s="16"/>
    </row>
    <row r="13" spans="1:14" ht="18.75" customHeight="1">
      <c r="A13" s="16"/>
      <c r="B13" s="20"/>
      <c r="C13" s="21"/>
      <c r="D13" s="63">
        <v>6</v>
      </c>
      <c r="E13" s="38" t="s">
        <v>1685</v>
      </c>
      <c r="F13" s="50">
        <v>343</v>
      </c>
      <c r="G13" s="45">
        <v>135</v>
      </c>
      <c r="H13" s="39">
        <v>208</v>
      </c>
      <c r="I13" s="58">
        <v>0.14608177172061329</v>
      </c>
      <c r="J13" s="54">
        <f t="shared" si="0"/>
        <v>9.1277890466531439E-2</v>
      </c>
      <c r="K13" s="40">
        <f t="shared" si="1"/>
        <v>0.23935558112773303</v>
      </c>
      <c r="L13" s="21"/>
      <c r="M13" s="22"/>
      <c r="N13" s="16"/>
    </row>
    <row r="14" spans="1:14" ht="18.75" customHeight="1">
      <c r="A14" s="16"/>
      <c r="B14" s="20"/>
      <c r="C14" s="21"/>
      <c r="D14" s="62">
        <v>7</v>
      </c>
      <c r="E14" s="36" t="s">
        <v>1686</v>
      </c>
      <c r="F14" s="51">
        <v>72</v>
      </c>
      <c r="G14" s="46">
        <v>30</v>
      </c>
      <c r="H14" s="33">
        <v>42</v>
      </c>
      <c r="I14" s="59">
        <v>3.0664395229982964E-2</v>
      </c>
      <c r="J14" s="31">
        <f t="shared" si="0"/>
        <v>2.0283975659229209E-2</v>
      </c>
      <c r="K14" s="27">
        <f t="shared" si="1"/>
        <v>4.8331415420023012E-2</v>
      </c>
      <c r="L14" s="21"/>
      <c r="M14" s="22"/>
      <c r="N14" s="16"/>
    </row>
    <row r="15" spans="1:14" ht="18.75" customHeight="1">
      <c r="A15" s="16"/>
      <c r="B15" s="20"/>
      <c r="C15" s="21"/>
      <c r="D15" s="63">
        <v>8</v>
      </c>
      <c r="E15" s="38" t="s">
        <v>1687</v>
      </c>
      <c r="F15" s="50">
        <v>61</v>
      </c>
      <c r="G15" s="45">
        <v>42</v>
      </c>
      <c r="H15" s="39">
        <v>19</v>
      </c>
      <c r="I15" s="58">
        <v>2.5979557069846677E-2</v>
      </c>
      <c r="J15" s="54">
        <f t="shared" si="0"/>
        <v>2.8397565922920892E-2</v>
      </c>
      <c r="K15" s="40">
        <f t="shared" si="1"/>
        <v>2.1864211737629459E-2</v>
      </c>
      <c r="L15" s="21"/>
      <c r="M15" s="22"/>
      <c r="N15" s="16"/>
    </row>
    <row r="16" spans="1:14" ht="18.75" customHeight="1">
      <c r="A16" s="16"/>
      <c r="B16" s="20"/>
      <c r="C16" s="21"/>
      <c r="D16" s="62">
        <v>9</v>
      </c>
      <c r="E16" s="36" t="s">
        <v>1688</v>
      </c>
      <c r="F16" s="51">
        <v>123</v>
      </c>
      <c r="G16" s="46">
        <v>118</v>
      </c>
      <c r="H16" s="33">
        <v>5</v>
      </c>
      <c r="I16" s="59">
        <v>5.2385008517887563E-2</v>
      </c>
      <c r="J16" s="31">
        <f t="shared" si="0"/>
        <v>7.9783637592968221E-2</v>
      </c>
      <c r="K16" s="27">
        <f t="shared" si="1"/>
        <v>5.7537399309551211E-3</v>
      </c>
      <c r="L16" s="21"/>
      <c r="M16" s="22"/>
      <c r="N16" s="16"/>
    </row>
    <row r="17" spans="1:14" ht="18.75" customHeight="1">
      <c r="A17" s="16"/>
      <c r="B17" s="20"/>
      <c r="C17" s="21"/>
      <c r="D17" s="64">
        <v>10</v>
      </c>
      <c r="E17" s="41" t="s">
        <v>1667</v>
      </c>
      <c r="F17" s="52">
        <v>266</v>
      </c>
      <c r="G17" s="47">
        <v>140</v>
      </c>
      <c r="H17" s="42">
        <v>126</v>
      </c>
      <c r="I17" s="60">
        <v>0.11328790459965929</v>
      </c>
      <c r="J17" s="55">
        <f t="shared" si="0"/>
        <v>9.4658553076402974E-2</v>
      </c>
      <c r="K17" s="43">
        <f t="shared" si="1"/>
        <v>0.14499424626006904</v>
      </c>
      <c r="L17" s="21"/>
      <c r="M17" s="22"/>
      <c r="N17" s="16"/>
    </row>
    <row r="18" spans="1:14" ht="18.75" customHeight="1">
      <c r="A18" s="16"/>
      <c r="B18" s="20"/>
      <c r="C18" s="21"/>
      <c r="D18" s="28"/>
      <c r="E18" s="29" t="s">
        <v>1672</v>
      </c>
      <c r="F18" s="53">
        <v>2348</v>
      </c>
      <c r="G18" s="48">
        <v>1479</v>
      </c>
      <c r="H18" s="34">
        <v>869</v>
      </c>
      <c r="I18" s="61">
        <v>1</v>
      </c>
      <c r="J18" s="56">
        <v>1</v>
      </c>
      <c r="K18" s="37">
        <v>1</v>
      </c>
      <c r="L18" s="21"/>
      <c r="M18" s="22"/>
      <c r="N18" s="16"/>
    </row>
    <row r="19" spans="1:14">
      <c r="A19" s="16"/>
      <c r="B19" s="20"/>
      <c r="C19" s="21"/>
      <c r="D19" s="21"/>
      <c r="E19" s="21"/>
      <c r="F19" s="21"/>
      <c r="G19" s="21"/>
      <c r="H19" s="21"/>
      <c r="I19" s="21"/>
      <c r="J19" s="21"/>
      <c r="K19" s="21"/>
      <c r="L19" s="21"/>
      <c r="M19" s="22"/>
      <c r="N19" s="16"/>
    </row>
    <row r="20" spans="1:14">
      <c r="A20" s="16"/>
      <c r="B20" s="20"/>
      <c r="C20" s="21"/>
      <c r="D20" s="21"/>
      <c r="E20" s="21"/>
      <c r="F20" s="21"/>
      <c r="G20" s="21"/>
      <c r="H20" s="21"/>
      <c r="I20" s="21"/>
      <c r="J20" s="21"/>
      <c r="K20" s="21"/>
      <c r="L20" s="21"/>
      <c r="M20" s="22"/>
      <c r="N20" s="16"/>
    </row>
    <row r="21" spans="1:14">
      <c r="A21" s="16"/>
      <c r="B21" s="20"/>
      <c r="C21" s="21"/>
      <c r="D21" s="15" t="s">
        <v>1693</v>
      </c>
      <c r="E21" s="21"/>
      <c r="F21" s="21"/>
      <c r="G21" s="21"/>
      <c r="H21" s="21"/>
      <c r="I21" s="21"/>
      <c r="J21" s="21"/>
      <c r="K21" s="21"/>
      <c r="L21" s="21"/>
      <c r="M21" s="22"/>
      <c r="N21" s="16"/>
    </row>
    <row r="22" spans="1:14">
      <c r="A22" s="16"/>
      <c r="B22" s="20"/>
      <c r="C22" s="21"/>
      <c r="D22" s="70" t="s">
        <v>1679</v>
      </c>
      <c r="E22" s="74" t="s">
        <v>1692</v>
      </c>
      <c r="F22" s="70" t="s">
        <v>1689</v>
      </c>
      <c r="G22" s="71"/>
      <c r="H22" s="72"/>
      <c r="I22" s="70" t="s">
        <v>1690</v>
      </c>
      <c r="J22" s="71"/>
      <c r="K22" s="72"/>
      <c r="L22" s="21"/>
      <c r="M22" s="22"/>
      <c r="N22" s="16"/>
    </row>
    <row r="23" spans="1:14">
      <c r="A23" s="16"/>
      <c r="B23" s="20"/>
      <c r="C23" s="21"/>
      <c r="D23" s="73"/>
      <c r="E23" s="75"/>
      <c r="F23" s="67" t="s">
        <v>1671</v>
      </c>
      <c r="G23" s="68" t="s">
        <v>1669</v>
      </c>
      <c r="H23" s="69" t="s">
        <v>1670</v>
      </c>
      <c r="I23" s="67" t="s">
        <v>1671</v>
      </c>
      <c r="J23" s="68" t="s">
        <v>1669</v>
      </c>
      <c r="K23" s="69" t="s">
        <v>1670</v>
      </c>
      <c r="L23" s="21"/>
      <c r="M23" s="22"/>
      <c r="N23" s="16"/>
    </row>
    <row r="24" spans="1:14" ht="18.75" customHeight="1">
      <c r="A24" s="16"/>
      <c r="B24" s="20"/>
      <c r="C24" s="21"/>
      <c r="D24" s="62">
        <v>1</v>
      </c>
      <c r="E24" s="36" t="s">
        <v>1694</v>
      </c>
      <c r="F24" s="51">
        <v>1542</v>
      </c>
      <c r="G24" s="46">
        <v>988</v>
      </c>
      <c r="H24" s="33">
        <v>554</v>
      </c>
      <c r="I24" s="59">
        <f t="shared" ref="I24:I27" si="2">F24/F$28</f>
        <v>0.65672913117546849</v>
      </c>
      <c r="J24" s="31">
        <v>0.66801893171061533</v>
      </c>
      <c r="K24" s="27">
        <v>0.63751438434982743</v>
      </c>
      <c r="L24" s="21"/>
      <c r="M24" s="22"/>
      <c r="N24" s="16"/>
    </row>
    <row r="25" spans="1:14" ht="18.75" customHeight="1">
      <c r="A25" s="16"/>
      <c r="B25" s="20"/>
      <c r="C25" s="21"/>
      <c r="D25" s="63">
        <v>2</v>
      </c>
      <c r="E25" s="38" t="s">
        <v>1695</v>
      </c>
      <c r="F25" s="50">
        <v>656</v>
      </c>
      <c r="G25" s="45">
        <v>392</v>
      </c>
      <c r="H25" s="39">
        <v>264</v>
      </c>
      <c r="I25" s="58">
        <f t="shared" si="2"/>
        <v>0.27938671209540034</v>
      </c>
      <c r="J25" s="54">
        <v>0.26504394861392833</v>
      </c>
      <c r="K25" s="40">
        <v>0.30379746835443039</v>
      </c>
      <c r="L25" s="21"/>
      <c r="M25" s="22"/>
      <c r="N25" s="16"/>
    </row>
    <row r="26" spans="1:14" ht="18.75" customHeight="1">
      <c r="A26" s="16"/>
      <c r="B26" s="20"/>
      <c r="C26" s="21"/>
      <c r="D26" s="62">
        <v>3</v>
      </c>
      <c r="E26" s="36" t="s">
        <v>1696</v>
      </c>
      <c r="F26" s="51">
        <v>101</v>
      </c>
      <c r="G26" s="46">
        <v>65</v>
      </c>
      <c r="H26" s="33">
        <v>36</v>
      </c>
      <c r="I26" s="59">
        <f t="shared" si="2"/>
        <v>4.301533219761499E-2</v>
      </c>
      <c r="J26" s="31">
        <v>4.3948613928329952E-2</v>
      </c>
      <c r="K26" s="27">
        <v>4.1426927502876867E-2</v>
      </c>
      <c r="L26" s="21"/>
      <c r="M26" s="22"/>
      <c r="N26" s="16"/>
    </row>
    <row r="27" spans="1:14" ht="18.75" customHeight="1">
      <c r="A27" s="16"/>
      <c r="B27" s="20"/>
      <c r="C27" s="21"/>
      <c r="D27" s="64">
        <v>4</v>
      </c>
      <c r="E27" s="41" t="s">
        <v>1697</v>
      </c>
      <c r="F27" s="52">
        <v>49</v>
      </c>
      <c r="G27" s="47">
        <v>34</v>
      </c>
      <c r="H27" s="42">
        <v>15</v>
      </c>
      <c r="I27" s="60">
        <f t="shared" si="2"/>
        <v>2.0868824531516183E-2</v>
      </c>
      <c r="J27" s="55">
        <v>2.2988505747126436E-2</v>
      </c>
      <c r="K27" s="43">
        <v>1.7261219792865361E-2</v>
      </c>
      <c r="L27" s="21"/>
      <c r="M27" s="22"/>
      <c r="N27" s="16"/>
    </row>
    <row r="28" spans="1:14" ht="18.75" customHeight="1">
      <c r="A28" s="16"/>
      <c r="B28" s="20"/>
      <c r="C28" s="21"/>
      <c r="D28" s="28"/>
      <c r="E28" s="29" t="s">
        <v>1672</v>
      </c>
      <c r="F28" s="53">
        <v>2348</v>
      </c>
      <c r="G28" s="48">
        <v>1479</v>
      </c>
      <c r="H28" s="34">
        <v>869</v>
      </c>
      <c r="I28" s="61">
        <v>1</v>
      </c>
      <c r="J28" s="56">
        <v>1</v>
      </c>
      <c r="K28" s="37">
        <v>1</v>
      </c>
      <c r="L28" s="21"/>
      <c r="M28" s="22"/>
      <c r="N28" s="16"/>
    </row>
    <row r="29" spans="1:14">
      <c r="A29" s="16"/>
      <c r="B29" s="20"/>
      <c r="C29" s="21"/>
      <c r="D29" s="21"/>
      <c r="E29" s="21"/>
      <c r="F29" s="21"/>
      <c r="G29" s="21"/>
      <c r="H29" s="21"/>
      <c r="I29" s="21"/>
      <c r="J29" s="21"/>
      <c r="K29" s="21"/>
      <c r="L29" s="21"/>
      <c r="M29" s="22"/>
      <c r="N29" s="16"/>
    </row>
    <row r="30" spans="1:14">
      <c r="A30" s="16"/>
      <c r="B30" s="20"/>
      <c r="C30" s="21"/>
      <c r="D30" s="21"/>
      <c r="E30" s="21"/>
      <c r="F30" s="21"/>
      <c r="G30" s="21"/>
      <c r="H30" s="21"/>
      <c r="I30" s="21"/>
      <c r="J30" s="21"/>
      <c r="K30" s="21"/>
      <c r="L30" s="21"/>
      <c r="M30" s="22"/>
      <c r="N30" s="16"/>
    </row>
    <row r="31" spans="1:14" ht="41.25" customHeight="1">
      <c r="A31" s="16"/>
      <c r="B31" s="23"/>
      <c r="C31" s="24"/>
      <c r="D31" s="24"/>
      <c r="E31" s="24"/>
      <c r="F31" s="24"/>
      <c r="G31" s="24"/>
      <c r="H31" s="24"/>
      <c r="I31" s="24"/>
      <c r="J31" s="24"/>
      <c r="K31" s="24"/>
      <c r="L31" s="24"/>
      <c r="M31" s="25"/>
      <c r="N31" s="16"/>
    </row>
    <row r="32" spans="1:14">
      <c r="A32" s="16"/>
      <c r="B32" s="16"/>
      <c r="C32" s="16"/>
      <c r="D32" s="16"/>
      <c r="E32" s="16"/>
      <c r="F32" s="16"/>
      <c r="G32" s="16"/>
      <c r="H32" s="16"/>
      <c r="I32" s="16"/>
      <c r="J32" s="16"/>
      <c r="K32" s="16"/>
      <c r="L32" s="16"/>
      <c r="M32" s="16"/>
      <c r="N32" s="16"/>
    </row>
    <row r="33" spans="1:14" ht="41.25" customHeight="1">
      <c r="A33" s="16"/>
      <c r="B33" s="17"/>
      <c r="C33" s="18"/>
      <c r="D33" s="18"/>
      <c r="E33" s="18"/>
      <c r="F33" s="18"/>
      <c r="G33" s="18"/>
      <c r="H33" s="18"/>
      <c r="I33" s="18"/>
      <c r="J33" s="18"/>
      <c r="K33" s="18"/>
      <c r="L33" s="18"/>
      <c r="M33" s="19"/>
      <c r="N33" s="16"/>
    </row>
    <row r="34" spans="1:14">
      <c r="A34" s="16"/>
      <c r="B34" s="20"/>
      <c r="C34" s="21"/>
      <c r="D34" s="21"/>
      <c r="E34" s="21"/>
      <c r="F34" s="21"/>
      <c r="G34" s="21"/>
      <c r="H34" s="21"/>
      <c r="I34" s="21"/>
      <c r="J34" s="21"/>
      <c r="K34" s="21"/>
      <c r="L34" s="21"/>
      <c r="M34" s="22"/>
      <c r="N34" s="16"/>
    </row>
    <row r="35" spans="1:14">
      <c r="A35" s="16"/>
      <c r="B35" s="20"/>
      <c r="C35" s="21"/>
      <c r="D35" s="66"/>
      <c r="E35" s="66"/>
      <c r="F35" s="66"/>
      <c r="G35" s="66"/>
      <c r="H35" s="66"/>
      <c r="I35" s="66"/>
      <c r="J35" s="66"/>
      <c r="K35" s="66"/>
      <c r="L35" s="66"/>
      <c r="M35" s="22"/>
      <c r="N35" s="16"/>
    </row>
    <row r="36" spans="1:14">
      <c r="A36" s="16"/>
      <c r="B36" s="20"/>
      <c r="C36" s="21"/>
      <c r="D36" s="66"/>
      <c r="E36" s="66"/>
      <c r="F36" s="66"/>
      <c r="G36" s="66"/>
      <c r="H36" s="66"/>
      <c r="I36" s="66"/>
      <c r="J36" s="66"/>
      <c r="K36" s="66"/>
      <c r="L36" s="66"/>
      <c r="M36" s="22"/>
      <c r="N36" s="16"/>
    </row>
    <row r="37" spans="1:14">
      <c r="A37" s="16"/>
      <c r="B37" s="20"/>
      <c r="C37" s="21"/>
      <c r="D37" s="66"/>
      <c r="E37" s="66"/>
      <c r="F37" s="66"/>
      <c r="G37" s="66"/>
      <c r="H37" s="66"/>
      <c r="I37" s="66"/>
      <c r="J37" s="66"/>
      <c r="K37" s="66"/>
      <c r="L37" s="66"/>
      <c r="M37" s="22"/>
      <c r="N37" s="16"/>
    </row>
    <row r="38" spans="1:14">
      <c r="A38" s="16"/>
      <c r="B38" s="20"/>
      <c r="C38" s="21"/>
      <c r="D38" s="66"/>
      <c r="E38" s="66"/>
      <c r="F38" s="66"/>
      <c r="G38" s="66"/>
      <c r="H38" s="66"/>
      <c r="I38" s="66"/>
      <c r="J38" s="66"/>
      <c r="K38" s="66"/>
      <c r="L38" s="66"/>
      <c r="M38" s="22"/>
      <c r="N38" s="16"/>
    </row>
    <row r="39" spans="1:14" ht="18.75" customHeight="1">
      <c r="A39" s="16"/>
      <c r="B39" s="20"/>
      <c r="C39" s="21"/>
      <c r="D39" s="66"/>
      <c r="E39" s="66"/>
      <c r="F39" s="66"/>
      <c r="G39" s="66"/>
      <c r="H39" s="66"/>
      <c r="I39" s="66"/>
      <c r="J39" s="66"/>
      <c r="K39" s="66"/>
      <c r="L39" s="66"/>
      <c r="M39" s="22"/>
      <c r="N39" s="16"/>
    </row>
    <row r="40" spans="1:14" ht="18.75" customHeight="1">
      <c r="A40" s="16"/>
      <c r="B40" s="20"/>
      <c r="C40" s="21"/>
      <c r="D40" s="66"/>
      <c r="E40" s="66"/>
      <c r="F40" s="66"/>
      <c r="G40" s="66"/>
      <c r="H40" s="66"/>
      <c r="I40" s="66"/>
      <c r="J40" s="66"/>
      <c r="K40" s="66"/>
      <c r="L40" s="66"/>
      <c r="M40" s="22"/>
      <c r="N40" s="16"/>
    </row>
    <row r="41" spans="1:14" ht="18.75" customHeight="1">
      <c r="A41" s="16"/>
      <c r="B41" s="20"/>
      <c r="C41" s="21"/>
      <c r="D41" s="66"/>
      <c r="E41" s="66"/>
      <c r="F41" s="66"/>
      <c r="G41" s="66"/>
      <c r="H41" s="66"/>
      <c r="I41" s="66"/>
      <c r="J41" s="66"/>
      <c r="K41" s="66"/>
      <c r="L41" s="66"/>
      <c r="M41" s="22"/>
      <c r="N41" s="16"/>
    </row>
    <row r="42" spans="1:14" ht="18.75" customHeight="1">
      <c r="A42" s="16"/>
      <c r="B42" s="20"/>
      <c r="C42" s="21"/>
      <c r="D42" s="66"/>
      <c r="E42" s="66"/>
      <c r="F42" s="66"/>
      <c r="G42" s="66"/>
      <c r="H42" s="66"/>
      <c r="I42" s="66"/>
      <c r="J42" s="66"/>
      <c r="K42" s="66"/>
      <c r="L42" s="66"/>
      <c r="M42" s="22"/>
      <c r="N42" s="16"/>
    </row>
    <row r="43" spans="1:14" ht="18.75" customHeight="1">
      <c r="A43" s="16"/>
      <c r="B43" s="20"/>
      <c r="C43" s="21"/>
      <c r="D43" s="66"/>
      <c r="E43" s="66"/>
      <c r="F43" s="66"/>
      <c r="G43" s="66"/>
      <c r="H43" s="66"/>
      <c r="I43" s="66"/>
      <c r="J43" s="66"/>
      <c r="K43" s="66"/>
      <c r="L43" s="66"/>
      <c r="M43" s="22"/>
      <c r="N43" s="16"/>
    </row>
    <row r="44" spans="1:14" ht="18.75" customHeight="1">
      <c r="A44" s="16"/>
      <c r="B44" s="20"/>
      <c r="C44" s="21"/>
      <c r="D44" s="66"/>
      <c r="E44" s="66"/>
      <c r="F44" s="66"/>
      <c r="G44" s="66"/>
      <c r="H44" s="66"/>
      <c r="I44" s="66"/>
      <c r="J44" s="66"/>
      <c r="K44" s="66"/>
      <c r="L44" s="66"/>
      <c r="M44" s="22"/>
      <c r="N44" s="16"/>
    </row>
    <row r="45" spans="1:14" ht="18.75" customHeight="1">
      <c r="A45" s="16"/>
      <c r="B45" s="20"/>
      <c r="C45" s="21"/>
      <c r="D45" s="66"/>
      <c r="E45" s="66"/>
      <c r="F45" s="66"/>
      <c r="G45" s="66"/>
      <c r="H45" s="66"/>
      <c r="I45" s="66"/>
      <c r="J45" s="66"/>
      <c r="K45" s="66"/>
      <c r="L45" s="66"/>
      <c r="M45" s="22"/>
      <c r="N45" s="16"/>
    </row>
    <row r="46" spans="1:14" ht="18.75" customHeight="1">
      <c r="A46" s="16"/>
      <c r="B46" s="20"/>
      <c r="C46" s="21"/>
      <c r="D46" s="66"/>
      <c r="E46" s="66"/>
      <c r="F46" s="66"/>
      <c r="G46" s="66"/>
      <c r="H46" s="66"/>
      <c r="I46" s="66"/>
      <c r="J46" s="66"/>
      <c r="K46" s="66"/>
      <c r="L46" s="66"/>
      <c r="M46" s="22"/>
      <c r="N46" s="16"/>
    </row>
    <row r="47" spans="1:14" ht="18.75" customHeight="1">
      <c r="A47" s="16"/>
      <c r="B47" s="20"/>
      <c r="C47" s="21"/>
      <c r="D47" s="66"/>
      <c r="E47" s="66"/>
      <c r="F47" s="66"/>
      <c r="G47" s="66"/>
      <c r="H47" s="66"/>
      <c r="I47" s="66"/>
      <c r="J47" s="66"/>
      <c r="K47" s="66"/>
      <c r="L47" s="66"/>
      <c r="M47" s="22"/>
      <c r="N47" s="16"/>
    </row>
    <row r="48" spans="1:14" ht="18.75" customHeight="1">
      <c r="A48" s="16"/>
      <c r="B48" s="20"/>
      <c r="C48" s="21"/>
      <c r="D48" s="66"/>
      <c r="E48" s="66"/>
      <c r="F48" s="66"/>
      <c r="G48" s="66"/>
      <c r="H48" s="66"/>
      <c r="I48" s="66"/>
      <c r="J48" s="66"/>
      <c r="K48" s="66"/>
      <c r="L48" s="66"/>
      <c r="M48" s="22"/>
      <c r="N48" s="16"/>
    </row>
    <row r="49" spans="1:14" ht="18.75" customHeight="1">
      <c r="A49" s="16"/>
      <c r="B49" s="20"/>
      <c r="C49" s="21"/>
      <c r="D49" s="66"/>
      <c r="E49" s="66"/>
      <c r="F49" s="66"/>
      <c r="G49" s="66"/>
      <c r="H49" s="66"/>
      <c r="I49" s="66"/>
      <c r="J49" s="66"/>
      <c r="K49" s="66"/>
      <c r="L49" s="66"/>
      <c r="M49" s="22"/>
      <c r="N49" s="16"/>
    </row>
    <row r="50" spans="1:14">
      <c r="A50" s="16"/>
      <c r="B50" s="20"/>
      <c r="C50" s="21"/>
      <c r="D50" s="66"/>
      <c r="E50" s="66"/>
      <c r="F50" s="66"/>
      <c r="G50" s="66"/>
      <c r="H50" s="66"/>
      <c r="I50" s="66"/>
      <c r="J50" s="66"/>
      <c r="K50" s="66"/>
      <c r="L50" s="66"/>
      <c r="M50" s="22"/>
      <c r="N50" s="16"/>
    </row>
    <row r="51" spans="1:14">
      <c r="A51" s="16"/>
      <c r="B51" s="20"/>
      <c r="C51" s="21"/>
      <c r="D51" s="66"/>
      <c r="E51" s="66"/>
      <c r="F51" s="66"/>
      <c r="G51" s="66"/>
      <c r="H51" s="66"/>
      <c r="I51" s="66"/>
      <c r="J51" s="66"/>
      <c r="K51" s="66"/>
      <c r="L51" s="66"/>
      <c r="M51" s="22"/>
      <c r="N51" s="16"/>
    </row>
    <row r="52" spans="1:14">
      <c r="A52" s="16"/>
      <c r="B52" s="20"/>
      <c r="C52" s="21"/>
      <c r="D52" s="66"/>
      <c r="E52" s="66"/>
      <c r="F52" s="66"/>
      <c r="G52" s="66"/>
      <c r="H52" s="66"/>
      <c r="I52" s="66"/>
      <c r="J52" s="66"/>
      <c r="K52" s="66"/>
      <c r="L52" s="66"/>
      <c r="M52" s="22"/>
      <c r="N52" s="16"/>
    </row>
    <row r="53" spans="1:14">
      <c r="A53" s="16"/>
      <c r="B53" s="20"/>
      <c r="C53" s="21"/>
      <c r="D53" s="66"/>
      <c r="E53" s="66"/>
      <c r="F53" s="66"/>
      <c r="G53" s="66"/>
      <c r="H53" s="66"/>
      <c r="I53" s="66"/>
      <c r="J53" s="66"/>
      <c r="K53" s="66"/>
      <c r="L53" s="66"/>
      <c r="M53" s="22"/>
      <c r="N53" s="16"/>
    </row>
    <row r="54" spans="1:14">
      <c r="A54" s="16"/>
      <c r="B54" s="20"/>
      <c r="C54" s="21"/>
      <c r="D54" s="66"/>
      <c r="E54" s="66"/>
      <c r="F54" s="66"/>
      <c r="G54" s="66"/>
      <c r="H54" s="66"/>
      <c r="I54" s="66"/>
      <c r="J54" s="66"/>
      <c r="K54" s="66"/>
      <c r="L54" s="66"/>
      <c r="M54" s="22"/>
      <c r="N54" s="16"/>
    </row>
    <row r="55" spans="1:14" ht="18.75" customHeight="1">
      <c r="A55" s="16"/>
      <c r="B55" s="20"/>
      <c r="C55" s="21"/>
      <c r="D55" s="66"/>
      <c r="E55" s="66"/>
      <c r="F55" s="66"/>
      <c r="G55" s="66"/>
      <c r="H55" s="66"/>
      <c r="I55" s="66"/>
      <c r="J55" s="66"/>
      <c r="K55" s="66"/>
      <c r="L55" s="66"/>
      <c r="M55" s="22"/>
      <c r="N55" s="16"/>
    </row>
    <row r="56" spans="1:14" ht="18.75" customHeight="1">
      <c r="A56" s="16"/>
      <c r="B56" s="20"/>
      <c r="C56" s="21"/>
      <c r="D56" s="66"/>
      <c r="E56" s="66"/>
      <c r="F56" s="66"/>
      <c r="G56" s="66"/>
      <c r="H56" s="66"/>
      <c r="I56" s="66"/>
      <c r="J56" s="66"/>
      <c r="K56" s="66"/>
      <c r="L56" s="66"/>
      <c r="M56" s="22"/>
      <c r="N56" s="16"/>
    </row>
    <row r="57" spans="1:14" ht="18.75" customHeight="1">
      <c r="A57" s="16"/>
      <c r="B57" s="20"/>
      <c r="C57" s="21"/>
      <c r="D57" s="66"/>
      <c r="E57" s="66"/>
      <c r="F57" s="66"/>
      <c r="G57" s="66"/>
      <c r="H57" s="66"/>
      <c r="I57" s="66"/>
      <c r="J57" s="66"/>
      <c r="K57" s="66"/>
      <c r="L57" s="66"/>
      <c r="M57" s="22"/>
      <c r="N57" s="16"/>
    </row>
    <row r="58" spans="1:14" ht="18.75" customHeight="1">
      <c r="A58" s="16"/>
      <c r="B58" s="20"/>
      <c r="C58" s="21"/>
      <c r="D58" s="66"/>
      <c r="E58" s="66"/>
      <c r="F58" s="66"/>
      <c r="G58" s="66"/>
      <c r="H58" s="66"/>
      <c r="I58" s="66"/>
      <c r="J58" s="66"/>
      <c r="K58" s="66"/>
      <c r="L58" s="66"/>
      <c r="M58" s="22"/>
      <c r="N58" s="16"/>
    </row>
    <row r="59" spans="1:14" ht="18.75" customHeight="1">
      <c r="A59" s="16"/>
      <c r="B59" s="20"/>
      <c r="C59" s="21"/>
      <c r="D59" s="66"/>
      <c r="E59" s="66"/>
      <c r="F59" s="66"/>
      <c r="G59" s="66"/>
      <c r="H59" s="66"/>
      <c r="I59" s="66"/>
      <c r="J59" s="66"/>
      <c r="K59" s="66"/>
      <c r="L59" s="66"/>
      <c r="M59" s="22"/>
      <c r="N59" s="16"/>
    </row>
    <row r="60" spans="1:14">
      <c r="A60" s="16"/>
      <c r="B60" s="20"/>
      <c r="C60" s="21"/>
      <c r="D60" s="66"/>
      <c r="E60" s="66"/>
      <c r="F60" s="66"/>
      <c r="G60" s="66"/>
      <c r="H60" s="66"/>
      <c r="I60" s="66"/>
      <c r="J60" s="66"/>
      <c r="K60" s="66"/>
      <c r="L60" s="66"/>
      <c r="M60" s="22"/>
      <c r="N60" s="16"/>
    </row>
    <row r="61" spans="1:14">
      <c r="A61" s="16"/>
      <c r="B61" s="20"/>
      <c r="C61" s="21"/>
      <c r="D61" s="21"/>
      <c r="E61" s="21"/>
      <c r="F61" s="21"/>
      <c r="G61" s="21"/>
      <c r="H61" s="21"/>
      <c r="I61" s="21"/>
      <c r="J61" s="21"/>
      <c r="K61" s="21"/>
      <c r="L61" s="21"/>
      <c r="M61" s="22"/>
      <c r="N61" s="16"/>
    </row>
    <row r="62" spans="1:14" ht="41.25" customHeight="1">
      <c r="A62" s="16"/>
      <c r="B62" s="23"/>
      <c r="C62" s="24"/>
      <c r="D62" s="24"/>
      <c r="E62" s="24"/>
      <c r="F62" s="24"/>
      <c r="G62" s="24"/>
      <c r="H62" s="24"/>
      <c r="I62" s="24"/>
      <c r="J62" s="24"/>
      <c r="K62" s="24"/>
      <c r="L62" s="24"/>
      <c r="M62" s="25"/>
      <c r="N62" s="16"/>
    </row>
    <row r="63" spans="1:14">
      <c r="A63" s="16"/>
      <c r="B63" s="16"/>
      <c r="C63" s="16"/>
      <c r="D63" s="16"/>
      <c r="E63" s="16"/>
      <c r="F63" s="16"/>
      <c r="G63" s="16"/>
      <c r="H63" s="16"/>
      <c r="I63" s="16"/>
      <c r="J63" s="16"/>
      <c r="K63" s="16"/>
      <c r="L63" s="16"/>
      <c r="M63" s="16"/>
      <c r="N63" s="16"/>
    </row>
    <row r="64" spans="1:14" ht="41.25" customHeight="1">
      <c r="A64" s="16"/>
      <c r="B64" s="17"/>
      <c r="C64" s="18"/>
      <c r="D64" s="18"/>
      <c r="E64" s="18"/>
      <c r="F64" s="18"/>
      <c r="G64" s="18"/>
      <c r="H64" s="18"/>
      <c r="I64" s="18"/>
      <c r="J64" s="18"/>
      <c r="K64" s="18"/>
      <c r="L64" s="18"/>
      <c r="M64" s="19"/>
      <c r="N64" s="16"/>
    </row>
    <row r="65" spans="1:14">
      <c r="A65" s="16"/>
      <c r="B65" s="20"/>
      <c r="C65" s="21"/>
      <c r="D65" s="21"/>
      <c r="E65" s="21"/>
      <c r="F65" s="21"/>
      <c r="G65" s="21"/>
      <c r="H65" s="21"/>
      <c r="I65" s="21"/>
      <c r="J65" s="21"/>
      <c r="K65" s="21"/>
      <c r="L65" s="21"/>
      <c r="M65" s="22"/>
      <c r="N65" s="16"/>
    </row>
    <row r="66" spans="1:14">
      <c r="A66" s="16"/>
      <c r="B66" s="20"/>
      <c r="C66" s="21"/>
      <c r="D66" s="66"/>
      <c r="E66" s="66"/>
      <c r="F66" s="66"/>
      <c r="G66" s="66"/>
      <c r="H66" s="66"/>
      <c r="I66" s="66"/>
      <c r="J66" s="66"/>
      <c r="K66" s="66"/>
      <c r="L66" s="66"/>
      <c r="M66" s="22"/>
      <c r="N66" s="16"/>
    </row>
    <row r="67" spans="1:14">
      <c r="A67" s="16"/>
      <c r="B67" s="20"/>
      <c r="C67" s="21"/>
      <c r="D67" s="66"/>
      <c r="E67" s="66"/>
      <c r="F67" s="66"/>
      <c r="G67" s="66"/>
      <c r="H67" s="66"/>
      <c r="I67" s="66"/>
      <c r="J67" s="66"/>
      <c r="K67" s="66"/>
      <c r="L67" s="66"/>
      <c r="M67" s="22"/>
      <c r="N67" s="16"/>
    </row>
    <row r="68" spans="1:14">
      <c r="A68" s="16"/>
      <c r="B68" s="20"/>
      <c r="C68" s="21"/>
      <c r="D68" s="66"/>
      <c r="E68" s="66"/>
      <c r="F68" s="66"/>
      <c r="G68" s="66"/>
      <c r="H68" s="66"/>
      <c r="I68" s="66"/>
      <c r="J68" s="66"/>
      <c r="K68" s="66"/>
      <c r="L68" s="66"/>
      <c r="M68" s="22"/>
      <c r="N68" s="16"/>
    </row>
    <row r="69" spans="1:14">
      <c r="A69" s="16"/>
      <c r="B69" s="20"/>
      <c r="C69" s="21"/>
      <c r="D69" s="66"/>
      <c r="E69" s="66"/>
      <c r="F69" s="66"/>
      <c r="G69" s="66"/>
      <c r="H69" s="66"/>
      <c r="I69" s="66"/>
      <c r="J69" s="66"/>
      <c r="K69" s="66"/>
      <c r="L69" s="66"/>
      <c r="M69" s="22"/>
      <c r="N69" s="16"/>
    </row>
    <row r="70" spans="1:14" ht="18.75" customHeight="1">
      <c r="A70" s="16"/>
      <c r="B70" s="20"/>
      <c r="C70" s="21"/>
      <c r="D70" s="66"/>
      <c r="E70" s="66"/>
      <c r="F70" s="66"/>
      <c r="G70" s="66"/>
      <c r="H70" s="66"/>
      <c r="I70" s="66"/>
      <c r="J70" s="66"/>
      <c r="K70" s="66"/>
      <c r="L70" s="66"/>
      <c r="M70" s="22"/>
      <c r="N70" s="16"/>
    </row>
    <row r="71" spans="1:14" ht="18.75" customHeight="1">
      <c r="A71" s="16"/>
      <c r="B71" s="20"/>
      <c r="C71" s="21"/>
      <c r="D71" s="66"/>
      <c r="E71" s="66"/>
      <c r="F71" s="66"/>
      <c r="G71" s="66"/>
      <c r="H71" s="66"/>
      <c r="I71" s="66"/>
      <c r="J71" s="66"/>
      <c r="K71" s="66"/>
      <c r="L71" s="66"/>
      <c r="M71" s="22"/>
      <c r="N71" s="16"/>
    </row>
    <row r="72" spans="1:14" ht="18.75" customHeight="1">
      <c r="A72" s="16"/>
      <c r="B72" s="20"/>
      <c r="C72" s="21"/>
      <c r="D72" s="66"/>
      <c r="E72" s="66"/>
      <c r="F72" s="66"/>
      <c r="G72" s="66"/>
      <c r="H72" s="66"/>
      <c r="I72" s="66"/>
      <c r="J72" s="66"/>
      <c r="K72" s="66"/>
      <c r="L72" s="66"/>
      <c r="M72" s="22"/>
      <c r="N72" s="16"/>
    </row>
    <row r="73" spans="1:14" ht="18.75" customHeight="1">
      <c r="A73" s="16"/>
      <c r="B73" s="20"/>
      <c r="C73" s="21"/>
      <c r="D73" s="66"/>
      <c r="E73" s="66"/>
      <c r="F73" s="66"/>
      <c r="G73" s="66"/>
      <c r="H73" s="66"/>
      <c r="I73" s="66"/>
      <c r="J73" s="66"/>
      <c r="K73" s="66"/>
      <c r="L73" s="66"/>
      <c r="M73" s="22"/>
      <c r="N73" s="16"/>
    </row>
    <row r="74" spans="1:14" ht="18.75" customHeight="1">
      <c r="A74" s="16"/>
      <c r="B74" s="20"/>
      <c r="C74" s="21"/>
      <c r="D74" s="66"/>
      <c r="E74" s="66"/>
      <c r="F74" s="66"/>
      <c r="G74" s="66"/>
      <c r="H74" s="66"/>
      <c r="I74" s="66"/>
      <c r="J74" s="66"/>
      <c r="K74" s="66"/>
      <c r="L74" s="66"/>
      <c r="M74" s="22"/>
      <c r="N74" s="16"/>
    </row>
    <row r="75" spans="1:14" ht="18.75" customHeight="1">
      <c r="A75" s="16"/>
      <c r="B75" s="20"/>
      <c r="C75" s="21"/>
      <c r="D75" s="66"/>
      <c r="E75" s="66"/>
      <c r="F75" s="66"/>
      <c r="G75" s="66"/>
      <c r="H75" s="66"/>
      <c r="I75" s="66"/>
      <c r="J75" s="66"/>
      <c r="K75" s="66"/>
      <c r="L75" s="66"/>
      <c r="M75" s="22"/>
      <c r="N75" s="16"/>
    </row>
    <row r="76" spans="1:14" ht="18.75" customHeight="1">
      <c r="A76" s="16"/>
      <c r="B76" s="20"/>
      <c r="C76" s="21"/>
      <c r="D76" s="66"/>
      <c r="E76" s="66"/>
      <c r="F76" s="66"/>
      <c r="G76" s="66"/>
      <c r="H76" s="66"/>
      <c r="I76" s="66"/>
      <c r="J76" s="66"/>
      <c r="K76" s="66"/>
      <c r="L76" s="66"/>
      <c r="M76" s="22"/>
      <c r="N76" s="16"/>
    </row>
    <row r="77" spans="1:14" ht="18.75" customHeight="1">
      <c r="A77" s="16"/>
      <c r="B77" s="20"/>
      <c r="C77" s="21"/>
      <c r="D77" s="66"/>
      <c r="E77" s="66"/>
      <c r="F77" s="66"/>
      <c r="G77" s="66"/>
      <c r="H77" s="66"/>
      <c r="I77" s="66"/>
      <c r="J77" s="66"/>
      <c r="K77" s="66"/>
      <c r="L77" s="66"/>
      <c r="M77" s="22"/>
      <c r="N77" s="16"/>
    </row>
    <row r="78" spans="1:14" ht="18.75" customHeight="1">
      <c r="A78" s="16"/>
      <c r="B78" s="20"/>
      <c r="C78" s="21"/>
      <c r="D78" s="66"/>
      <c r="E78" s="66"/>
      <c r="F78" s="66"/>
      <c r="G78" s="66"/>
      <c r="H78" s="66"/>
      <c r="I78" s="66"/>
      <c r="J78" s="66"/>
      <c r="K78" s="66"/>
      <c r="L78" s="66"/>
      <c r="M78" s="22"/>
      <c r="N78" s="16"/>
    </row>
    <row r="79" spans="1:14" ht="18.75" customHeight="1">
      <c r="A79" s="16"/>
      <c r="B79" s="20"/>
      <c r="C79" s="21"/>
      <c r="D79" s="66"/>
      <c r="E79" s="66"/>
      <c r="F79" s="66"/>
      <c r="G79" s="66"/>
      <c r="H79" s="66"/>
      <c r="I79" s="66"/>
      <c r="J79" s="66"/>
      <c r="K79" s="66"/>
      <c r="L79" s="66"/>
      <c r="M79" s="22"/>
      <c r="N79" s="16"/>
    </row>
    <row r="80" spans="1:14" ht="18.75" customHeight="1">
      <c r="A80" s="16"/>
      <c r="B80" s="20"/>
      <c r="C80" s="21"/>
      <c r="D80" s="66"/>
      <c r="E80" s="66"/>
      <c r="F80" s="66"/>
      <c r="G80" s="66"/>
      <c r="H80" s="66"/>
      <c r="I80" s="66"/>
      <c r="J80" s="66"/>
      <c r="K80" s="66"/>
      <c r="L80" s="66"/>
      <c r="M80" s="22"/>
      <c r="N80" s="16"/>
    </row>
    <row r="81" spans="1:14">
      <c r="A81" s="16"/>
      <c r="B81" s="20"/>
      <c r="C81" s="21"/>
      <c r="D81" s="66"/>
      <c r="E81" s="66"/>
      <c r="F81" s="66"/>
      <c r="G81" s="66"/>
      <c r="H81" s="66"/>
      <c r="I81" s="66"/>
      <c r="J81" s="66"/>
      <c r="K81" s="66"/>
      <c r="L81" s="66"/>
      <c r="M81" s="22"/>
      <c r="N81" s="16"/>
    </row>
    <row r="82" spans="1:14">
      <c r="A82" s="16"/>
      <c r="B82" s="20"/>
      <c r="C82" s="21"/>
      <c r="D82" s="66"/>
      <c r="E82" s="66"/>
      <c r="F82" s="66"/>
      <c r="G82" s="66"/>
      <c r="H82" s="66"/>
      <c r="I82" s="66"/>
      <c r="J82" s="66"/>
      <c r="K82" s="66"/>
      <c r="L82" s="66"/>
      <c r="M82" s="22"/>
      <c r="N82" s="16"/>
    </row>
    <row r="83" spans="1:14">
      <c r="A83" s="16"/>
      <c r="B83" s="20"/>
      <c r="C83" s="21"/>
      <c r="D83" s="66"/>
      <c r="E83" s="66"/>
      <c r="F83" s="66"/>
      <c r="G83" s="66"/>
      <c r="H83" s="66"/>
      <c r="I83" s="66"/>
      <c r="J83" s="66"/>
      <c r="K83" s="66"/>
      <c r="L83" s="66"/>
      <c r="M83" s="22"/>
      <c r="N83" s="16"/>
    </row>
    <row r="84" spans="1:14">
      <c r="A84" s="16"/>
      <c r="B84" s="20"/>
      <c r="C84" s="21"/>
      <c r="D84" s="66"/>
      <c r="E84" s="66"/>
      <c r="F84" s="66"/>
      <c r="G84" s="66"/>
      <c r="H84" s="66"/>
      <c r="I84" s="66"/>
      <c r="J84" s="66"/>
      <c r="K84" s="66"/>
      <c r="L84" s="66"/>
      <c r="M84" s="22"/>
      <c r="N84" s="16"/>
    </row>
    <row r="85" spans="1:14">
      <c r="A85" s="16"/>
      <c r="B85" s="20"/>
      <c r="C85" s="21"/>
      <c r="D85" s="66"/>
      <c r="E85" s="66"/>
      <c r="F85" s="66"/>
      <c r="G85" s="66"/>
      <c r="H85" s="66"/>
      <c r="I85" s="66"/>
      <c r="J85" s="66"/>
      <c r="K85" s="66"/>
      <c r="L85" s="66"/>
      <c r="M85" s="22"/>
      <c r="N85" s="16"/>
    </row>
    <row r="86" spans="1:14" ht="18.75" customHeight="1">
      <c r="A86" s="16"/>
      <c r="B86" s="20"/>
      <c r="C86" s="21"/>
      <c r="D86" s="66"/>
      <c r="E86" s="66"/>
      <c r="F86" s="66"/>
      <c r="G86" s="66"/>
      <c r="H86" s="66"/>
      <c r="I86" s="66"/>
      <c r="J86" s="66"/>
      <c r="K86" s="66"/>
      <c r="L86" s="66"/>
      <c r="M86" s="22"/>
      <c r="N86" s="16"/>
    </row>
    <row r="87" spans="1:14" ht="18.75" customHeight="1">
      <c r="A87" s="16"/>
      <c r="B87" s="20"/>
      <c r="C87" s="21"/>
      <c r="D87" s="66"/>
      <c r="E87" s="66"/>
      <c r="F87" s="66"/>
      <c r="G87" s="66"/>
      <c r="H87" s="66"/>
      <c r="I87" s="66"/>
      <c r="J87" s="66"/>
      <c r="K87" s="66"/>
      <c r="L87" s="66"/>
      <c r="M87" s="22"/>
      <c r="N87" s="16"/>
    </row>
    <row r="88" spans="1:14" ht="18.75" customHeight="1">
      <c r="A88" s="16"/>
      <c r="B88" s="20"/>
      <c r="C88" s="21"/>
      <c r="D88" s="66"/>
      <c r="E88" s="66"/>
      <c r="F88" s="66"/>
      <c r="G88" s="66"/>
      <c r="H88" s="66"/>
      <c r="I88" s="66"/>
      <c r="J88" s="66"/>
      <c r="K88" s="66"/>
      <c r="L88" s="66"/>
      <c r="M88" s="22"/>
      <c r="N88" s="16"/>
    </row>
    <row r="89" spans="1:14" ht="18.75" customHeight="1">
      <c r="A89" s="16"/>
      <c r="B89" s="20"/>
      <c r="C89" s="21"/>
      <c r="D89" s="66"/>
      <c r="E89" s="66"/>
      <c r="F89" s="66"/>
      <c r="G89" s="66"/>
      <c r="H89" s="66"/>
      <c r="I89" s="66"/>
      <c r="J89" s="66"/>
      <c r="K89" s="66"/>
      <c r="L89" s="66"/>
      <c r="M89" s="22"/>
      <c r="N89" s="16"/>
    </row>
    <row r="90" spans="1:14" ht="18.75" customHeight="1">
      <c r="A90" s="16"/>
      <c r="B90" s="20"/>
      <c r="C90" s="21"/>
      <c r="D90" s="66"/>
      <c r="E90" s="66"/>
      <c r="F90" s="66"/>
      <c r="G90" s="66"/>
      <c r="H90" s="66"/>
      <c r="I90" s="66"/>
      <c r="J90" s="66"/>
      <c r="K90" s="66"/>
      <c r="L90" s="66"/>
      <c r="M90" s="22"/>
      <c r="N90" s="16"/>
    </row>
    <row r="91" spans="1:14">
      <c r="A91" s="16"/>
      <c r="B91" s="20"/>
      <c r="C91" s="21"/>
      <c r="D91" s="66"/>
      <c r="E91" s="66"/>
      <c r="F91" s="66"/>
      <c r="G91" s="66"/>
      <c r="H91" s="66"/>
      <c r="I91" s="66"/>
      <c r="J91" s="66"/>
      <c r="K91" s="66"/>
      <c r="L91" s="66"/>
      <c r="M91" s="22"/>
      <c r="N91" s="16"/>
    </row>
    <row r="92" spans="1:14">
      <c r="A92" s="16"/>
      <c r="B92" s="20"/>
      <c r="C92" s="21"/>
      <c r="D92" s="21"/>
      <c r="E92" s="21"/>
      <c r="F92" s="21"/>
      <c r="G92" s="21"/>
      <c r="H92" s="21"/>
      <c r="I92" s="21"/>
      <c r="J92" s="21"/>
      <c r="K92" s="21"/>
      <c r="L92" s="21"/>
      <c r="M92" s="22"/>
      <c r="N92" s="16"/>
    </row>
    <row r="93" spans="1:14" ht="41.25" customHeight="1">
      <c r="A93" s="16"/>
      <c r="B93" s="23"/>
      <c r="C93" s="24"/>
      <c r="D93" s="24"/>
      <c r="E93" s="24"/>
      <c r="F93" s="24"/>
      <c r="G93" s="24"/>
      <c r="H93" s="24"/>
      <c r="I93" s="24"/>
      <c r="J93" s="24"/>
      <c r="K93" s="24"/>
      <c r="L93" s="24"/>
      <c r="M93" s="25"/>
      <c r="N93" s="16"/>
    </row>
    <row r="94" spans="1:14">
      <c r="A94" s="16"/>
      <c r="B94" s="16"/>
      <c r="C94" s="16"/>
      <c r="D94" s="16"/>
      <c r="E94" s="16"/>
      <c r="F94" s="16"/>
      <c r="G94" s="16"/>
      <c r="H94" s="16"/>
      <c r="I94" s="16"/>
      <c r="J94" s="16"/>
      <c r="K94" s="16"/>
      <c r="L94" s="16"/>
      <c r="M94" s="16"/>
      <c r="N94" s="16"/>
    </row>
  </sheetData>
  <mergeCells count="9">
    <mergeCell ref="F22:H22"/>
    <mergeCell ref="I22:K22"/>
    <mergeCell ref="D22:D23"/>
    <mergeCell ref="E22:E23"/>
    <mergeCell ref="D3:E3"/>
    <mergeCell ref="F6:H6"/>
    <mergeCell ref="I6:K6"/>
    <mergeCell ref="E6:E7"/>
    <mergeCell ref="D6:D7"/>
  </mergeCells>
  <phoneticPr fontId="3"/>
  <conditionalFormatting sqref="I8:K17">
    <cfRule type="dataBar" priority="4">
      <dataBar>
        <cfvo type="num" val="0"/>
        <cfvo type="num" val="0.7"/>
        <color rgb="FFFF555A"/>
      </dataBar>
      <extLst>
        <ext xmlns:x14="http://schemas.microsoft.com/office/spreadsheetml/2009/9/main" uri="{B025F937-C7B1-47D3-B67F-A62EFF666E3E}">
          <x14:id>{AB098E2A-AA41-4574-BB9D-5186EDC4475F}</x14:id>
        </ext>
      </extLst>
    </cfRule>
  </conditionalFormatting>
  <conditionalFormatting sqref="I24:K27">
    <cfRule type="dataBar" priority="3">
      <dataBar>
        <cfvo type="num" val="0"/>
        <cfvo type="num" val="1.2"/>
        <color theme="7" tint="-0.249977111117893"/>
      </dataBar>
      <extLst>
        <ext xmlns:x14="http://schemas.microsoft.com/office/spreadsheetml/2009/9/main" uri="{B025F937-C7B1-47D3-B67F-A62EFF666E3E}">
          <x14:id>{A3B9E336-C352-4E42-BB58-10198A604EDF}</x14:id>
        </ext>
      </extLst>
    </cfRule>
  </conditionalFormatting>
  <printOptions horizontalCentered="1"/>
  <pageMargins left="0.51181102362204722" right="0.51181102362204722" top="0.74803149606299213" bottom="0.74803149606299213" header="0.31496062992125984" footer="0.31496062992125984"/>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dataBar" id="{AB098E2A-AA41-4574-BB9D-5186EDC4475F}">
            <x14:dataBar minLength="0" maxLength="100" border="1" negativeBarBorderColorSameAsPositive="0">
              <x14:cfvo type="num">
                <xm:f>0</xm:f>
              </x14:cfvo>
              <x14:cfvo type="num">
                <xm:f>0.7</xm:f>
              </x14:cfvo>
              <x14:borderColor rgb="FFFF555A"/>
              <x14:negativeFillColor rgb="FFFF0000"/>
              <x14:negativeBorderColor rgb="FFFF0000"/>
              <x14:axisColor rgb="FF000000"/>
            </x14:dataBar>
          </x14:cfRule>
          <xm:sqref>I8:K17</xm:sqref>
        </x14:conditionalFormatting>
        <x14:conditionalFormatting xmlns:xm="http://schemas.microsoft.com/office/excel/2006/main">
          <x14:cfRule type="dataBar" id="{A3B9E336-C352-4E42-BB58-10198A604EDF}">
            <x14:dataBar minLength="0" maxLength="100" border="1" negativeBarBorderColorSameAsPositive="0">
              <x14:cfvo type="num">
                <xm:f>0</xm:f>
              </x14:cfvo>
              <x14:cfvo type="num">
                <xm:f>1.2</xm:f>
              </x14:cfvo>
              <x14:borderColor theme="7" tint="-0.249977111117893"/>
              <x14:negativeFillColor rgb="FFFF0000"/>
              <x14:negativeBorderColor rgb="FFFF0000"/>
              <x14:axisColor rgb="FF000000"/>
            </x14:dataBar>
          </x14:cfRule>
          <xm:sqref>I24:K27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フォームの回答</vt:lpstr>
      <vt:lpstr>Sheet1</vt:lpstr>
      <vt:lpstr>見せ方を変えたの</vt:lpstr>
      <vt:lpstr>見せ方を変えたの!Print_Area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德田 隆義</dc:creator>
  <cp:lastModifiedBy>德田 隆義</cp:lastModifiedBy>
  <cp:lastPrinted>2025-01-20T09:25:43Z</cp:lastPrinted>
  <dcterms:modified xsi:type="dcterms:W3CDTF">2025-01-20T09:25:48Z</dcterms:modified>
</cp:coreProperties>
</file>